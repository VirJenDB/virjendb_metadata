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xr:revisionPtr revIDLastSave="0" documentId="8_{114B0F68-EBF9-48B7-9891-8C42E2FE17D9}" xr6:coauthVersionLast="47" xr6:coauthVersionMax="47" xr10:uidLastSave="{00000000-0000-0000-0000-000000000000}"/>
  <bookViews>
    <workbookView xWindow="-120" yWindow="-120" windowWidth="38640" windowHeight="21240" xr2:uid="{00000000-000D-0000-FFFF-FFFF00000000}"/>
  </bookViews>
  <sheets>
    <sheet name="VJDBCore" sheetId="1" r:id="rId1"/>
    <sheet name="Additional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 l="1"/>
  <c r="E3" i="1"/>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V124" i="2"/>
  <c r="V123" i="2"/>
  <c r="V122" i="2"/>
  <c r="V121" i="2"/>
  <c r="V120" i="2"/>
  <c r="V119" i="2"/>
  <c r="V118" i="2"/>
  <c r="V117" i="2"/>
  <c r="V116" i="2"/>
  <c r="V115" i="2"/>
  <c r="U114" i="2"/>
  <c r="U113" i="2"/>
  <c r="U112" i="2"/>
  <c r="U111" i="2"/>
  <c r="U110" i="2"/>
  <c r="U109" i="2"/>
  <c r="U108" i="2"/>
  <c r="U107" i="2"/>
  <c r="U105" i="2"/>
  <c r="U104" i="2"/>
  <c r="U103" i="2"/>
  <c r="U102" i="2"/>
  <c r="U101" i="2"/>
  <c r="U100" i="2"/>
  <c r="U99" i="2"/>
  <c r="U98" i="2"/>
  <c r="U97" i="2"/>
  <c r="U96" i="2"/>
  <c r="U95" i="2"/>
  <c r="U94" i="2"/>
  <c r="U93" i="2"/>
  <c r="U92" i="2"/>
  <c r="U91" i="2"/>
  <c r="U90" i="2"/>
  <c r="U89" i="2"/>
  <c r="U88" i="2"/>
  <c r="U87" i="2"/>
  <c r="U86" i="2"/>
  <c r="U85" i="2"/>
  <c r="U83" i="2"/>
  <c r="U82" i="2"/>
  <c r="U81" i="2"/>
  <c r="U80" i="2"/>
  <c r="U79" i="2"/>
  <c r="U78" i="2"/>
  <c r="U77" i="2"/>
  <c r="U76" i="2"/>
  <c r="U75" i="2"/>
  <c r="U74" i="2"/>
  <c r="U73" i="2"/>
  <c r="U72" i="2"/>
  <c r="U71" i="2"/>
  <c r="U70" i="2"/>
  <c r="U69" i="2"/>
  <c r="U68" i="2"/>
  <c r="U66" i="2"/>
  <c r="U65" i="2"/>
  <c r="U64" i="2"/>
  <c r="U63" i="2"/>
  <c r="U62" i="2"/>
  <c r="U61" i="2"/>
  <c r="U60" i="2"/>
  <c r="U59" i="2"/>
  <c r="U58" i="2"/>
  <c r="U57"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0" i="2"/>
  <c r="U19" i="2"/>
  <c r="U18" i="2"/>
  <c r="U17" i="2"/>
  <c r="U16" i="2"/>
  <c r="U15" i="2"/>
  <c r="U14" i="2"/>
  <c r="U13" i="2"/>
  <c r="U12" i="2"/>
  <c r="U11" i="2"/>
  <c r="U10" i="2"/>
  <c r="U9" i="2"/>
  <c r="U8" i="2"/>
  <c r="U7" i="2"/>
  <c r="U6" i="2"/>
  <c r="U5" i="2"/>
  <c r="AQ3" i="2"/>
  <c r="AQ4" i="2" s="1"/>
  <c r="AP3" i="2"/>
  <c r="AP4" i="2" s="1"/>
  <c r="AO3" i="2"/>
  <c r="AO4" i="2" s="1"/>
  <c r="AN3" i="2"/>
  <c r="AN4" i="2" s="1"/>
  <c r="AM3" i="2"/>
  <c r="AM4" i="2" s="1"/>
  <c r="AL3" i="2"/>
  <c r="AL4" i="2" s="1"/>
  <c r="AK3" i="2"/>
  <c r="AK4" i="2" s="1"/>
  <c r="AJ3" i="2"/>
  <c r="AJ4" i="2" s="1"/>
  <c r="AI3" i="2"/>
  <c r="AI4" i="2" s="1"/>
  <c r="AH3" i="2"/>
  <c r="AH4" i="2" s="1"/>
  <c r="AG3" i="2"/>
  <c r="AG4" i="2" s="1"/>
  <c r="AF3" i="2"/>
  <c r="AF4" i="2" s="1"/>
  <c r="AE3" i="2"/>
  <c r="AE4" i="2" s="1"/>
  <c r="AD3" i="2"/>
  <c r="AD4" i="2" s="1"/>
  <c r="AC3" i="2"/>
  <c r="AC4" i="2" s="1"/>
  <c r="AB3" i="2"/>
  <c r="AB4" i="2" s="1"/>
  <c r="AA3" i="2"/>
  <c r="AA4" i="2" s="1"/>
  <c r="Z3" i="2"/>
  <c r="Z4" i="2" s="1"/>
  <c r="Y3" i="2"/>
  <c r="Y4" i="2" s="1"/>
  <c r="X3" i="2"/>
  <c r="X4" i="2" s="1"/>
  <c r="W3" i="2"/>
  <c r="W4" i="2" s="1"/>
  <c r="V3" i="2"/>
  <c r="V4" i="2" s="1"/>
  <c r="U3" i="2"/>
  <c r="U4" i="2" s="1"/>
  <c r="T3" i="2"/>
  <c r="T4" i="2" s="1"/>
  <c r="S3" i="2"/>
  <c r="S4" i="2" s="1"/>
  <c r="R3" i="2"/>
  <c r="R4" i="2" s="1"/>
  <c r="Q3" i="2"/>
  <c r="Q4" i="2" s="1"/>
  <c r="P3" i="2"/>
  <c r="P4" i="2" s="1"/>
  <c r="O3" i="2"/>
  <c r="O4" i="2" s="1"/>
  <c r="N3" i="2"/>
  <c r="N4" i="2" s="1"/>
  <c r="M3" i="2"/>
  <c r="M4" i="2" s="1"/>
  <c r="L3" i="2"/>
  <c r="L4" i="2" s="1"/>
  <c r="K3" i="2"/>
  <c r="K4" i="2" s="1"/>
  <c r="J3" i="2"/>
  <c r="J4" i="2" s="1"/>
  <c r="I3" i="2"/>
  <c r="I4" i="2" s="1"/>
  <c r="H3" i="2"/>
  <c r="H4" i="2" s="1"/>
  <c r="G3" i="2"/>
  <c r="G4" i="2" s="1"/>
  <c r="F3" i="2"/>
  <c r="F4" i="2" s="1"/>
  <c r="E3" i="2"/>
  <c r="E4" i="2" s="1"/>
  <c r="D3" i="2"/>
  <c r="D4" i="2" s="1"/>
  <c r="C3" i="2"/>
  <c r="C4" i="2" s="1"/>
  <c r="B3" i="2"/>
  <c r="B4" i="2" s="1"/>
  <c r="A3" i="2"/>
  <c r="A4" i="2" s="1"/>
  <c r="AA236" i="1"/>
  <c r="B236" i="1"/>
  <c r="AA235" i="1"/>
  <c r="B235" i="1"/>
  <c r="AA234" i="1"/>
  <c r="B234" i="1"/>
  <c r="AA233" i="1"/>
  <c r="B233" i="1"/>
  <c r="AA232" i="1"/>
  <c r="B232" i="1"/>
  <c r="AA231" i="1"/>
  <c r="B231" i="1"/>
  <c r="AA230" i="1"/>
  <c r="B230" i="1"/>
  <c r="AA229" i="1"/>
  <c r="B229" i="1"/>
  <c r="AA228" i="1"/>
  <c r="B228" i="1"/>
  <c r="AA227" i="1"/>
  <c r="B227" i="1"/>
  <c r="AA226" i="1"/>
  <c r="B226" i="1"/>
  <c r="AA225" i="1"/>
  <c r="B225" i="1"/>
  <c r="AA224" i="1"/>
  <c r="B224" i="1"/>
  <c r="AA223" i="1"/>
  <c r="B223" i="1"/>
  <c r="AA222" i="1"/>
  <c r="B222" i="1"/>
  <c r="AA221" i="1"/>
  <c r="B221" i="1"/>
  <c r="AA220" i="1"/>
  <c r="B220" i="1"/>
  <c r="AA219" i="1"/>
  <c r="B219" i="1"/>
  <c r="AA218" i="1"/>
  <c r="B218" i="1"/>
  <c r="AA217" i="1"/>
  <c r="B217" i="1"/>
  <c r="AA216" i="1"/>
  <c r="B216" i="1"/>
  <c r="AA215" i="1"/>
  <c r="B215" i="1"/>
  <c r="AA214" i="1"/>
  <c r="B214" i="1"/>
  <c r="AA213" i="1"/>
  <c r="B213" i="1"/>
  <c r="AA212" i="1"/>
  <c r="B212" i="1"/>
  <c r="AA211" i="1"/>
  <c r="B211" i="1"/>
  <c r="AA210" i="1"/>
  <c r="B210" i="1"/>
  <c r="AA209" i="1"/>
  <c r="B209" i="1"/>
  <c r="AA208" i="1"/>
  <c r="B208" i="1"/>
  <c r="AA207" i="1"/>
  <c r="B207" i="1"/>
  <c r="AA206" i="1"/>
  <c r="B206" i="1"/>
  <c r="AA205" i="1"/>
  <c r="B205" i="1"/>
  <c r="AA204" i="1"/>
  <c r="B204" i="1"/>
  <c r="AA203" i="1"/>
  <c r="B203" i="1"/>
  <c r="AA202" i="1"/>
  <c r="B202" i="1"/>
  <c r="AA201" i="1"/>
  <c r="B201" i="1"/>
  <c r="AA200" i="1"/>
  <c r="B200" i="1"/>
  <c r="AA199" i="1"/>
  <c r="B199" i="1"/>
  <c r="AA198" i="1"/>
  <c r="B198" i="1"/>
  <c r="AA197" i="1"/>
  <c r="B197" i="1"/>
  <c r="AA196" i="1"/>
  <c r="B196" i="1"/>
  <c r="AA195" i="1"/>
  <c r="B195" i="1"/>
  <c r="AA194" i="1"/>
  <c r="B194" i="1"/>
  <c r="AA193" i="1"/>
  <c r="B193" i="1"/>
  <c r="AA192" i="1"/>
  <c r="B192" i="1"/>
  <c r="AA191" i="1"/>
  <c r="B191" i="1"/>
  <c r="AA190" i="1"/>
  <c r="B190" i="1"/>
  <c r="AA189" i="1"/>
  <c r="B189" i="1"/>
  <c r="AA188" i="1"/>
  <c r="B188" i="1"/>
  <c r="AA187" i="1"/>
  <c r="B187" i="1"/>
  <c r="AA186" i="1"/>
  <c r="B186" i="1"/>
  <c r="AA185" i="1"/>
  <c r="B185" i="1"/>
  <c r="AA184" i="1"/>
  <c r="B184" i="1"/>
  <c r="AA183" i="1"/>
  <c r="B183" i="1"/>
  <c r="AA182" i="1"/>
  <c r="B182" i="1"/>
  <c r="AA181" i="1"/>
  <c r="B181" i="1"/>
  <c r="AA180" i="1"/>
  <c r="B180" i="1"/>
  <c r="AA179" i="1"/>
  <c r="B179" i="1"/>
  <c r="AA178" i="1"/>
  <c r="B178" i="1"/>
  <c r="AA177" i="1"/>
  <c r="B177" i="1"/>
  <c r="AA176" i="1"/>
  <c r="B176" i="1"/>
  <c r="AA175" i="1"/>
  <c r="B175" i="1"/>
  <c r="AA174" i="1"/>
  <c r="B174" i="1"/>
  <c r="AA173" i="1"/>
  <c r="B173" i="1"/>
  <c r="AA172" i="1"/>
  <c r="B172" i="1"/>
  <c r="AA171" i="1"/>
  <c r="B171" i="1"/>
  <c r="AA170" i="1"/>
  <c r="B170" i="1"/>
  <c r="AA169" i="1"/>
  <c r="B169" i="1"/>
  <c r="AA168" i="1"/>
  <c r="B168" i="1"/>
  <c r="AA167" i="1"/>
  <c r="B167" i="1"/>
  <c r="AA166" i="1"/>
  <c r="B166" i="1"/>
  <c r="AA165" i="1"/>
  <c r="B165" i="1"/>
  <c r="AA164" i="1"/>
  <c r="B164" i="1"/>
  <c r="AA163" i="1"/>
  <c r="B163" i="1"/>
  <c r="AA162" i="1"/>
  <c r="B162" i="1"/>
  <c r="AA161" i="1"/>
  <c r="B161" i="1"/>
  <c r="AA160" i="1"/>
  <c r="B160" i="1"/>
  <c r="AA159" i="1"/>
  <c r="B159" i="1"/>
  <c r="AA158" i="1"/>
  <c r="B158" i="1"/>
  <c r="AA157" i="1"/>
  <c r="B157" i="1"/>
  <c r="AA156" i="1"/>
  <c r="B156" i="1"/>
  <c r="AA155" i="1"/>
  <c r="B155" i="1"/>
  <c r="AA154" i="1"/>
  <c r="B154" i="1"/>
  <c r="AA153" i="1"/>
  <c r="B153" i="1"/>
  <c r="AA152" i="1"/>
  <c r="B152" i="1"/>
  <c r="AA151" i="1"/>
  <c r="B151" i="1"/>
  <c r="AA150" i="1"/>
  <c r="B150" i="1"/>
  <c r="AA149" i="1"/>
  <c r="B149" i="1"/>
  <c r="AA148" i="1"/>
  <c r="B148" i="1"/>
  <c r="AA147" i="1"/>
  <c r="B147" i="1"/>
  <c r="AA146" i="1"/>
  <c r="B146" i="1"/>
  <c r="AA145" i="1"/>
  <c r="B145" i="1"/>
  <c r="AA144" i="1"/>
  <c r="B144" i="1"/>
  <c r="AA143" i="1"/>
  <c r="B143" i="1"/>
  <c r="AA142" i="1"/>
  <c r="B142" i="1"/>
  <c r="AA141" i="1"/>
  <c r="B141" i="1"/>
  <c r="AA140" i="1"/>
  <c r="B140" i="1"/>
  <c r="AA139" i="1"/>
  <c r="B139" i="1"/>
  <c r="AA138" i="1"/>
  <c r="B138" i="1"/>
  <c r="AA137" i="1"/>
  <c r="B137" i="1"/>
  <c r="AA136" i="1"/>
  <c r="B136" i="1"/>
  <c r="AA135" i="1"/>
  <c r="B135" i="1"/>
  <c r="AA134" i="1"/>
  <c r="B134" i="1"/>
  <c r="AA133" i="1"/>
  <c r="B133" i="1"/>
  <c r="AA132" i="1"/>
  <c r="B132" i="1"/>
  <c r="AA131" i="1"/>
  <c r="B131" i="1"/>
  <c r="AA130" i="1"/>
  <c r="B130" i="1"/>
  <c r="AA129" i="1"/>
  <c r="B129" i="1"/>
  <c r="AA128" i="1"/>
  <c r="B128" i="1"/>
  <c r="AA127" i="1"/>
  <c r="B127" i="1"/>
  <c r="AA126" i="1"/>
  <c r="B126" i="1"/>
  <c r="AA125" i="1"/>
  <c r="B125" i="1"/>
  <c r="AA124" i="1"/>
  <c r="B124" i="1"/>
  <c r="AA123" i="1"/>
  <c r="B123" i="1"/>
  <c r="AA122" i="1"/>
  <c r="B122" i="1"/>
  <c r="AA121" i="1"/>
  <c r="B121" i="1"/>
  <c r="AA120" i="1"/>
  <c r="B120" i="1"/>
  <c r="AA119" i="1"/>
  <c r="B119" i="1"/>
  <c r="AA118" i="1"/>
  <c r="B118" i="1"/>
  <c r="AA117" i="1"/>
  <c r="B117" i="1"/>
  <c r="AA116" i="1"/>
  <c r="B116" i="1"/>
  <c r="AA115" i="1"/>
  <c r="B115" i="1"/>
  <c r="AA114" i="1"/>
  <c r="B114" i="1"/>
  <c r="AA113" i="1"/>
  <c r="B113" i="1"/>
  <c r="AA112" i="1"/>
  <c r="B112" i="1"/>
  <c r="AA111" i="1"/>
  <c r="B111" i="1"/>
  <c r="AA110" i="1"/>
  <c r="B110" i="1"/>
  <c r="AA109" i="1"/>
  <c r="B109" i="1"/>
  <c r="AA108" i="1"/>
  <c r="B108" i="1"/>
  <c r="AA107" i="1"/>
  <c r="B107" i="1"/>
  <c r="AA106" i="1"/>
  <c r="B106" i="1"/>
  <c r="AA105" i="1"/>
  <c r="B105" i="1"/>
  <c r="AA104" i="1"/>
  <c r="B104" i="1"/>
  <c r="AA103" i="1"/>
  <c r="B103" i="1"/>
  <c r="AA102" i="1"/>
  <c r="B102" i="1"/>
  <c r="AA101" i="1"/>
  <c r="B101" i="1"/>
  <c r="AA100" i="1"/>
  <c r="B100" i="1"/>
  <c r="AA99" i="1"/>
  <c r="B99" i="1"/>
  <c r="AA98" i="1"/>
  <c r="B98" i="1"/>
  <c r="AA97" i="1"/>
  <c r="B97" i="1"/>
  <c r="AA96" i="1"/>
  <c r="B96" i="1"/>
  <c r="AA95" i="1"/>
  <c r="B95" i="1"/>
  <c r="AA94" i="1"/>
  <c r="B94" i="1"/>
  <c r="AA93" i="1"/>
  <c r="B93" i="1"/>
  <c r="AA92" i="1"/>
  <c r="B92" i="1"/>
  <c r="AA91" i="1"/>
  <c r="B91" i="1"/>
  <c r="AA90" i="1"/>
  <c r="B90" i="1"/>
  <c r="AA89" i="1"/>
  <c r="B89" i="1"/>
  <c r="AA88" i="1"/>
  <c r="B88" i="1"/>
  <c r="AA87" i="1"/>
  <c r="B87" i="1"/>
  <c r="AA86" i="1"/>
  <c r="B86" i="1"/>
  <c r="AA85" i="1"/>
  <c r="B85" i="1"/>
  <c r="AA84" i="1"/>
  <c r="B84" i="1"/>
  <c r="AA83" i="1"/>
  <c r="B83" i="1"/>
  <c r="AA82" i="1"/>
  <c r="B82" i="1"/>
  <c r="AA81" i="1"/>
  <c r="B81" i="1"/>
  <c r="AA80" i="1"/>
  <c r="B80" i="1"/>
  <c r="AA79" i="1"/>
  <c r="B79" i="1"/>
  <c r="AA78" i="1"/>
  <c r="B78" i="1"/>
  <c r="AA77" i="1"/>
  <c r="B77" i="1"/>
  <c r="AA76" i="1"/>
  <c r="B76" i="1"/>
  <c r="AA75" i="1"/>
  <c r="B75" i="1"/>
  <c r="AA74" i="1"/>
  <c r="B74" i="1"/>
  <c r="AA73" i="1"/>
  <c r="B73" i="1"/>
  <c r="AA72" i="1"/>
  <c r="B72" i="1"/>
  <c r="AA71" i="1"/>
  <c r="B71" i="1"/>
  <c r="AA70" i="1"/>
  <c r="B70" i="1"/>
  <c r="AA69" i="1"/>
  <c r="B69" i="1"/>
  <c r="AA68" i="1"/>
  <c r="B68" i="1"/>
  <c r="AA67" i="1"/>
  <c r="B67" i="1"/>
  <c r="AA66" i="1"/>
  <c r="B66" i="1"/>
  <c r="AA65" i="1"/>
  <c r="B65" i="1"/>
  <c r="AA64" i="1"/>
  <c r="B64" i="1"/>
  <c r="AA63" i="1"/>
  <c r="B63" i="1"/>
  <c r="AA62" i="1"/>
  <c r="B62" i="1"/>
  <c r="AA61" i="1"/>
  <c r="B61" i="1"/>
  <c r="AA60" i="1"/>
  <c r="B60" i="1"/>
  <c r="AA59" i="1"/>
  <c r="B59" i="1"/>
  <c r="AA58" i="1"/>
  <c r="B58" i="1"/>
  <c r="AA57" i="1"/>
  <c r="B57" i="1"/>
  <c r="AA56" i="1"/>
  <c r="B56" i="1"/>
  <c r="AA55" i="1"/>
  <c r="B55" i="1"/>
  <c r="AA54" i="1"/>
  <c r="B54" i="1"/>
  <c r="AA53" i="1"/>
  <c r="B53" i="1"/>
  <c r="AA52" i="1"/>
  <c r="B52" i="1"/>
  <c r="AA51" i="1"/>
  <c r="B51" i="1"/>
  <c r="AA50" i="1"/>
  <c r="B50" i="1"/>
  <c r="AA49" i="1"/>
  <c r="B49" i="1"/>
  <c r="AA48" i="1"/>
  <c r="B48" i="1"/>
  <c r="AA47" i="1"/>
  <c r="B47" i="1"/>
  <c r="AA46" i="1"/>
  <c r="B46" i="1"/>
  <c r="AA45" i="1"/>
  <c r="B45" i="1"/>
  <c r="AA44" i="1"/>
  <c r="B44" i="1"/>
  <c r="AA43" i="1"/>
  <c r="B43" i="1"/>
  <c r="AA42" i="1"/>
  <c r="B42" i="1"/>
  <c r="AA41" i="1"/>
  <c r="B41" i="1"/>
  <c r="AA40" i="1"/>
  <c r="B40" i="1"/>
  <c r="AA39" i="1"/>
  <c r="B39" i="1"/>
  <c r="AA38" i="1"/>
  <c r="B38" i="1"/>
  <c r="AA37" i="1"/>
  <c r="B37" i="1"/>
  <c r="AA36" i="1"/>
  <c r="B36" i="1"/>
  <c r="AA35" i="1"/>
  <c r="B35" i="1"/>
  <c r="AA34" i="1"/>
  <c r="B34" i="1"/>
  <c r="AA33" i="1"/>
  <c r="B33" i="1"/>
  <c r="AA32" i="1"/>
  <c r="B32" i="1"/>
  <c r="AA31" i="1"/>
  <c r="B31" i="1"/>
  <c r="AA30" i="1"/>
  <c r="B30" i="1"/>
  <c r="AA29" i="1"/>
  <c r="B29" i="1"/>
  <c r="AA28" i="1"/>
  <c r="B28" i="1"/>
  <c r="AA27" i="1"/>
  <c r="B27" i="1"/>
  <c r="AA26" i="1"/>
  <c r="B26" i="1"/>
  <c r="AA25" i="1"/>
  <c r="B25" i="1"/>
  <c r="AA24" i="1"/>
  <c r="B24" i="1"/>
  <c r="AA23" i="1"/>
  <c r="B23" i="1"/>
  <c r="AA22" i="1"/>
  <c r="B22" i="1"/>
  <c r="AA21" i="1"/>
  <c r="B21" i="1"/>
  <c r="AA20" i="1"/>
  <c r="B20" i="1"/>
  <c r="AA19" i="1"/>
  <c r="B19" i="1"/>
  <c r="AA18" i="1"/>
  <c r="B18" i="1"/>
  <c r="AA17" i="1"/>
  <c r="B17" i="1"/>
  <c r="AA16" i="1"/>
  <c r="B16" i="1"/>
  <c r="AA15" i="1"/>
  <c r="B15" i="1"/>
  <c r="AA14" i="1"/>
  <c r="B14" i="1"/>
  <c r="AA13" i="1"/>
  <c r="B13" i="1"/>
  <c r="AA12" i="1"/>
  <c r="B12" i="1"/>
  <c r="AA11" i="1"/>
  <c r="B11" i="1"/>
  <c r="AA10" i="1"/>
  <c r="B10" i="1"/>
  <c r="AA9" i="1"/>
  <c r="B9" i="1"/>
  <c r="AA8" i="1"/>
  <c r="B8" i="1"/>
  <c r="AA7" i="1"/>
  <c r="B7" i="1"/>
  <c r="AA6" i="1"/>
  <c r="B6" i="1"/>
  <c r="AA5" i="1"/>
  <c r="B5" i="1"/>
  <c r="BE3" i="1"/>
  <c r="BE4" i="1" s="1"/>
  <c r="BD3" i="1"/>
  <c r="BD4" i="1" s="1"/>
  <c r="BC3" i="1"/>
  <c r="BC4" i="1" s="1"/>
  <c r="BB3" i="1"/>
  <c r="BB4" i="1" s="1"/>
  <c r="BA3" i="1"/>
  <c r="BA4" i="1" s="1"/>
  <c r="AZ3" i="1"/>
  <c r="AZ4" i="1" s="1"/>
  <c r="AY3" i="1"/>
  <c r="AY4" i="1" s="1"/>
  <c r="AX3" i="1"/>
  <c r="AX4" i="1" s="1"/>
  <c r="AW3" i="1"/>
  <c r="AW4" i="1" s="1"/>
  <c r="AV3" i="1"/>
  <c r="AV4" i="1" s="1"/>
  <c r="AU3" i="1"/>
  <c r="AU4" i="1" s="1"/>
  <c r="AT3" i="1"/>
  <c r="AT4" i="1" s="1"/>
  <c r="AS3" i="1"/>
  <c r="AS4" i="1" s="1"/>
  <c r="AR3" i="1"/>
  <c r="AR4" i="1" s="1"/>
  <c r="AQ3" i="1"/>
  <c r="AQ4" i="1" s="1"/>
  <c r="AP3" i="1"/>
  <c r="AP4" i="1" s="1"/>
  <c r="AO3" i="1"/>
  <c r="AO4" i="1" s="1"/>
  <c r="AN3" i="1"/>
  <c r="AN4" i="1" s="1"/>
  <c r="AM3" i="1"/>
  <c r="AM4" i="1" s="1"/>
  <c r="AL3" i="1"/>
  <c r="AL4" i="1" s="1"/>
  <c r="AK3" i="1"/>
  <c r="AK4" i="1" s="1"/>
  <c r="AJ3" i="1"/>
  <c r="AJ4" i="1" s="1"/>
  <c r="AI3" i="1"/>
  <c r="AI4" i="1" s="1"/>
  <c r="AH3" i="1"/>
  <c r="AH4" i="1" s="1"/>
  <c r="AG3" i="1"/>
  <c r="AG4" i="1" s="1"/>
  <c r="AF3" i="1"/>
  <c r="AF4" i="1" s="1"/>
  <c r="AE3" i="1"/>
  <c r="AE4" i="1" s="1"/>
  <c r="AD3" i="1"/>
  <c r="AD4" i="1" s="1"/>
  <c r="AC3" i="1"/>
  <c r="AC4" i="1" s="1"/>
  <c r="AB3" i="1"/>
  <c r="AB4" i="1" s="1"/>
  <c r="AA3" i="1"/>
  <c r="AA4" i="1" s="1"/>
  <c r="Z3" i="1"/>
  <c r="Z4" i="1" s="1"/>
  <c r="Y3" i="1"/>
  <c r="Y4" i="1" s="1"/>
  <c r="X3" i="1"/>
  <c r="X4" i="1" s="1"/>
  <c r="W3" i="1"/>
  <c r="W4" i="1" s="1"/>
  <c r="V3" i="1"/>
  <c r="V4" i="1" s="1"/>
  <c r="U3" i="1"/>
  <c r="U4" i="1" s="1"/>
  <c r="T3" i="1"/>
  <c r="T4" i="1" s="1"/>
  <c r="S3" i="1"/>
  <c r="S4" i="1" s="1"/>
  <c r="R3" i="1"/>
  <c r="R4" i="1" s="1"/>
  <c r="Q3" i="1"/>
  <c r="Q4" i="1" s="1"/>
  <c r="P3" i="1"/>
  <c r="P4" i="1" s="1"/>
  <c r="O3" i="1"/>
  <c r="O4" i="1" s="1"/>
  <c r="N3" i="1"/>
  <c r="N4" i="1" s="1"/>
  <c r="M3" i="1"/>
  <c r="M4" i="1" s="1"/>
  <c r="L3" i="1"/>
  <c r="L4" i="1" s="1"/>
  <c r="K3" i="1"/>
  <c r="K4" i="1" s="1"/>
  <c r="J3" i="1"/>
  <c r="J4" i="1" s="1"/>
  <c r="I3" i="1"/>
  <c r="I4" i="1" s="1"/>
  <c r="H3" i="1"/>
  <c r="H4" i="1" s="1"/>
  <c r="G3" i="1"/>
  <c r="G4" i="1" s="1"/>
  <c r="F3" i="1"/>
  <c r="F4" i="1" s="1"/>
  <c r="D3" i="1"/>
  <c r="D4" i="1" s="1"/>
  <c r="C3" i="1"/>
  <c r="C4" i="1" s="1"/>
  <c r="B3" i="1"/>
  <c r="B4" i="1" s="1"/>
  <c r="A3" i="1"/>
  <c r="A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34" authorId="0" shapeId="0" xr:uid="{00000000-0006-0000-0000-000001000000}">
      <text>
        <r>
          <rPr>
            <sz val="11"/>
            <color theme="1"/>
            <rFont val="Aptos Narrow"/>
            <family val="2"/>
            <scheme val="minor"/>
          </rPr>
          <t>Kilian Ossetek: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r>
      </text>
    </comment>
    <comment ref="K38" authorId="0" shapeId="0" xr:uid="{00000000-0006-0000-0000-000002000000}">
      <text>
        <r>
          <rPr>
            <sz val="11"/>
            <color theme="1"/>
            <rFont val="Aptos Narrow"/>
            <family val="2"/>
            <scheme val="minor"/>
          </rPr>
          <t>Kilian Ossetek:
A related resource that is referenced, cited, or otherwise associated to the sequence</t>
        </r>
      </text>
    </comment>
    <comment ref="K39" authorId="0" shapeId="0" xr:uid="{00000000-0006-0000-0000-000003000000}">
      <text>
        <r>
          <rPr>
            <sz val="11"/>
            <color theme="1"/>
            <rFont val="Aptos Narrow"/>
            <family val="2"/>
            <scheme val="minor"/>
          </rPr>
          <t>Kilian Ossetek:
A related resource that is referenced, cited, or otherwise associated to the sequence</t>
        </r>
      </text>
    </comment>
    <comment ref="K131" authorId="0" shapeId="0" xr:uid="{00000000-0006-0000-0000-000004000000}">
      <text>
        <r>
          <rPr>
            <sz val="11"/>
            <color theme="1"/>
            <rFont val="Aptos Narrow"/>
            <family val="2"/>
            <scheme val="minor"/>
          </rPr>
          <t>Kilian Ossetek:
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r>
      </text>
    </comment>
    <comment ref="K140" authorId="0" shapeId="0" xr:uid="{00000000-0006-0000-0000-000005000000}">
      <text>
        <r>
          <rPr>
            <sz val="11"/>
            <color theme="1"/>
            <rFont val="Aptos Narrow"/>
            <family val="2"/>
            <scheme val="minor"/>
          </rPr>
          <t>Kilian Ossetek:
Report the host's taxonomic name and/or NCBI taxonomy ID</t>
        </r>
      </text>
    </comment>
    <comment ref="K141" authorId="0" shapeId="0" xr:uid="{00000000-0006-0000-0000-000006000000}">
      <text>
        <r>
          <rPr>
            <sz val="11"/>
            <color theme="1"/>
            <rFont val="Aptos Narrow"/>
            <family val="2"/>
            <scheme val="minor"/>
          </rPr>
          <t>Kilian Ossetek:
Report the host's taxonomic name and/or NCBI taxonomy ID</t>
        </r>
      </text>
    </comment>
    <comment ref="K150" authorId="0" shapeId="0" xr:uid="{00000000-0006-0000-0000-000007000000}">
      <text>
        <r>
          <rPr>
            <sz val="11"/>
            <color theme="1"/>
            <rFont val="Aptos Narrow"/>
            <family val="2"/>
            <scheme val="minor"/>
          </rPr>
          <t>Kilian Ossetek: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r>
      </text>
    </comment>
    <comment ref="K151" authorId="0" shapeId="0" xr:uid="{00000000-0006-0000-0000-000008000000}">
      <text>
        <r>
          <rPr>
            <sz val="11"/>
            <color theme="1"/>
            <rFont val="Aptos Narrow"/>
            <family val="2"/>
            <scheme val="minor"/>
          </rPr>
          <t>Kilian Ossetek:
The time of sampling, either as an instance (single point in time) or interval. In case no exact time is available, the date/time can be right truncated i.e. all of these are valid times: 2008-01-23T19:23:10+00:00; 2008-01-23T19:23:10; 2008-01-23; 2008-01; 2008; Except: 2008-01; 2008 all are ISO8601 complian</t>
        </r>
      </text>
    </comment>
    <comment ref="K152" authorId="0" shapeId="0" xr:uid="{00000000-0006-0000-0000-000009000000}">
      <text>
        <r>
          <rPr>
            <sz val="11"/>
            <color theme="1"/>
            <rFont val="Aptos Narrow"/>
            <family val="2"/>
            <scheme val="minor"/>
          </rPr>
          <t>Kilian Ossetek:
The geographical origin of the sample as defined by the country or sea name followed by specific region name. Country or sea names should be chosen from the INSDC country list (http://insdc.org/country.html), or the GAZ ontology (http://purl.bioontology.org/ontology/GAZ)</t>
        </r>
      </text>
    </comment>
    <comment ref="K166" authorId="0" shapeId="0" xr:uid="{00000000-0006-0000-0000-00000A000000}">
      <text>
        <r>
          <rPr>
            <sz val="11"/>
            <color theme="1"/>
            <rFont val="Aptos Narrow"/>
            <family val="2"/>
            <scheme val="minor"/>
          </rPr>
          <t>Kilian Ossetek: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r>
      </text>
    </comment>
    <comment ref="K169" authorId="0" shapeId="0" xr:uid="{00000000-0006-0000-0000-00000B000000}">
      <text>
        <r>
          <rPr>
            <sz val="11"/>
            <color theme="1"/>
            <rFont val="Aptos Narrow"/>
            <family val="2"/>
            <scheme val="minor"/>
          </rPr>
          <t>Kilian Ossetek:
Report the host's taxonomic name and/or NCBI taxonomy ID</t>
        </r>
      </text>
    </comment>
    <comment ref="K170" authorId="0" shapeId="0" xr:uid="{00000000-0006-0000-0000-00000C000000}">
      <text>
        <r>
          <rPr>
            <sz val="11"/>
            <color theme="1"/>
            <rFont val="Aptos Narrow"/>
            <family val="2"/>
            <scheme val="minor"/>
          </rPr>
          <t>Kilian Ossetek:
Report the host's taxonomic name and/or NCBI taxonomy ID</t>
        </r>
      </text>
    </comment>
    <comment ref="K209" authorId="0" shapeId="0" xr:uid="{00000000-0006-0000-0000-00000D000000}">
      <text>
        <r>
          <rPr>
            <sz val="11"/>
            <color theme="1"/>
            <rFont val="Aptos Narrow"/>
            <family val="2"/>
            <scheme val="minor"/>
          </rPr>
          <t>Kilian Ossetek: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r>
      </text>
    </comment>
  </commentList>
</comments>
</file>

<file path=xl/sharedStrings.xml><?xml version="1.0" encoding="utf-8"?>
<sst xmlns="http://schemas.openxmlformats.org/spreadsheetml/2006/main" count="5413" uniqueCount="1720">
  <si>
    <t>VJDBv1.0</t>
  </si>
  <si>
    <t>VJDBv0.2</t>
  </si>
  <si>
    <t>VJDBv0.1</t>
  </si>
  <si>
    <t>ENA</t>
  </si>
  <si>
    <t>RKI</t>
  </si>
  <si>
    <t>MIGS-VI</t>
  </si>
  <si>
    <t>MIGS-UViG</t>
  </si>
  <si>
    <t>ENV-O</t>
  </si>
  <si>
    <t>NCBI Virus</t>
  </si>
  <si>
    <t>BV-BRC</t>
  </si>
  <si>
    <t>ENA ERC32</t>
  </si>
  <si>
    <t>ENA ERC33</t>
  </si>
  <si>
    <t>IMG/VR</t>
  </si>
  <si>
    <t>PHD</t>
  </si>
  <si>
    <t>PhiSpy</t>
  </si>
  <si>
    <t>GTDB</t>
  </si>
  <si>
    <t>ENA Submission Object</t>
  </si>
  <si>
    <t>VJBD Submission Object</t>
  </si>
  <si>
    <t>VJDB</t>
  </si>
  <si>
    <t>ICTV40</t>
  </si>
  <si>
    <t>Field Index</t>
  </si>
  <si>
    <t>Field ID</t>
  </si>
  <si>
    <t>Name</t>
  </si>
  <si>
    <t>Description</t>
  </si>
  <si>
    <t>fields_type</t>
  </si>
  <si>
    <t>Privacy</t>
  </si>
  <si>
    <t xml:space="preserve"> Field ID</t>
  </si>
  <si>
    <t>N Nucleotide Field ID</t>
  </si>
  <si>
    <t>B Field Name</t>
  </si>
  <si>
    <t>Field Name</t>
  </si>
  <si>
    <t>Object Name</t>
  </si>
  <si>
    <t>group1</t>
  </si>
  <si>
    <t>group2</t>
  </si>
  <si>
    <t>group3</t>
  </si>
  <si>
    <t>Tags</t>
  </si>
  <si>
    <t>Input Source</t>
  </si>
  <si>
    <t>Notes</t>
  </si>
  <si>
    <t>changes</t>
  </si>
  <si>
    <t>previous changes</t>
  </si>
  <si>
    <t>N Field Name</t>
  </si>
  <si>
    <t>N Field Description</t>
  </si>
  <si>
    <t>N Type</t>
  </si>
  <si>
    <t>N Curation Notes</t>
  </si>
  <si>
    <t>B Category</t>
  </si>
  <si>
    <t>B Schema Category</t>
  </si>
  <si>
    <t>B Field ID</t>
  </si>
  <si>
    <t>B Field Type</t>
  </si>
  <si>
    <t>B Type</t>
  </si>
  <si>
    <t>B Curation Notes</t>
  </si>
  <si>
    <t>Field Description</t>
  </si>
  <si>
    <t>Controlled vocabulary</t>
  </si>
  <si>
    <t>Field Type</t>
  </si>
  <si>
    <t>submission requiredness</t>
  </si>
  <si>
    <t>Example</t>
  </si>
  <si>
    <t>Validation Rules</t>
  </si>
  <si>
    <t>submission fieldtype</t>
  </si>
  <si>
    <t>submission validation</t>
  </si>
  <si>
    <t>I Field Name</t>
  </si>
  <si>
    <t>Index</t>
  </si>
  <si>
    <t>Search Method</t>
  </si>
  <si>
    <t>default search</t>
  </si>
  <si>
    <t>0ag</t>
  </si>
  <si>
    <t>GenBank Title</t>
  </si>
  <si>
    <t>Genbank title of the sequence.</t>
  </si>
  <si>
    <t>text</t>
  </si>
  <si>
    <t>internal</t>
  </si>
  <si>
    <t>sequence_title</t>
  </si>
  <si>
    <t>GenBank_Title</t>
  </si>
  <si>
    <t>Sample</t>
  </si>
  <si>
    <t>Sequence</t>
  </si>
  <si>
    <t>no example needed</t>
  </si>
  <si>
    <t>The title of the GenBank record associated with the sequence.</t>
  </si>
  <si>
    <t>freetext</t>
  </si>
  <si>
    <t>metadata</t>
  </si>
  <si>
    <t>full fuzzy</t>
  </si>
  <si>
    <t>0aj</t>
  </si>
  <si>
    <t>City</t>
  </si>
  <si>
    <t>City where the sample the sequence originates from was collected or sampled.</t>
  </si>
  <si>
    <t>collection_city</t>
  </si>
  <si>
    <t>geographic location (region and locality)</t>
  </si>
  <si>
    <t>Geo_Location</t>
  </si>
  <si>
    <t>Collection</t>
  </si>
  <si>
    <t>Not in VJDB, Completly new due to byCovid</t>
  </si>
  <si>
    <t>Geo Location</t>
  </si>
  <si>
    <t>The geographic location where the virus was isolated. NCBI Virus relies solely on the information provided by submitters, which may sometimes mistakenly identify regions where sequences were processed instead of the actual collection locations. The granularity of the information displayed in the column depends on the submitter. For example, it can be "Australia: Heron Island, Great Barrier Reef", or just "China". The country and other geographic location names are based on the INSDC Geographic Location list.</t>
  </si>
  <si>
    <t>split Geo_Location and compare to collection_country , ingest to collection_region and collection_city</t>
  </si>
  <si>
    <t>recommended</t>
  </si>
  <si>
    <t>Jena</t>
  </si>
  <si>
    <t>Defined list of Cities (!)</t>
  </si>
  <si>
    <t>0ap</t>
  </si>
  <si>
    <t>Genome Completeness Percentage</t>
  </si>
  <si>
    <t>The level of the sequence completeness compare to the representative sequence in refseq in percentage</t>
  </si>
  <si>
    <t>float</t>
  </si>
  <si>
    <t>Workflows</t>
  </si>
  <si>
    <t>range</t>
  </si>
  <si>
    <t>0ax</t>
  </si>
  <si>
    <t>NCBI USA</t>
  </si>
  <si>
    <t>State/Region where the sample the sequence originates from was collected/sampled.</t>
  </si>
  <si>
    <t>keyword</t>
  </si>
  <si>
    <t>USA</t>
  </si>
  <si>
    <t xml:space="preserve">This is defined different from the duplicate below. Meaning for submission Tool was to have a geographical level higher than countries (continents). We keep it (mostly redundant), might be useful for later curation; </t>
  </si>
  <si>
    <t>collection_region</t>
  </si>
  <si>
    <t>The name of US state, if sample was collected in USA.</t>
  </si>
  <si>
    <t>concatenate to collection_region</t>
  </si>
  <si>
    <t>NY; FL</t>
  </si>
  <si>
    <t>State abbreviation(!)</t>
  </si>
  <si>
    <t>combo</t>
  </si>
  <si>
    <t>controlled_vocabulary</t>
  </si>
  <si>
    <t>exact</t>
  </si>
  <si>
    <t>0ay</t>
  </si>
  <si>
    <t>Analysis Accession</t>
  </si>
  <si>
    <t>ENA analysis object Accession.</t>
  </si>
  <si>
    <t>analysis_accession_id</t>
  </si>
  <si>
    <t>analysis accession</t>
  </si>
  <si>
    <t>ENA Analysis</t>
  </si>
  <si>
    <t>VJDB Analysis</t>
  </si>
  <si>
    <t>Organizational</t>
  </si>
  <si>
    <t>Identifiers</t>
  </si>
  <si>
    <t>keep internally</t>
  </si>
  <si>
    <t>unique</t>
  </si>
  <si>
    <t>0be</t>
  </si>
  <si>
    <t>Collecting Organization</t>
  </si>
  <si>
    <t>Name of the institution/affiliation to which the person collecting the sample belongs</t>
  </si>
  <si>
    <t>collecting_institute</t>
  </si>
  <si>
    <t>collecting institution</t>
  </si>
  <si>
    <t>ENA Sample</t>
  </si>
  <si>
    <t>VJDB Sample</t>
  </si>
  <si>
    <t>conform with submitter organization; not sure</t>
  </si>
  <si>
    <t>(Mandatory) Name of the institution to which the person collecting the specimen belongs. format: institute name, institute address</t>
  </si>
  <si>
    <t>TEXT_AREA_FIELD</t>
  </si>
  <si>
    <t>mandatory</t>
  </si>
  <si>
    <t>Free text</t>
  </si>
  <si>
    <t>0bf</t>
  </si>
  <si>
    <t>Host Health State</t>
  </si>
  <si>
    <t>Health state of the host at the time of sample collection, e.g. diseased or healthy</t>
  </si>
  <si>
    <t>collection_host_health_state</t>
  </si>
  <si>
    <t>host health state</t>
  </si>
  <si>
    <t>Host</t>
  </si>
  <si>
    <t>(Mandatory) Health status of the host at the time of sample collection.</t>
  </si>
  <si>
    <t>TEXT_CHOICE_FIELD</t>
  </si>
  <si>
    <t>diseased; healthy</t>
  </si>
  <si>
    <t>Defined list of values, provided by the ENA</t>
  </si>
  <si>
    <t>exact fuzzy</t>
  </si>
  <si>
    <t>0bg</t>
  </si>
  <si>
    <t>Latitude</t>
  </si>
  <si>
    <t>The geographic location by latitude, where the sample the sequence originates from was collected/sampled. (DD)</t>
  </si>
  <si>
    <t>collection_location_latitude</t>
  </si>
  <si>
    <t>geographic location (latitude)</t>
  </si>
  <si>
    <t>lat_lon</t>
  </si>
  <si>
    <t>(Recommended) The geographical origin of the sample as defined by latitude. the values should be reported in decimal degrees and in wgs84 system (Units: DD)</t>
  </si>
  <si>
    <t xml:space="preserve">(Recommended) The geographical origin of the sample as defined by latitude. the values should be reported in decimal degrees and in wgs84 system Units: 
</t>
  </si>
  <si>
    <t>TEXT_FIELD</t>
  </si>
  <si>
    <t>-18.54; 68.277</t>
  </si>
  <si>
    <t>Coordinates in DD format. Decimal number between  -90 and 90. 90 and -90 work without decimals.</t>
  </si>
  <si>
    <t>0bh</t>
  </si>
  <si>
    <t>Longitude</t>
  </si>
  <si>
    <t>The geographic location by longitude, where the sample the sequence originates from was collected/sampled. (DD)</t>
  </si>
  <si>
    <t>collection_location_longitude</t>
  </si>
  <si>
    <t>geographic location (longitude)</t>
  </si>
  <si>
    <t>(Recommended) The geographical origin of the sample as defined by longitude. the values should be reported in decimal degrees and in wgs84 system (Units: DD)</t>
  </si>
  <si>
    <t xml:space="preserve">(Recommended) The geographical origin of the sample as defined by longitude. the values should be reported in decimal degrees and in wgs84 system Units: 
</t>
  </si>
  <si>
    <t>-102.35; 22.6</t>
  </si>
  <si>
    <t>Coordinates in DD format. Decimal number between  -180 and 180. 180 and -180 work without decimals.</t>
  </si>
  <si>
    <t>0bi</t>
  </si>
  <si>
    <t>Collection Region</t>
  </si>
  <si>
    <t>Continent where the sample the sequence originates from was collected/sampled.</t>
  </si>
  <si>
    <t>no source</t>
  </si>
  <si>
    <t xml:space="preserve">Region unclear -&gt; Check again where it came from, recheck naming and vocabulary, INSDC country list contains the oceans; Name suggestions macroregion or georegion; no direct source but constructable (group countries into clusters); </t>
  </si>
  <si>
    <t>remove</t>
  </si>
  <si>
    <t>Asia</t>
  </si>
  <si>
    <t>Defined list fo regions(!)</t>
  </si>
  <si>
    <t>0bj</t>
  </si>
  <si>
    <t>Collection Source Environment</t>
  </si>
  <si>
    <t>Describes the physical, environmental or local geographical source of the sample, e.g. soil</t>
  </si>
  <si>
    <t>collection_source_environment</t>
  </si>
  <si>
    <t>host_tissue</t>
  </si>
  <si>
    <t>isolation source non-host-associated</t>
  </si>
  <si>
    <t>env_medium? more or less</t>
  </si>
  <si>
    <t>as it is, for revision with data; not sure</t>
  </si>
  <si>
    <t>collection_source_non-host_associated</t>
  </si>
  <si>
    <t>split Tissue_Specimen_Source to collection_source_environment and collection_source_host_tissue</t>
  </si>
  <si>
    <t>(Recommended) Describes the physical, environmental and/or local geographical source of the biological sample from which the sample was derived. example: soil</t>
  </si>
  <si>
    <t>suggestion</t>
  </si>
  <si>
    <t>0bk</t>
  </si>
  <si>
    <t>Collector Name</t>
  </si>
  <si>
    <t>Name of the person that collected the sample</t>
  </si>
  <si>
    <t>collector_name</t>
  </si>
  <si>
    <t>collector name</t>
  </si>
  <si>
    <t>(Mandatory) Name of the person who collected the specimen. example: john smith</t>
  </si>
  <si>
    <t>Zuckerman,N.</t>
  </si>
  <si>
    <t>0bl</t>
  </si>
  <si>
    <t>Cutoff for Seropositive Sample</t>
  </si>
  <si>
    <t>The cuttoff used to determine if the sample is seropositive.</t>
  </si>
  <si>
    <t>cutoff_for_seropositive_sample</t>
  </si>
  <si>
    <t>definition for seropositive sample</t>
  </si>
  <si>
    <t>Clinical</t>
  </si>
  <si>
    <t>not sure</t>
  </si>
  <si>
    <t>(Recommended) The cut off value used by an investigatior in determining that a sample was seropositive.</t>
  </si>
  <si>
    <t>0bm</t>
  </si>
  <si>
    <t>Experiment Accession</t>
  </si>
  <si>
    <t>References an ENA assembly to an ENA Experiment.</t>
  </si>
  <si>
    <t>experiment_accession_id</t>
  </si>
  <si>
    <t>experiment accession?</t>
  </si>
  <si>
    <t>0bn</t>
  </si>
  <si>
    <t>Host Behaviour</t>
  </si>
  <si>
    <t>Natural behaviour of the sampled host.</t>
  </si>
  <si>
    <t>host_behaviour</t>
  </si>
  <si>
    <t>host behaviour</t>
  </si>
  <si>
    <t>(Recommended) Natural behaviour of the host.</t>
  </si>
  <si>
    <t>domestic; wild</t>
  </si>
  <si>
    <t>0bo</t>
  </si>
  <si>
    <t>Host Disease</t>
  </si>
  <si>
    <t>The hosts main disease diagnosis.</t>
  </si>
  <si>
    <t>host_disease</t>
  </si>
  <si>
    <t>disease</t>
  </si>
  <si>
    <t>0bp</t>
  </si>
  <si>
    <t>Host Disease Outcome</t>
  </si>
  <si>
    <t>The hosts disease outcome. Did the host recover from the disease?</t>
  </si>
  <si>
    <t>host_disease_outcome</t>
  </si>
  <si>
    <t>host disease outcome</t>
  </si>
  <si>
    <t>(Recommended) Disease outcome in the host.</t>
  </si>
  <si>
    <t>recovered; dead</t>
  </si>
  <si>
    <t>0bq</t>
  </si>
  <si>
    <t>Host Disease Symptoms</t>
  </si>
  <si>
    <t>The symptoms that have been reported in relation to the illness, such as cough, diarrhea, fever, headache, malaise, myalgia, nausea, runny_nose, shortness_of_breath, sore_throat. If multiple exposures are applicable, please state them separated by semicolon.</t>
  </si>
  <si>
    <t>host_disease_symptoms</t>
  </si>
  <si>
    <t>illness symptoms</t>
  </si>
  <si>
    <t>optional</t>
  </si>
  <si>
    <t>fever; headache; runny_nose</t>
  </si>
  <si>
    <t>0bs</t>
  </si>
  <si>
    <t>Host Habitat</t>
  </si>
  <si>
    <t>Natural habitat of the avian or mammalian host</t>
  </si>
  <si>
    <t>host_habitat</t>
  </si>
  <si>
    <t>host habitat</t>
  </si>
  <si>
    <t>(Recommended) Natural habitat of the avian or mammalian host.</t>
  </si>
  <si>
    <t>domestic:free-range farm; wild:resident</t>
  </si>
  <si>
    <t>0bz</t>
  </si>
  <si>
    <t>Host Subject ID</t>
  </si>
  <si>
    <t>The unique ID of the sampled host from the BV-BRC.</t>
  </si>
  <si>
    <t>host_subject_id</t>
  </si>
  <si>
    <t>host subject id</t>
  </si>
  <si>
    <t xml:space="preserve">Clinical </t>
  </si>
  <si>
    <t>(Mandatory) A unique identifier by which each subject can be referred to, de-identified, e.g. #131</t>
  </si>
  <si>
    <t>0ca</t>
  </si>
  <si>
    <t>Influenza Test Method</t>
  </si>
  <si>
    <t>Method used to assess if a sample is flu positive/negative. Multiple methods are seperated by semicolon(s).</t>
  </si>
  <si>
    <t>influenza_test_method</t>
  </si>
  <si>
    <t>influenza test method</t>
  </si>
  <si>
    <t>(Mandatory) Method by which the current assessment of a sample as flu positive/negative is made. if multiple test were performed, please state them separated by semicolon. example: rt-pcr; antigen elisa</t>
  </si>
  <si>
    <t>"RT-PCR; antigen ELISA"</t>
  </si>
  <si>
    <t>Free text (Methods) seperated by semicolon, no quotes</t>
  </si>
  <si>
    <t>0cb</t>
  </si>
  <si>
    <t>Influenza Test Result</t>
  </si>
  <si>
    <t>Result of the given methods. Positive(P) or Negative(N). For multiple test the results are delimited by semicolon, e.g. P; P.</t>
  </si>
  <si>
    <t>influenza_test_result</t>
  </si>
  <si>
    <t>influenza test result</t>
  </si>
  <si>
    <t>(Mandatory) Classification of a sample as flu positive or negative based on the test performed and reported. if multiple tests were performed, please state the results in the same order in which you reported the tests in the field 'influenza test method'. format: p(ositive)/n(egative). example: p; p</t>
  </si>
  <si>
    <t>"P;P"; "N"; "N;P"</t>
  </si>
  <si>
    <t>P(positive)/N(negative) divided by semicolons matching the number and place of the corresponding test method, no quotes.</t>
  </si>
  <si>
    <t>0cc</t>
  </si>
  <si>
    <t>Influenza Virus Type</t>
  </si>
  <si>
    <t>Influenza virus type classification: A, B or C.</t>
  </si>
  <si>
    <t>influenza_virus_type</t>
  </si>
  <si>
    <t>variant</t>
  </si>
  <si>
    <t>influenza virus type</t>
  </si>
  <si>
    <t>(Recommended) One of the three influenza virus classification types.</t>
  </si>
  <si>
    <t>A; B; C</t>
  </si>
  <si>
    <t>0ce</t>
  </si>
  <si>
    <t>Other Pathogens Test Result</t>
  </si>
  <si>
    <t>The test result for other tested pathogens given as described by influenza test result.</t>
  </si>
  <si>
    <t>other_pathogens_test_result</t>
  </si>
  <si>
    <t>other pathogens test result</t>
  </si>
  <si>
    <t>(Mandatory) Classification of a sample as positive or negative based on the test performed and reported. if tests for multiple pathogenic organisms were performed, please state the results in the same order in which you reported the tests in the field 'other pathogens tested'. format: p(ositive)/n(egative)/not applicable. example: n</t>
  </si>
  <si>
    <t>Newcastle; none</t>
  </si>
  <si>
    <t>Free text (Methods) seperated by semicolon, no quotes. See also Influenza Test Method</t>
  </si>
  <si>
    <t>0cf</t>
  </si>
  <si>
    <t>Other Pathogens Tested</t>
  </si>
  <si>
    <t>Was the sample tested for other pathogens? Insert the pathogenic organisms using semicolon as a delimiter, e.g. Newcastle. “None” is also valid.</t>
  </si>
  <si>
    <t>other_pathogens_tested</t>
  </si>
  <si>
    <t>other pathogens tested</t>
  </si>
  <si>
    <t>(Mandatory) Classification of pathogenic organisms other than influenza virus tested in the current assessment of a sample. if multiple tests were performed, please state them separated by semicolon. if no other pathogens test was performed, please state 'none'. example: newcastle</t>
  </si>
  <si>
    <t>"P;P"; N; "N;not applicable"</t>
  </si>
  <si>
    <t>P(positive)/N(negative)/not applicable divided by semicolons matching the number and place of the corresponding test method, no quotes.</t>
  </si>
  <si>
    <t>0ch</t>
  </si>
  <si>
    <t>Pangolin Version</t>
  </si>
  <si>
    <t>Pangolin version used to determine the lineage.</t>
  </si>
  <si>
    <t>pangolin_version</t>
  </si>
  <si>
    <t>PANGOLIN. PANGOLIN_VERSION _LATEST</t>
  </si>
  <si>
    <t>Analysis</t>
  </si>
  <si>
    <t>0ci</t>
  </si>
  <si>
    <t>Receipt Date</t>
  </si>
  <si>
    <t>If the sample was only received and not collected provide the receipt date.</t>
  </si>
  <si>
    <t>date</t>
  </si>
  <si>
    <t>receipt_date</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</si>
  <si>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</si>
  <si>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</si>
  <si>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2023-05-20</t>
  </si>
  <si>
    <t>YYYY-MM-DD; Some browsers can display dates in a different format, but it is still correct(!)</t>
  </si>
  <si>
    <t>0cj</t>
  </si>
  <si>
    <t>RKI Accession</t>
  </si>
  <si>
    <t>RKI Accession of the virus sequence.</t>
  </si>
  <si>
    <t>rki_sequence_id</t>
  </si>
  <si>
    <t>SEQUENCE.ID</t>
  </si>
  <si>
    <t>0ck</t>
  </si>
  <si>
    <t>Run Accession</t>
  </si>
  <si>
    <t>References a ENA assembly to an ENA Run object.</t>
  </si>
  <si>
    <t>run_accession_id</t>
  </si>
  <si>
    <t>run ref</t>
  </si>
  <si>
    <t>0cm</t>
  </si>
  <si>
    <t>Serotype</t>
  </si>
  <si>
    <t>Serological variety of a species characterised by its antigenic properties, e.g. H1N1.</t>
  </si>
  <si>
    <t>sample_serotype</t>
  </si>
  <si>
    <t>serotype</t>
  </si>
  <si>
    <t>subspecf_gen_lin; broad field</t>
  </si>
  <si>
    <t>serotype (required for a seropositive sample)</t>
  </si>
  <si>
    <t xml:space="preserve">NCBI Virus has genotype, which includes Serotype, otherwise we have no valid informational source -&gt; internal for now; </t>
  </si>
  <si>
    <t>(Recommended) Serological variety of a species characterised by its antigenic properties. for influenza, ha subtype should be the letter h followed by a number between 1-16 unless novel subtype is identified and the na subtype should be the letter n followed by a number between 1-9 unless novel subtype is identified. if only one of the subtypes have been tested then use the format h5nx or hxn1. example: h1n1</t>
  </si>
  <si>
    <t>H1N1</t>
  </si>
  <si>
    <t>0cn</t>
  </si>
  <si>
    <t>Abbreviation</t>
  </si>
  <si>
    <t>Common abbreviations of the virus species name.</t>
  </si>
  <si>
    <t>sample_species_name_abbreviation</t>
  </si>
  <si>
    <t>abbreviation</t>
  </si>
  <si>
    <t>Virus Info</t>
  </si>
  <si>
    <t>ICTV Taxonomy</t>
  </si>
  <si>
    <t>ICTV</t>
  </si>
  <si>
    <t>tbd</t>
  </si>
  <si>
    <t>HPV</t>
  </si>
  <si>
    <t>Free text, common virus name abbreviations were collected by the ICTV</t>
  </si>
  <si>
    <t>Virus name abbreviation(s)</t>
  </si>
  <si>
    <t>metadata | taxonomy</t>
  </si>
  <si>
    <t>0co</t>
  </si>
  <si>
    <t>Sample Species Tax ID</t>
  </si>
  <si>
    <t>Temporary NCBI Tax ID used for mapping the taxonomy tree to the metadata table.</t>
  </si>
  <si>
    <t>integer</t>
  </si>
  <si>
    <t>sample_species_tax_id</t>
  </si>
  <si>
    <t>tree_rank_txid</t>
  </si>
  <si>
    <t>NCBI Taxonomy</t>
  </si>
  <si>
    <t>No mapping, seems to  be NCBI Tax ID; not sure</t>
  </si>
  <si>
    <t>no search</t>
  </si>
  <si>
    <t>0cs</t>
  </si>
  <si>
    <t>Sequence Name</t>
  </si>
  <si>
    <t>Generic name of the sequence (Name of the entry).</t>
  </si>
  <si>
    <t>sequence_name</t>
  </si>
  <si>
    <t>sample_name</t>
  </si>
  <si>
    <t>assembly_name</t>
  </si>
  <si>
    <t>Genome Name</t>
  </si>
  <si>
    <t>BVBRC</t>
  </si>
  <si>
    <t>change to BVBRC_genome_name</t>
  </si>
  <si>
    <t>General Info</t>
  </si>
  <si>
    <t>genome_name</t>
  </si>
  <si>
    <t>string_ci</t>
  </si>
  <si>
    <t>change name; keep private; compare to Organism Name from NCBI Virus</t>
  </si>
  <si>
    <t>full</t>
  </si>
  <si>
    <t>0cu</t>
  </si>
  <si>
    <t>Publication DOI</t>
  </si>
  <si>
    <t>The DOI of the publication associated with the sequence.</t>
  </si>
  <si>
    <t>sequence_publication_doi</t>
  </si>
  <si>
    <t>publication_doi</t>
  </si>
  <si>
    <t>associated_resource</t>
  </si>
  <si>
    <t xml:space="preserve">needs curation before public; </t>
  </si>
  <si>
    <t>Not public in VJDB, but is already in database</t>
  </si>
  <si>
    <t>10.1000/182</t>
  </si>
  <si>
    <t>0cv</t>
  </si>
  <si>
    <t>Pubmed Accession</t>
  </si>
  <si>
    <t>The PubMed ID of publication associated with the sequence.</t>
  </si>
  <si>
    <t>sequence_pubmed_id</t>
  </si>
  <si>
    <t>pmid</t>
  </si>
  <si>
    <t>Publication</t>
  </si>
  <si>
    <t>needs curation before public; no example needed</t>
  </si>
  <si>
    <t>DB Cross Reference</t>
  </si>
  <si>
    <t>publication</t>
  </si>
  <si>
    <t>string</t>
  </si>
  <si>
    <t>multiple; to curate (compare with the number of pubs with ncbi virus)</t>
  </si>
  <si>
    <t>0cw</t>
  </si>
  <si>
    <t>Update Date</t>
  </si>
  <si>
    <t>Last update date of the sequence in BVBRC (whole entry).</t>
  </si>
  <si>
    <t>sequence_update_date</t>
  </si>
  <si>
    <t>update_date</t>
  </si>
  <si>
    <t>Date Modified</t>
  </si>
  <si>
    <t>update definition: last update date of the record in bvbrc)</t>
  </si>
  <si>
    <t>Additional Info</t>
  </si>
  <si>
    <t>date_modified</t>
  </si>
  <si>
    <t>pdate</t>
  </si>
  <si>
    <t>0cz</t>
  </si>
  <si>
    <t>Insert Size</t>
  </si>
  <si>
    <t>Insert size for paired reads.</t>
  </si>
  <si>
    <t>sequencing_insert_size</t>
  </si>
  <si>
    <t>insert size</t>
  </si>
  <si>
    <t>insert_size</t>
  </si>
  <si>
    <t>ENA Experiment</t>
  </si>
  <si>
    <t>VJDB Experiment</t>
  </si>
  <si>
    <t>(Optional) Insert size for paired reads</t>
  </si>
  <si>
    <t>0da</t>
  </si>
  <si>
    <t>Instrument</t>
  </si>
  <si>
    <t>Instrument model used for sequencing.</t>
  </si>
  <si>
    <t>sequencing_instrument</t>
  </si>
  <si>
    <t>instrument model</t>
  </si>
  <si>
    <t>seq_meth</t>
  </si>
  <si>
    <t>instrument_model</t>
  </si>
  <si>
    <t>(Mandatory) Model of the sequencing instrument.</t>
  </si>
  <si>
    <t>AB 310 Genetic Analyzer</t>
  </si>
  <si>
    <t>0db</t>
  </si>
  <si>
    <t>Library Construction Protocol</t>
  </si>
  <si>
    <t>The protocol used to construct the sequencing library.</t>
  </si>
  <si>
    <t>sequencing_library_construction_protocol</t>
  </si>
  <si>
    <t>library construction protocol</t>
  </si>
  <si>
    <t>library_construction_protocol</t>
  </si>
  <si>
    <t>(Optional) Free form text describing the protocol by which the sequencing library was constructed.</t>
  </si>
  <si>
    <t>0dc</t>
  </si>
  <si>
    <t>Library Description</t>
  </si>
  <si>
    <t>The design of the sequencing library including details of how it was constructed.</t>
  </si>
  <si>
    <t>sequencing_library_description</t>
  </si>
  <si>
    <t>design_description</t>
  </si>
  <si>
    <t>(Mandatory) Goal and setup of the individual library including library was constructed.</t>
  </si>
  <si>
    <t>(Optional) Goal and setup of the individual library including library was constructed.</t>
  </si>
  <si>
    <t>0dd</t>
  </si>
  <si>
    <t>Library Layout</t>
  </si>
  <si>
    <t>The sequencing library layout specifies whether to expect single or paired configuration of reads.</t>
  </si>
  <si>
    <t>sequencing_library_layout</t>
  </si>
  <si>
    <t>library_layout</t>
  </si>
  <si>
    <t>lib_layout</t>
  </si>
  <si>
    <t>(Mandatory) Library_layout specifies whether to expect single, paired, or other configuration of reads. in the case of paired reads, information about the relative distance and orientation is specified.</t>
  </si>
  <si>
    <t>SINGLE</t>
  </si>
  <si>
    <t>0de</t>
  </si>
  <si>
    <t>Library Name</t>
  </si>
  <si>
    <t>The name for the sequencing library if any.</t>
  </si>
  <si>
    <t>sequencing_library_name</t>
  </si>
  <si>
    <t>library name</t>
  </si>
  <si>
    <t>library_name</t>
  </si>
  <si>
    <t>(Optional) The submitter's name for this library.</t>
  </si>
  <si>
    <t>0df</t>
  </si>
  <si>
    <t>Library Selection</t>
  </si>
  <si>
    <t>The method used to select for or against, enrich, or screen the material being sequenced.</t>
  </si>
  <si>
    <t>sequencing_library_selection</t>
  </si>
  <si>
    <t>library selection</t>
  </si>
  <si>
    <t>lib_screen</t>
  </si>
  <si>
    <t>library_selection</t>
  </si>
  <si>
    <t>(Mandatory) Method used to enrich the target in the sequence library preparation</t>
  </si>
  <si>
    <t>unspecified; RANDOM</t>
  </si>
  <si>
    <t>0dg</t>
  </si>
  <si>
    <t>Library Source</t>
  </si>
  <si>
    <t>The library source specifies the type of source material that is being sequenced.</t>
  </si>
  <si>
    <t>sequencing_library_source</t>
  </si>
  <si>
    <t>library source</t>
  </si>
  <si>
    <t>library_source</t>
  </si>
  <si>
    <t>(Mandatory) The library_source specifies the type of source material that is being sequenced.</t>
  </si>
  <si>
    <t>VIRAL RNA</t>
  </si>
  <si>
    <t>0dh</t>
  </si>
  <si>
    <t>Library Strategy</t>
  </si>
  <si>
    <t>The sequencing technique intended for this sequencing library.</t>
  </si>
  <si>
    <t>sequencing_library_strategy</t>
  </si>
  <si>
    <t>strategy?</t>
  </si>
  <si>
    <t>library strategy</t>
  </si>
  <si>
    <t>library_strategy</t>
  </si>
  <si>
    <t>(Mandatory) Sequencing technique intended for this library.</t>
  </si>
  <si>
    <t>AMPLICON</t>
  </si>
  <si>
    <t>0dp</t>
  </si>
  <si>
    <t>Virus ID</t>
  </si>
  <si>
    <t>Unique ID given by the investigator as strain might not be unique.</t>
  </si>
  <si>
    <t>virus_id</t>
  </si>
  <si>
    <t>wetlab_id?</t>
  </si>
  <si>
    <t>virus identifier</t>
  </si>
  <si>
    <t>SEQUENCE. SEQUENCING_ LAB_SAMPLE_ID maybe</t>
  </si>
  <si>
    <t>(Recommended) Unique laboratory identifier assigned to the virus by the investigator. strain name is not sufficient since it might not be unique due to various passsages of the same virus. format: up to 50 alphanumeric characters</t>
  </si>
  <si>
    <t>0dq</t>
  </si>
  <si>
    <t>Antiviral Treatment</t>
  </si>
  <si>
    <t>Antiviral treatment used for this subject, such as zanamavir oseltamivir, amantadine.</t>
  </si>
  <si>
    <t>antiviral treatment</t>
  </si>
  <si>
    <t>(Optional) Antiviral treatment used for this subject, such as zanamavir oseltamivir, amantadine. example: rimantadine</t>
  </si>
  <si>
    <t>rimantadine; amantadine</t>
  </si>
  <si>
    <t>0dr</t>
  </si>
  <si>
    <t>Antiviral Treatment Dosage</t>
  </si>
  <si>
    <t>Dosage of the treatment taken by the subject. example: 0.05 mg.</t>
  </si>
  <si>
    <t>antiviral treatment dosage</t>
  </si>
  <si>
    <t>(Optional) Dosage of the treatment taken by the subject. example: 0.05 mg</t>
  </si>
  <si>
    <t>0.05 mg</t>
  </si>
  <si>
    <t>Decimal number value followed by an empty space and the unit(!)</t>
  </si>
  <si>
    <t>0ds</t>
  </si>
  <si>
    <t>Antiviral Treatment Duration</t>
  </si>
  <si>
    <t>Duration of antiviral treatment after onset of clinical symptoms in days.example: 5.</t>
  </si>
  <si>
    <t>antiviral treatment duration</t>
  </si>
  <si>
    <t>(Optional) Duration of antiviral treatment after onset of clinical symptoms in days.example: 5</t>
  </si>
  <si>
    <t>5</t>
  </si>
  <si>
    <t>Decimal number value(!)</t>
  </si>
  <si>
    <t>0dt</t>
  </si>
  <si>
    <t>Antiviral Treatment Initiation</t>
  </si>
  <si>
    <t>Initiation of antiviral treatment after onset of clinical symptoms in days. example: 2.5.</t>
  </si>
  <si>
    <t>antiviral treatment initiation</t>
  </si>
  <si>
    <t>(Optional) Initiation of antiviral treatment after onset of clinical symptoms in days. example: 2.5</t>
  </si>
  <si>
    <t>2.5</t>
  </si>
  <si>
    <t>Decimalnumber value(!)</t>
  </si>
  <si>
    <t>0dw</t>
  </si>
  <si>
    <t>Gravidity</t>
  </si>
  <si>
    <t>Whether or not the subject is gravid. if so, report date due or date post-conception and specify which of these two dates is being reported.</t>
  </si>
  <si>
    <t>gravidity</t>
  </si>
  <si>
    <t>(Optional) Whether or not the subject is gravid. if so, report date due or date post-conception and specify which of these two dates is being reported.</t>
  </si>
  <si>
    <t>no: yes, post-conception date 2020-05-07</t>
  </si>
  <si>
    <t>yes/no, if yes provide post conception date or date due with carification which one it is(!)</t>
  </si>
  <si>
    <t xml:space="preserve">no </t>
  </si>
  <si>
    <t>0dx</t>
  </si>
  <si>
    <t>Hospitalisation</t>
  </si>
  <si>
    <t>Was the subject confined to a hospital as a result of virus infection or problems occurring secondary to virus infection?</t>
  </si>
  <si>
    <t>hospitalisation</t>
  </si>
  <si>
    <t>(Optional) Was the subject confined to a hospital as a result of virus infection or problems occurring secondary to virus infection?</t>
  </si>
  <si>
    <t>yes; no</t>
  </si>
  <si>
    <t>0dy</t>
  </si>
  <si>
    <t>Host Description</t>
  </si>
  <si>
    <t>Other descriptive information relating to the host.</t>
  </si>
  <si>
    <t>host description</t>
  </si>
  <si>
    <t>(Optional) Other descriptive information relating to the host.</t>
  </si>
  <si>
    <t>textarea</t>
  </si>
  <si>
    <t>0dz</t>
  </si>
  <si>
    <t>Illness Duration</t>
  </si>
  <si>
    <t>The number of days the illness lasted. example: 4</t>
  </si>
  <si>
    <t>illness duration</t>
  </si>
  <si>
    <t>(Optional) The number of days the illness lasted. example: 4</t>
  </si>
  <si>
    <t>4</t>
  </si>
  <si>
    <t>Whole number value</t>
  </si>
  <si>
    <t>0ea</t>
  </si>
  <si>
    <t>Illness Onset Date</t>
  </si>
  <si>
    <t>Date the subject showed an onset of symptoms. format: yyyy-mm-dd. example: 2011-10-20</t>
  </si>
  <si>
    <t>illness onset date</t>
  </si>
  <si>
    <t>(Optional) Date the subject showed an onset of symptoms. format: yyyy-mm-dd. example: 2011-10-20</t>
  </si>
  <si>
    <t>2011-10-20</t>
  </si>
  <si>
    <t>0eb</t>
  </si>
  <si>
    <t>Illness Symptoms</t>
  </si>
  <si>
    <t>The symptoms that have been reported in relation to the illness, such as cough, diarrhea, fever, headache, malaise, myalgia, nausea, runny_nose, shortness_of_breath, sore_throat. if multiple exposures are applicable, please state them separated by semicolon.</t>
  </si>
  <si>
    <t>(Optional) The symptoms that have been reported in relation to the illness, such as cough, diarrhea, fever, headache, malaise, myalgia, nausea, runny_nose, shortness_of_breath, sore_throat. if multiple exposures are applicable, please state them separated by semicolon.</t>
  </si>
  <si>
    <t>fever; headache; malaise; myalgia; nausea; runny_nose</t>
  </si>
  <si>
    <t>Free text, symptoms seperated by semicolon</t>
  </si>
  <si>
    <t>0ec</t>
  </si>
  <si>
    <t>Influenza Strain Unique Number</t>
  </si>
  <si>
    <t>Unique number of the strain which is reported as a part of the influenza strain name, such as a/chicken/fujian/411/2002(hxn1). format: integer number, example: 411</t>
  </si>
  <si>
    <t>influenza strain unique number</t>
  </si>
  <si>
    <t>(Optional) Unique number of the strain which is reported as a part of the influenza strain name, such as a/chicken/fujian/411/2002(hxn1). format: integer number, example: 411</t>
  </si>
  <si>
    <t>411</t>
  </si>
  <si>
    <t>0ed</t>
  </si>
  <si>
    <t>Influenza Vaccination Date</t>
  </si>
  <si>
    <t>Date that the influenza vaccination was administered to the subject over the past year. format: yyyy-mm-dd. example: 2007-05-12</t>
  </si>
  <si>
    <t>influenza vaccination date</t>
  </si>
  <si>
    <t>(Optional) Date that the influenza vaccination was administered to the subject over the past year. format: yyyy-mm-dd. example: 2007-05-12</t>
  </si>
  <si>
    <t>2007-05-12</t>
  </si>
  <si>
    <t>0ee</t>
  </si>
  <si>
    <t>Influenza Vaccination Type</t>
  </si>
  <si>
    <t>Influenza vaccinations that have been administered to the subject over the last year. example: 2009 h1n1 flumist</t>
  </si>
  <si>
    <t>influenza vaccination type</t>
  </si>
  <si>
    <t>(Optional) Influenza vaccinations that have been administered to the subject over the last year. example: 2009 h1n1 flumist</t>
  </si>
  <si>
    <t>2009 h1n1 flumist</t>
  </si>
  <si>
    <t>0ef</t>
  </si>
  <si>
    <t>Influenza-like Illness at the Time of Sample Collection</t>
  </si>
  <si>
    <t>Is the subject at the time of sample collection considered to have influenza like illness?</t>
  </si>
  <si>
    <t>influenza-like illness at the time of sample collection</t>
  </si>
  <si>
    <t>(Optional) Is the subject at the time of sample collection considered to have influenza like illness?</t>
  </si>
  <si>
    <t>0eg</t>
  </si>
  <si>
    <t>Inoculation Dose</t>
  </si>
  <si>
    <t>Dose used for the inoculoation experiment.</t>
  </si>
  <si>
    <t>inoculation dose</t>
  </si>
  <si>
    <t>(Optional) Dose used for the inoculoation experiment.</t>
  </si>
  <si>
    <t>0eh</t>
  </si>
  <si>
    <t>Inoculation Route</t>
  </si>
  <si>
    <t>Brief description of the protocol inoculation route.</t>
  </si>
  <si>
    <t>inoculation route</t>
  </si>
  <si>
    <t>(Optional) Brief description of the protocol inoculation route.</t>
  </si>
  <si>
    <t>0ei</t>
  </si>
  <si>
    <t>Inoculation Stock Availability</t>
  </si>
  <si>
    <t>Is the virus stock used for the inoculation available?</t>
  </si>
  <si>
    <t>inoculation stock availability</t>
  </si>
  <si>
    <t>(Optional) Is the virus stock used for the inoculation available?</t>
  </si>
  <si>
    <t>0ej</t>
  </si>
  <si>
    <t>Lineage: SWL (Required for H1N1 Viruses)</t>
  </si>
  <si>
    <t>Does the h1n1 influenza virus originate from a swine-like outbreak (as opposed to a seasonal flu)?</t>
  </si>
  <si>
    <t>lineage:swl (required for H1N1 viruses)</t>
  </si>
  <si>
    <t>(Optional) Does the h1n1 influenza virus originate from a swine-like outbreak (as opposed to a seasonal flu)?</t>
  </si>
  <si>
    <t>0ek</t>
  </si>
  <si>
    <t>Meaning of Cut Off Value</t>
  </si>
  <si>
    <t>Description helping to explain what the cut off value means.</t>
  </si>
  <si>
    <t>meaning of cut off value</t>
  </si>
  <si>
    <t>(Optional) Description helping to explain what the cut off value means.</t>
  </si>
  <si>
    <t>0el</t>
  </si>
  <si>
    <t>Number of Inoculated Individuals</t>
  </si>
  <si>
    <t>Number of host individuals inoculated for the experiment.</t>
  </si>
  <si>
    <t>number of inoculated individuals</t>
  </si>
  <si>
    <t>(Optional) Number of host individuals inoculated for the experiment.</t>
  </si>
  <si>
    <t>0em</t>
  </si>
  <si>
    <t>Personal Protective Equipment</t>
  </si>
  <si>
    <t>Use of personal protective equipment, such as gloves, gowns, during any type of exposure. example: mask</t>
  </si>
  <si>
    <t>personal protective equipment</t>
  </si>
  <si>
    <t>(Optional) Use of personal protective equipment, such as gloves, gowns, during any type of exposure. example: mask</t>
  </si>
  <si>
    <t>mask</t>
  </si>
  <si>
    <t>Free text, multiple values seperated by semicolon</t>
  </si>
  <si>
    <t>0en</t>
  </si>
  <si>
    <t>Sample Capture Status</t>
  </si>
  <si>
    <t>Reason for the sample collection.</t>
  </si>
  <si>
    <t>sample capture status</t>
  </si>
  <si>
    <t>(Recommended) Reason for the sample collection.</t>
  </si>
  <si>
    <t>active surveillance in response to outbreak; market sample</t>
  </si>
  <si>
    <t>0eo</t>
  </si>
  <si>
    <t>Sample Storage Conditions</t>
  </si>
  <si>
    <t>Conditions at which sample was stored, usually storage temperature, duration and location. in soil context: explain how and for how long the soil sample was stored before dna extraction (fresh/frozen/other).</t>
  </si>
  <si>
    <t>sample storage conditions</t>
  </si>
  <si>
    <t>(Optional) Conditions at which sample was stored, usually storage temperature, duration and location. in soil context: explain how and for how long the soil sample was stored before dna extraction (fresh/frozen/other).</t>
  </si>
  <si>
    <t>(Optional) Conditions at which sample was stored, usually storage temperature, duration and location</t>
  </si>
  <si>
    <t>0ep</t>
  </si>
  <si>
    <t>Sample Description</t>
  </si>
  <si>
    <t>Free-form text describing the sample, its origin, and its method of isolation.</t>
  </si>
  <si>
    <t>sample_description</t>
  </si>
  <si>
    <t>(Optional) Free-form text describing the sample, its origin, and its method of isolation.</t>
  </si>
  <si>
    <t>0eq</t>
  </si>
  <si>
    <t>Source of Vaccination Information</t>
  </si>
  <si>
    <t>Designation of information related to vaccination history as self reported or documented.</t>
  </si>
  <si>
    <t>source of vaccination information</t>
  </si>
  <si>
    <t>(Optional) Designation of information related to vaccination history as self reported or documented.</t>
  </si>
  <si>
    <t>decoumented; self reported</t>
  </si>
  <si>
    <t>0es</t>
  </si>
  <si>
    <t>Study Description</t>
  </si>
  <si>
    <t>Briefly describes the goals, purpose, and scope of the study.  this need not be listed if it can be inherited from a referenced publication.</t>
  </si>
  <si>
    <t>study_abstract</t>
  </si>
  <si>
    <t>ENA Study</t>
  </si>
  <si>
    <t>VJDB Study</t>
  </si>
  <si>
    <t>Study</t>
  </si>
  <si>
    <t>(Optional) Briefly describes the goals, purpose, and scope of the study. this need not be listed if it can be inherited from a referenced publication.</t>
  </si>
  <si>
    <t>0et</t>
  </si>
  <si>
    <t>Subject Exposure</t>
  </si>
  <si>
    <t>Exposure of the subject to infected human or animals, such as poultry, wild bird or swine. If multiple exposures are applicable, these are separated by semicolon. Example: poultry;wild bird</t>
  </si>
  <si>
    <t>subject exposure</t>
  </si>
  <si>
    <t>(Optional) Exposure of the subject to infected human or animals, such as poultry, wild bird or swine. if multiple exposures are applicable, please state them separated by semicolon. example: poultry; wild bird</t>
  </si>
  <si>
    <t>poultry; wild  bird</t>
  </si>
  <si>
    <t>0eu</t>
  </si>
  <si>
    <t>Subject Exposure Duration</t>
  </si>
  <si>
    <t>Duration of the exposure of the subject to an infected human or animal. If multiple exposures are applicable, their duration is stated in the same order in which the exposure in the field was reported: 'subject exposure'. Example: 1 day; 0.33 days (Units: year)</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</si>
  <si>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</si>
  <si>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</si>
  <si>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(Optional) Duration of the exposure of the subject to an infected human or animal. if multiple exposures are applicable, please state their duration in the same order in which you reported the exposure in the field 'subject exposure'. example: 1 day; 0.33 days</t>
  </si>
  <si>
    <t xml:space="preserve">1 day; 0.33 days </t>
  </si>
  <si>
    <t>Decimal number value followed by an empty space and the unit(!). If there are multiple values in Subject Exposure field add equally may fields here in the same order as Subject Exposure(!)</t>
  </si>
  <si>
    <t>0ev</t>
  </si>
  <si>
    <t>Study Title</t>
  </si>
  <si>
    <t>Clear and useful title of the study/project, e.g. a title usable for a publication or the purpose of the project and its timeframe.</t>
  </si>
  <si>
    <t>title</t>
  </si>
  <si>
    <t>(Mandatory) Title of the study as would be used in a publication.</t>
  </si>
  <si>
    <t>0ew</t>
  </si>
  <si>
    <t>Experiment Title</t>
  </si>
  <si>
    <t>Clear and useful title to identify the sequencing experiment. This title will not be submitted to the ENA on submission.</t>
  </si>
  <si>
    <t>(Mandatory) Short text that can be used to call out experiment records in searches or in displays. this element is technically optional but should be used for all new records.</t>
  </si>
  <si>
    <t>(Optional) Short text that can be used to call out experiment records in searches or in displays. this element is technically optional but should be used for all new records.</t>
  </si>
  <si>
    <t>0ex</t>
  </si>
  <si>
    <t>Sample Title</t>
  </si>
  <si>
    <t>Clear and useful title to identify the sample the sequence originates from was collected/sampled. This title will not be submitted to the ENA on submission.</t>
  </si>
  <si>
    <t>(Mandatory) Short text that can be used to call out sample records in search results or in displays.</t>
  </si>
  <si>
    <t>0ey</t>
  </si>
  <si>
    <t>Type Exposure</t>
  </si>
  <si>
    <t>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</si>
  <si>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type exposure</t>
  </si>
  <si>
    <t>(Optional) 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</si>
  <si>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backyard flock; confined animal feeding operation</t>
  </si>
  <si>
    <t>Free text, multiple values seperated by semicolon. If there are multiple values in Subject Exposure field add equally may fields here in the same order as Subject Exposure(!)</t>
  </si>
  <si>
    <t>0ez</t>
  </si>
  <si>
    <t>Vaccine Dosage</t>
  </si>
  <si>
    <t>Dosage of the vaccine taken by the host. example: 0.05 ml</t>
  </si>
  <si>
    <t>vaccine dosage</t>
  </si>
  <si>
    <t>(Optional) Dosage of the vaccine taken by the subject. example: 0.05 ml</t>
  </si>
  <si>
    <t>0.05 ml</t>
  </si>
  <si>
    <t>0fa</t>
  </si>
  <si>
    <t>Vaccine Lot Number</t>
  </si>
  <si>
    <t>Lot number of the vaccine</t>
  </si>
  <si>
    <t>vaccine lot number</t>
  </si>
  <si>
    <t>(Optional) Lot number of the vaccine.</t>
  </si>
  <si>
    <t>0fb</t>
  </si>
  <si>
    <t>Vaccine Manufacturer</t>
  </si>
  <si>
    <t>Manufacturer of the vaccine.</t>
  </si>
  <si>
    <t>vaccine manufacturer</t>
  </si>
  <si>
    <t>(Optional) Manufacturer of the vaccine.</t>
  </si>
  <si>
    <t>0fc</t>
  </si>
  <si>
    <t>WHO/OIE/FAO Clade (Required for HPAI H5N1 Viruses)</t>
  </si>
  <si>
    <t>WHO/OIE/FAO clade should be included for highly pathogenic h5n1 viruses. example: 2.2</t>
  </si>
  <si>
    <t>WHO/OIE/FAO clade (required for HPAI H5N1 viruses)</t>
  </si>
  <si>
    <t>(Optional) Who/oie/fao clade should be included for highly pathogenic h5n1 viruses. example: 2.2</t>
  </si>
  <si>
    <t>2.2</t>
  </si>
  <si>
    <t>0fd</t>
  </si>
  <si>
    <t>Virus Old Names</t>
  </si>
  <si>
    <t>Collection of outdated names for a particular virus.</t>
  </si>
  <si>
    <t>0fe</t>
  </si>
  <si>
    <t>Sequence Byte Range</t>
  </si>
  <si>
    <t>Byte range data of the sample in the sequence file without the header</t>
  </si>
  <si>
    <t>Internal</t>
  </si>
  <si>
    <t>0ff</t>
  </si>
  <si>
    <t>Sequence Path</t>
  </si>
  <si>
    <t xml:space="preserve">The file location of the multiseq fasta file including the parent folder name </t>
  </si>
  <si>
    <t>0fg</t>
  </si>
  <si>
    <t>Insertion Date</t>
  </si>
  <si>
    <t>Date of the insertion into the VirJen database</t>
  </si>
  <si>
    <t>0fh</t>
  </si>
  <si>
    <t>The last date the metadata was updated in the VirJen database.</t>
  </si>
  <si>
    <t>0fj</t>
  </si>
  <si>
    <t>ICTV Subrealm</t>
  </si>
  <si>
    <t>A 'Subrealm' is a rank in the taxonomic hierarchy into which virus species can be classified. Defined by the ICTV.</t>
  </si>
  <si>
    <t>ictv_subrealm</t>
  </si>
  <si>
    <t>Taxonomy</t>
  </si>
  <si>
    <t>Virus Taxonomy</t>
  </si>
  <si>
    <t>Subrealm</t>
  </si>
  <si>
    <t>taxonomy</t>
  </si>
  <si>
    <t xml:space="preserve">exact </t>
  </si>
  <si>
    <t>0fl</t>
  </si>
  <si>
    <t>ICTV Subkingdom</t>
  </si>
  <si>
    <t>A 'Subkingdom' is a rank in the taxonomic hierarchy into which virus species can be classified. Defined by the ICTV.</t>
  </si>
  <si>
    <t>ictv_subkingdom</t>
  </si>
  <si>
    <t>Subkingdom</t>
  </si>
  <si>
    <t>0fp</t>
  </si>
  <si>
    <t>ICTV Subclass</t>
  </si>
  <si>
    <t>A 'Subclass' is a rank in the taxonomic hierarchy into which virus species can be classified. Defined by the ICTV.</t>
  </si>
  <si>
    <t>ictv_subclass</t>
  </si>
  <si>
    <t>Subclass</t>
  </si>
  <si>
    <t>0fy</t>
  </si>
  <si>
    <t>NCBI Subrealm</t>
  </si>
  <si>
    <t>A 'Subrealm' is a rank in the taxonomic hierarchy into which virus species can be classified. Defined by the NCBI.</t>
  </si>
  <si>
    <t>ncbi_subrealm</t>
  </si>
  <si>
    <t>0ga</t>
  </si>
  <si>
    <t>NCBI Subkingdom</t>
  </si>
  <si>
    <t>A 'Subkingdom' is a rank in the taxonomic hierarchy into which virus species can be classified. Defined by the NCBI.</t>
  </si>
  <si>
    <t>ncbi_subkingdom</t>
  </si>
  <si>
    <t>0ge</t>
  </si>
  <si>
    <t>NCBI Subclass</t>
  </si>
  <si>
    <t>A 'Subclass' is a rank in the taxonomic hierarchy into which virus species can be classified. Defined by the NCBI.</t>
  </si>
  <si>
    <t>ncbi_subclass</t>
  </si>
  <si>
    <t>0gq</t>
  </si>
  <si>
    <t>Host Age Normalized</t>
  </si>
  <si>
    <t>Host Ages in a uniform unit, TBD</t>
  </si>
  <si>
    <t>Use for sorting by host age, and relevant for plotting; not sure</t>
  </si>
  <si>
    <t>0gs</t>
  </si>
  <si>
    <t>Lab Passaged</t>
  </si>
  <si>
    <t>Indicator that sequences came from samples from a laboratory setting, and not from a wild host.</t>
  </si>
  <si>
    <t>0gx</t>
  </si>
  <si>
    <t>ViralZone Page</t>
  </si>
  <si>
    <t>There is one page in Viralzone associated to this Taxon ID.</t>
  </si>
  <si>
    <t>boolean</t>
  </si>
  <si>
    <t>Source</t>
  </si>
  <si>
    <t>Flags</t>
  </si>
  <si>
    <t>ViralZone</t>
  </si>
  <si>
    <t>0gz</t>
  </si>
  <si>
    <t>ICTV ID</t>
  </si>
  <si>
    <t>ICTV ID from Master_Species_List file</t>
  </si>
  <si>
    <t>ICTV_ID</t>
  </si>
  <si>
    <t>0ha</t>
  </si>
  <si>
    <t>ICTV Virus name</t>
  </si>
  <si>
    <t>Commonly used virus name (or names separated by a semi-colon).</t>
  </si>
  <si>
    <t>Virus name(s)</t>
  </si>
  <si>
    <t>0hc</t>
  </si>
  <si>
    <t>Taxonomy Tree Hash</t>
  </si>
  <si>
    <t>Hash ontent for the rank in the taxonomy tree.</t>
  </si>
  <si>
    <t>0hd</t>
  </si>
  <si>
    <t>Current VirJen Version</t>
  </si>
  <si>
    <t>A flag that indicates if the record is the latest update in VirJenDB database</t>
  </si>
  <si>
    <t>0he</t>
  </si>
  <si>
    <t>Updated Fields</t>
  </si>
  <si>
    <t>List of VirJenDB metadata fields and their content when they are updated in each release in compare to the previous version</t>
  </si>
  <si>
    <t>0hh</t>
  </si>
  <si>
    <t>Genome Sequence</t>
  </si>
  <si>
    <t>Virus genome sequence</t>
  </si>
  <si>
    <t>NCBI Virus|BVBRC|GTDB</t>
  </si>
  <si>
    <t>sequence</t>
  </si>
  <si>
    <t>0hi</t>
  </si>
  <si>
    <t>Genome Sequence Hash</t>
  </si>
  <si>
    <t>VIrus genome sequence hash SHA256</t>
  </si>
  <si>
    <t>0hp</t>
  </si>
  <si>
    <t>Host Assembly Program</t>
  </si>
  <si>
    <t>The program used for host genome assembly.</t>
  </si>
  <si>
    <t>host_assembly_program</t>
  </si>
  <si>
    <t>IMG/VR|PhiSpy|PhD</t>
  </si>
  <si>
    <t>0hv</t>
  </si>
  <si>
    <t>phage id</t>
  </si>
  <si>
    <t>phage id internal identifier</t>
  </si>
  <si>
    <t>phage_id</t>
  </si>
  <si>
    <t>From Malte's dataset, deprecated (VirJenDB Accession as new Identifier), soon to be removed</t>
  </si>
  <si>
    <t>0hy</t>
  </si>
  <si>
    <t xml:space="preserve">ICTV Lineage Hash List </t>
  </si>
  <si>
    <t>The list of the hash for the lineage of the rank in the ICTV VMR.</t>
  </si>
  <si>
    <t>0hz</t>
  </si>
  <si>
    <t>Parent Hash</t>
  </si>
  <si>
    <t>Taxonomy Table Hash ID of the Parent Rank</t>
  </si>
  <si>
    <t>0ia</t>
  </si>
  <si>
    <t>Rank Hash</t>
  </si>
  <si>
    <t>Taxonomy Table Hash ID of the Rank</t>
  </si>
  <si>
    <t>0ib</t>
  </si>
  <si>
    <t>ICTV Rank Name</t>
  </si>
  <si>
    <t>0ic</t>
  </si>
  <si>
    <t>ICTV Rank Type</t>
  </si>
  <si>
    <t>0id</t>
  </si>
  <si>
    <t>IMGVR UVIG ID</t>
  </si>
  <si>
    <t>imgvr_uvig_id</t>
  </si>
  <si>
    <t>Identifier</t>
  </si>
  <si>
    <t>no</t>
  </si>
  <si>
    <t>0ie</t>
  </si>
  <si>
    <t>Coding Strand</t>
  </si>
  <si>
    <t>True if the current virus sequence is a coding strand. Calculated by part of the ViralClust tool suite. Only intended for ssRNA viruses.</t>
  </si>
  <si>
    <t>public</t>
  </si>
  <si>
    <t>TRUE</t>
  </si>
  <si>
    <t>TRUE: is coding strand
FALSE: is reverse complement</t>
  </si>
  <si>
    <t>0ig</t>
  </si>
  <si>
    <t>Host Confidence Score</t>
  </si>
  <si>
    <t xml:space="preserve">Confidence score associated with the method by which "Host Accession ID" from NCBI GenBank or or "NCBI Taxonomy Lineage" was associated to the virus sequence. Multiple host associations/predictions separated by semicolons. </t>
  </si>
  <si>
    <t>host_insdc_accession_id</t>
  </si>
  <si>
    <t>0il</t>
  </si>
  <si>
    <t>CheckV Contig Length</t>
  </si>
  <si>
    <t>Length of the sequence as calculated by CheckV v1.0.1 against the default CheckV database v1.5. For more information about CheckV please see the tool page at: https://bitbucket.org/berkeleylab/checkv/src/master</t>
  </si>
  <si>
    <t>0im</t>
  </si>
  <si>
    <t>CheckV Provirus</t>
  </si>
  <si>
    <t>Prediction of whether the sequence is a provirus by CheckV v1.0.1 against the default CheckV database v1.5. [Yes/No] For more information about CheckV please see the tool page at: https://bitbucket.org/berkeleylab/checkv/src/master</t>
  </si>
  <si>
    <t>0in</t>
  </si>
  <si>
    <t>CheckV Proviral Length</t>
  </si>
  <si>
    <t>If the sequence is predicated as a provirus, the length ofthe provirus, calculated by CheckV v1.0.1 against the default CheckV database v1.5. For more information about CheckV please see the tool page at: https://bitbucket.org/berkeleylab/checkv/src/master</t>
  </si>
  <si>
    <t>0io</t>
  </si>
  <si>
    <t>CheckV Gene Count</t>
  </si>
  <si>
    <t>The number of genes in the virus sequence as calculated by CheckV v1.0.1 against the default CheckV database v1.5. For more information about CheckV please see the tool page at: https://bitbucket.org/berkeleylab/checkv/src/master</t>
  </si>
  <si>
    <t>0ip</t>
  </si>
  <si>
    <t>CheckV Viral Genes</t>
  </si>
  <si>
    <t>The number of virus genes in the virus sequence as calculated by CheckV v1.0.1 against the default CheckV database v1.5. For more information about CheckV please see the tool page at: https://bitbucket.org/berkeleylab/checkv/src/master</t>
  </si>
  <si>
    <t>0iq</t>
  </si>
  <si>
    <t>CheckV Host Genes</t>
  </si>
  <si>
    <t>The number of host genes as calculated by CheckV v1.0.1 against the default CheckV database v1.5. For more information about CheckV please see the tool page at: https://bitbucket.org/berkeleylab/checkv/src/master</t>
  </si>
  <si>
    <t>0ir</t>
  </si>
  <si>
    <t>CheckV Quality</t>
  </si>
  <si>
    <t>Quality tier of the virus genome as noted by CheckV v1.0.1 against the default CheckV database v1.5. For more information about CheckV please see the tool page at: https://bitbucket.org/berkeleylab/checkv/src/master 
Possible values:
Complete
High-quality (&gt;90% completeness)
Medium-quality (50-90% completeness)
Low-quality (&lt;50% completeness)
Undetermined quality</t>
  </si>
  <si>
    <t>0is</t>
  </si>
  <si>
    <t>CheckV MIUVIG Quality</t>
  </si>
  <si>
    <t>MIUVIG quality as noted by CheckV v1.0.1 against the default CheckV database v1.5. For more information about CheckV please see the tool page at: https://bitbucket.org/berkeleylab/checkv/src/master</t>
  </si>
  <si>
    <t>0it</t>
  </si>
  <si>
    <t>CheckV Completeness</t>
  </si>
  <si>
    <t>Completeness of the virus genome sequenceas calculated by CheckV v1.0.1 against the default CheckV database v1.5. For more information about CheckV please see the tool page at: https://bitbucket.org/berkeleylab/checkv/src/master</t>
  </si>
  <si>
    <t>0iu</t>
  </si>
  <si>
    <t>CheckV Completeness Method</t>
  </si>
  <si>
    <t>Method of determining the completeness of the virus genome sequence as calculated by CheckV v1.0.1 against the default CheckV database v1.5. For more information about CheckV please see the tool page at: https://bitbucket.org/berkeleylab/checkv/src/master</t>
  </si>
  <si>
    <t>0iv</t>
  </si>
  <si>
    <t>CheckV Contamination</t>
  </si>
  <si>
    <t>Amount of virus genome sequence contamination as calculated by CheckV v1.0.1 against the default CheckV database v1.5. For more information about CheckV please see the tool page at: https://bitbucket.org/berkeleylab/checkv/src/master</t>
  </si>
  <si>
    <t>0iw</t>
  </si>
  <si>
    <t>CheckV Kmer Freq</t>
  </si>
  <si>
    <t>Number of times the virus genome was found in the as calculated by CheckV v1.0.1 against the default CheckV database v1.5. For more information about CheckV please see the tool page at: https://bitbucket.org/berkeleylab/checkv/src/master</t>
  </si>
  <si>
    <t>0ix</t>
  </si>
  <si>
    <t>CheckV Warnings</t>
  </si>
  <si>
    <t>Warnings generated by running CheckV v1.0.1 against the default CheckV database v1.5. For more information about CheckV please see the tool page at: https://bitbucket.org/berkeleylab/checkv/src/master</t>
  </si>
  <si>
    <t>0cr</t>
  </si>
  <si>
    <t>Length Coverage</t>
  </si>
  <si>
    <t>Percentage of Ns within the whole sequence from BVBRC.</t>
  </si>
  <si>
    <t>NA</t>
  </si>
  <si>
    <t>sequence_length_coverage</t>
  </si>
  <si>
    <t>compl_score; only half of the definition is used</t>
  </si>
  <si>
    <t>remove; change the name and id: sequence_perc_N</t>
  </si>
  <si>
    <t>0ct</t>
  </si>
  <si>
    <t>Number of Contigs</t>
  </si>
  <si>
    <t>Number of contigs in the sequence.</t>
  </si>
  <si>
    <t>sequence_number_of_contigs</t>
  </si>
  <si>
    <t>number_of_contigs</t>
  </si>
  <si>
    <t>number_contig</t>
  </si>
  <si>
    <t>1;13</t>
  </si>
  <si>
    <t>Whole number value(!)</t>
  </si>
  <si>
    <t>0cx</t>
  </si>
  <si>
    <t>Sequence Version</t>
  </si>
  <si>
    <t>Version of the sequence (whole entry).</t>
  </si>
  <si>
    <t>sequence_version</t>
  </si>
  <si>
    <t>sample_version</t>
  </si>
  <si>
    <t>SEQUENCE.VERSION</t>
  </si>
  <si>
    <t>0dj</t>
  </si>
  <si>
    <t>Sequencing Reason</t>
  </si>
  <si>
    <t>Why was the collected sample sequenced?</t>
  </si>
  <si>
    <t>sequencing_reason</t>
  </si>
  <si>
    <t>SEQUENCE. SEQUENCING_REASON; different vocabulary</t>
  </si>
  <si>
    <t>0az</t>
  </si>
  <si>
    <t>Assembly Level</t>
  </si>
  <si>
    <t>The level of the Assembly (contig, scaffold, chromosome, complete genome).</t>
  </si>
  <si>
    <t>private</t>
  </si>
  <si>
    <t>assembly_level</t>
  </si>
  <si>
    <t>assembly level</t>
  </si>
  <si>
    <t>apply customization to vjdb , e.g. chromosome to genome or something; input not yet defined</t>
  </si>
  <si>
    <t>0ba</t>
  </si>
  <si>
    <t>Min Gap Length</t>
  </si>
  <si>
    <t>Minimum length of consecutive Ns to be considered a gap.</t>
  </si>
  <si>
    <t>assembly_min_gap_length</t>
  </si>
  <si>
    <t>assembly description</t>
  </si>
  <si>
    <t>0bb</t>
  </si>
  <si>
    <t>Assembly Program</t>
  </si>
  <si>
    <t>The program used for genome assembly.</t>
  </si>
  <si>
    <t>assembly_program</t>
  </si>
  <si>
    <t>assembler_software</t>
  </si>
  <si>
    <t>assembly program</t>
  </si>
  <si>
    <t>assembly_software</t>
  </si>
  <si>
    <t>Assembly Method</t>
  </si>
  <si>
    <t>Sequence Info</t>
  </si>
  <si>
    <t>assembly_method</t>
  </si>
  <si>
    <t>not in the bvbrc api</t>
  </si>
  <si>
    <t>0bc</t>
  </si>
  <si>
    <t>Assembly Type</t>
  </si>
  <si>
    <t>Identifier on how to treat the submitted assembly. Currently only assemblies from ‘clone or isolate’ are permitted.</t>
  </si>
  <si>
    <t>assembly_type</t>
  </si>
  <si>
    <t xml:space="preserve">for submission this is always "clone or isolate"; </t>
  </si>
  <si>
    <t>clone or isolate</t>
  </si>
  <si>
    <t>Defined list of values, for submissions it is always "clone or isolate"(!)</t>
  </si>
  <si>
    <t>0bt</t>
  </si>
  <si>
    <t>Lab Host Common Name</t>
  </si>
  <si>
    <t>BVBRC Lab Host, common name of the lab host.</t>
  </si>
  <si>
    <t>Lab Host</t>
  </si>
  <si>
    <t>Host Info</t>
  </si>
  <si>
    <t>remove? Lab Passage 1 to 1 in public and rest in private for submission, because Lab Passaged is buil on "/labhost", to catch this we provide these fields; not sure</t>
  </si>
  <si>
    <t>host_lab_common_name</t>
  </si>
  <si>
    <t>lab_host</t>
  </si>
  <si>
    <t>new</t>
  </si>
  <si>
    <t>0bu</t>
  </si>
  <si>
    <t>Lab Host NCBI Tax ID</t>
  </si>
  <si>
    <t>The NCBI Taxonomy ID of the lab host.</t>
  </si>
  <si>
    <t>host_lab_NCBI_tax_id</t>
  </si>
  <si>
    <t>specific_host</t>
  </si>
  <si>
    <t>remove?; not sure</t>
  </si>
  <si>
    <t>0bv</t>
  </si>
  <si>
    <t>Lab Host Species</t>
  </si>
  <si>
    <t>The scientific species name of the lab host.</t>
  </si>
  <si>
    <t>host_lab_scientific_name</t>
  </si>
  <si>
    <t>0du</t>
  </si>
  <si>
    <t>File Format</t>
  </si>
  <si>
    <t>The run data file model.</t>
  </si>
  <si>
    <t>file_format</t>
  </si>
  <si>
    <t>ENA Run</t>
  </si>
  <si>
    <t>VJDB Run</t>
  </si>
  <si>
    <t>(Mandatory) The run data file model.</t>
  </si>
  <si>
    <t>0dv</t>
  </si>
  <si>
    <t>File Name</t>
  </si>
  <si>
    <t>The name or relative pathname of a run data file.</t>
  </si>
  <si>
    <t>file_name</t>
  </si>
  <si>
    <t>(Mandatory) The name or relative pathname of a run data file.</t>
  </si>
  <si>
    <t>0go</t>
  </si>
  <si>
    <t>Host Age</t>
  </si>
  <si>
    <t>Host age given by a number. Is connected to Host Age Unit. The number should match the unit. E.g. 2 years</t>
  </si>
  <si>
    <t>37</t>
  </si>
  <si>
    <t>0gp</t>
  </si>
  <si>
    <t>Host Age Unit</t>
  </si>
  <si>
    <t>Unit that describes the host age. Is connected to Host Age. Should fit the number, e.g. 2 years</t>
  </si>
  <si>
    <t>host_age_unit</t>
  </si>
  <si>
    <t xml:space="preserve">These two private for submission, one field for public where it is combined and one for normalized values (also for filtering); </t>
  </si>
  <si>
    <t>days; years</t>
  </si>
  <si>
    <t>Defined list of values, provided by the VJDB</t>
  </si>
  <si>
    <t>0hf</t>
  </si>
  <si>
    <t>Analysis Title</t>
  </si>
  <si>
    <t>Clear and useful title to identify the analysis of your sequencing experiment. This title will not be submitted to the ENA on submission.</t>
  </si>
  <si>
    <t>0aa</t>
  </si>
  <si>
    <t>INSDC Accession</t>
  </si>
  <si>
    <t>GenBank Accession of the virus sequence. It equals NCBI Accession, ENA Accession, and DDBJ Accession, which are part of the INSDC.</t>
  </si>
  <si>
    <t>insdc_accession_id</t>
  </si>
  <si>
    <t>genbank_accession_number</t>
  </si>
  <si>
    <t>Accession</t>
  </si>
  <si>
    <t>GenBank Accessions</t>
  </si>
  <si>
    <t>NCBI Virus|BVBRC</t>
  </si>
  <si>
    <t>A unique identifier (Nucleotide, Protein or Assembly Accession, depending on the selected tab) assigned to the sequence record in GenBank.</t>
  </si>
  <si>
    <t>genbank_accessions</t>
  </si>
  <si>
    <t>metadata | sequence</t>
  </si>
  <si>
    <t>0ab</t>
  </si>
  <si>
    <t>Assembly Accession</t>
  </si>
  <si>
    <t>NCBI Assembly Accession of the virus sequence.</t>
  </si>
  <si>
    <t>assembly_accession_id</t>
  </si>
  <si>
    <t>assembly_accession</t>
  </si>
  <si>
    <t>Assembly</t>
  </si>
  <si>
    <t>NCBI Virus Assembly accession number. For more information about NCBI Virus assembly, see Data Model, Type of Data and Dataflow section.</t>
  </si>
  <si>
    <t>without version</t>
  </si>
  <si>
    <t>0ac</t>
  </si>
  <si>
    <t>Bioproject Accession</t>
  </si>
  <si>
    <t xml:space="preserve">References the BioProject Accession that the virus sequence is a part of (INSDC). </t>
  </si>
  <si>
    <t>bioproject_accession_id</t>
  </si>
  <si>
    <t>bioproject</t>
  </si>
  <si>
    <t>study accession</t>
  </si>
  <si>
    <t>BioProject</t>
  </si>
  <si>
    <t>BioProject Accession</t>
  </si>
  <si>
    <t>The BioProject accession number associated with the sequence.</t>
  </si>
  <si>
    <t>bioproject_accession</t>
  </si>
  <si>
    <t>0ad</t>
  </si>
  <si>
    <t>Biosample Accession</t>
  </si>
  <si>
    <t>References the BioSample Accession that the virus sequence is a part of (INSDC).</t>
  </si>
  <si>
    <t>biosample_accession_id</t>
  </si>
  <si>
    <t>biosample_accession</t>
  </si>
  <si>
    <t>sample accession</t>
  </si>
  <si>
    <t>source_mat_id?</t>
  </si>
  <si>
    <t>BioSample</t>
  </si>
  <si>
    <t>BioSample Accession</t>
  </si>
  <si>
    <t>The BioSample accession number associated with the sequence.</t>
  </si>
  <si>
    <t>0ae</t>
  </si>
  <si>
    <t>Collection Date</t>
  </si>
  <si>
    <t>Date when the sample the virus sequence originates from was collected or sampled.</t>
  </si>
  <si>
    <t>collection_date</t>
  </si>
  <si>
    <t>collection date</t>
  </si>
  <si>
    <t>SEQUENCE. DATE_OF_SAMPLING</t>
  </si>
  <si>
    <t>collection_date; has intervall</t>
  </si>
  <si>
    <t>Collection_Date</t>
  </si>
  <si>
    <t xml:space="preserve">would be "Date" but to make distinction as there are multiple dates; </t>
  </si>
  <si>
    <t>Is public in VJDB, needs restructuring due to byCovid</t>
  </si>
  <si>
    <t>The date when the virus sample was collected.</t>
  </si>
  <si>
    <t>Isolate Info</t>
  </si>
  <si>
    <t>Isolation Metadata</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</si>
  <si>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</si>
  <si>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2023-05-28</t>
  </si>
  <si>
    <t>YYYY-MM-DD; Some browsers can display dates in a different format, but it is still correct</t>
  </si>
  <si>
    <t>0af</t>
  </si>
  <si>
    <t>Country</t>
  </si>
  <si>
    <t>Country or sea area where the sample the virus sequence originates from was collected or sampled.</t>
  </si>
  <si>
    <t>collection_country</t>
  </si>
  <si>
    <t>country</t>
  </si>
  <si>
    <t>geographic location (country and/or sea)</t>
  </si>
  <si>
    <t>geo_loc_name</t>
  </si>
  <si>
    <t>Isolation Country</t>
  </si>
  <si>
    <t>The country of specimen collection.</t>
  </si>
  <si>
    <t>isolation_country</t>
  </si>
  <si>
    <t>(Mandatory) The geographical origin of where the sample was collected from, with the intention of sequencing, as defined by the country or sea name. country or sea names should be chosen from the insdc country list (http://insdc.org/country.html).</t>
  </si>
  <si>
    <t>(Mandatory) The location the sample was collected from with the intention of sequencing, as defined by the country or sea. country or sea names should be chosen from the insdc country list (http://insdc.org/country.html).</t>
  </si>
  <si>
    <t>Germany</t>
  </si>
  <si>
    <t>Defined list of countries, provided by the INSDC</t>
  </si>
  <si>
    <t>0ah</t>
  </si>
  <si>
    <t>GenBank Sequence</t>
  </si>
  <si>
    <t>Determines if this virus sequence is available in Genbank.</t>
  </si>
  <si>
    <t>is_genbank_sequence</t>
  </si>
  <si>
    <t>GenBank_RefSeq</t>
  </si>
  <si>
    <t>GenBank/RefSeq</t>
  </si>
  <si>
    <t>Specifies if the sequence is from GenBank or RefSeq database.</t>
  </si>
  <si>
    <t>convert GenBank/RefSeq input to boolean</t>
  </si>
  <si>
    <t>true</t>
  </si>
  <si>
    <t>boolean value(!)</t>
  </si>
  <si>
    <t>0ai</t>
  </si>
  <si>
    <t>RefSeq Sequence</t>
  </si>
  <si>
    <t>Determines if this virus sequence is a reference sequence in the RefSeq database.</t>
  </si>
  <si>
    <t>is_reference_sequence</t>
  </si>
  <si>
    <t>refseq_flag</t>
  </si>
  <si>
    <t>Reference</t>
  </si>
  <si>
    <t>Type Info</t>
  </si>
  <si>
    <t>reference_genome</t>
  </si>
  <si>
    <t>if reference sequence, value = "Reference"</t>
  </si>
  <si>
    <t>0ak</t>
  </si>
  <si>
    <t>Collection Geo Location</t>
  </si>
  <si>
    <t>Country name and additional identifier like a state abbreviation from where the sample the sequence originates from was collected/sampled.</t>
  </si>
  <si>
    <t>collection_geo_location</t>
  </si>
  <si>
    <t>Geographic Location</t>
  </si>
  <si>
    <t xml:space="preserve">shown until further revised; </t>
  </si>
  <si>
    <t>geographic_location</t>
  </si>
  <si>
    <t>(Recommended) The geographical origin of the sample as defined by the specific region name followed by the locality name.</t>
  </si>
  <si>
    <t xml:space="preserve">USA: NY </t>
  </si>
  <si>
    <t>Defined list of countries, provided by the INSDC: State or similar closer region(!)</t>
  </si>
  <si>
    <t>0al</t>
  </si>
  <si>
    <t>Host Common Name</t>
  </si>
  <si>
    <t>Common name of the host the virus sequence was collected from, e.g. human. Currently (v1.0) no ontology is applied.</t>
  </si>
  <si>
    <t>host_natural_common_name</t>
  </si>
  <si>
    <t>host common name</t>
  </si>
  <si>
    <t>Host Taxonomy</t>
  </si>
  <si>
    <t>The host organism from which the virus was isolated. This is the submitter-provided host organism, not the full host range known for the virus. For more information, see Glossary: Host.</t>
  </si>
  <si>
    <t>host_common_name</t>
  </si>
  <si>
    <t>(Mandatory) Common name of the host, e.g. human</t>
  </si>
  <si>
    <t>human</t>
  </si>
  <si>
    <t>0am</t>
  </si>
  <si>
    <t>Sequence Length</t>
  </si>
  <si>
    <t>Length of the virus sequence in basepairs (bp).</t>
  </si>
  <si>
    <t>sequence_length</t>
  </si>
  <si>
    <t>Length</t>
  </si>
  <si>
    <t>Size</t>
  </si>
  <si>
    <t xml:space="preserve">Is sequence in the name needed? Length to generic -&gt; Sequence Length (consideration for other data layers); </t>
  </si>
  <si>
    <t>Sequence length, the number of nucleotides or amino acids in the sequence.</t>
  </si>
  <si>
    <t>Genome Statistics</t>
  </si>
  <si>
    <t>genome_length</t>
  </si>
  <si>
    <t>int</t>
  </si>
  <si>
    <t>10201</t>
  </si>
  <si>
    <t>Integer value; Number of basepairs (bp)(!)</t>
  </si>
  <si>
    <t>0an</t>
  </si>
  <si>
    <t>Molecule Type</t>
  </si>
  <si>
    <t>Molecule type of the sequence, e.g. ssRNA. Note that there are 15 molecule types corresponding to combinations of the Baltimore Classifications, from NCBI GenBank.</t>
  </si>
  <si>
    <t>molecule_type</t>
  </si>
  <si>
    <t>molecule type</t>
  </si>
  <si>
    <t>Molecule_type</t>
  </si>
  <si>
    <t xml:space="preserve">Should be curated into Baltimore classes; Is this a sequence attribute or sample or both? Represent in naming?; </t>
  </si>
  <si>
    <t>Genome molecule type, type of viral nucleic acid, as provided by ICTV. For more information, see Glossary: Genome Molecule Type.</t>
  </si>
  <si>
    <t>ssRNA(+)</t>
  </si>
  <si>
    <t>Defined list of values(!)</t>
  </si>
  <si>
    <t>0ao</t>
  </si>
  <si>
    <t>Genome Completeness</t>
  </si>
  <si>
    <t>Wether the sequence is a partial or complete sequence in NCBI GenBank.</t>
  </si>
  <si>
    <t>sequence_completeness</t>
  </si>
  <si>
    <t>genome_coverage</t>
  </si>
  <si>
    <t>Nuc_Completeness</t>
  </si>
  <si>
    <t>Nuc Completeness</t>
  </si>
  <si>
    <t>Indicates if the nucleotide sequence is complete or partial. Nucleotide sequences are considered complete, if they were submitted as such to GenBank or other INSDC databases. For more information, see Glossary: Nucleotide Completeness.</t>
  </si>
  <si>
    <t>partial; complete</t>
  </si>
  <si>
    <t>Is "partial" or "complete"(!)</t>
  </si>
  <si>
    <t>0aq</t>
  </si>
  <si>
    <t>Organism Name</t>
  </si>
  <si>
    <t>NCBI GenBank organism name: a taxonomic name at species level or below the species level.</t>
  </si>
  <si>
    <t>Organism_Name</t>
  </si>
  <si>
    <t>organism_name</t>
  </si>
  <si>
    <t xml:space="preserve">technically sample species or below, take as it is until curation; </t>
  </si>
  <si>
    <t>sample_organism_name</t>
  </si>
  <si>
    <t>Gen Bank organism name, a taxonomic name at species level or below the species level.</t>
  </si>
  <si>
    <t>Influenza A virus (A/goose/Guangdong/1/1996(H5N1))</t>
  </si>
  <si>
    <t>Free text; Should be species level or below(!)</t>
  </si>
  <si>
    <t>0ar</t>
  </si>
  <si>
    <t>Submitter Organization</t>
  </si>
  <si>
    <t>Organization the submitter(s) is(are) affiliated with.</t>
  </si>
  <si>
    <t>submitter_organization</t>
  </si>
  <si>
    <t>organization</t>
  </si>
  <si>
    <t>Organization</t>
  </si>
  <si>
    <t>Submission</t>
  </si>
  <si>
    <t>Organization or institution the sequence submitters affiliated with, as well as country or location of the organization.</t>
  </si>
  <si>
    <t>may need to split Organization to submitter_region</t>
  </si>
  <si>
    <t>National Center for Biotechnology Information, NIH</t>
  </si>
  <si>
    <t>0as</t>
  </si>
  <si>
    <t>Release Date</t>
  </si>
  <si>
    <t>Date when the sequence was made public in a repository (e.g. GenBank, BV-BRC).</t>
  </si>
  <si>
    <t>sequence_repository_release_date</t>
  </si>
  <si>
    <t>source_release_date</t>
  </si>
  <si>
    <t>SEQUENCE. PUSHED_TO_DWH</t>
  </si>
  <si>
    <t>Release_Date</t>
  </si>
  <si>
    <t>update definition (genbank, bvbrc)</t>
  </si>
  <si>
    <t>The date when the sequence was released in the GenBank.</t>
  </si>
  <si>
    <t>0at</t>
  </si>
  <si>
    <t>Segment Name</t>
  </si>
  <si>
    <t>Name of the virus segment. Can be a number.</t>
  </si>
  <si>
    <t>sequence_segment_name</t>
  </si>
  <si>
    <t>segment_name</t>
  </si>
  <si>
    <t>Segment</t>
  </si>
  <si>
    <t>Segment name or number representing a genome segment. For more information, see Clossary: Segment.</t>
  </si>
  <si>
    <t>spike; 1; whole genome</t>
  </si>
  <si>
    <t>0au</t>
  </si>
  <si>
    <t>SRA Accession</t>
  </si>
  <si>
    <t>NCBI Sequence Read Archive (SRA) Accession.</t>
  </si>
  <si>
    <t>sra_accession_id</t>
  </si>
  <si>
    <t>sra_accession</t>
  </si>
  <si>
    <t>SRA_Accession</t>
  </si>
  <si>
    <t>SRA accession</t>
  </si>
  <si>
    <t>NCBI Sequence Read Archive (SRA) accession number.</t>
  </si>
  <si>
    <t>0av</t>
  </si>
  <si>
    <t>Submitter</t>
  </si>
  <si>
    <t>Name(s) of the submitter(s) of the virus sequence.</t>
  </si>
  <si>
    <t>submitter</t>
  </si>
  <si>
    <t>Submitters</t>
  </si>
  <si>
    <t>Authors who submitted the sequences.</t>
  </si>
  <si>
    <t>Zuckerman,N., Mandelboim,M.</t>
  </si>
  <si>
    <t>0aw</t>
  </si>
  <si>
    <t>Collection Source Host Tissue</t>
  </si>
  <si>
    <t>Tissue, Specimen or Source of the superhost from which the sample the virus sequence originates from was collected or sampled.</t>
  </si>
  <si>
    <t>collection_source_host_tissue</t>
  </si>
  <si>
    <t>isolation source host-associated</t>
  </si>
  <si>
    <t>SEQUENCE. SAMPLE_TYPE; different vocabulary</t>
  </si>
  <si>
    <t>Tissue_Specimen_Source</t>
  </si>
  <si>
    <t xml:space="preserve">Plan about sources and vocabularies, RKI different from ENA, what about NCBI and environmental, leave it like that for now with NCBi input; </t>
  </si>
  <si>
    <t>collection_source_host_associated</t>
  </si>
  <si>
    <t>Tissue/Specimen Source</t>
  </si>
  <si>
    <t>Isolation source, part of the host organism, where the sample was obtained. For more information, see Glossary: Tissue/Specimen/Source.</t>
  </si>
  <si>
    <t>(Recommended) Name of host tissue or organ sampled for analysis. example: tracheal tissue</t>
  </si>
  <si>
    <t>brain; water; venom gland</t>
  </si>
  <si>
    <t>0bd</t>
  </si>
  <si>
    <t>BV-BRC Accession</t>
  </si>
  <si>
    <t>Accession of the sequence in the BV-BRC database.</t>
  </si>
  <si>
    <t>bvbrc_accession_id</t>
  </si>
  <si>
    <t>bvbrc_id</t>
  </si>
  <si>
    <t>Genome ID</t>
  </si>
  <si>
    <t>Change id and name to BVBRC_genome_id</t>
  </si>
  <si>
    <t>genome_id</t>
  </si>
  <si>
    <t>0br</t>
  </si>
  <si>
    <t>BV-BRC Host Group</t>
  </si>
  <si>
    <t>The host's broader group association in a taxonomic context from BV-BRC.</t>
  </si>
  <si>
    <t>host_group</t>
  </si>
  <si>
    <t>Host Group</t>
  </si>
  <si>
    <t>vertebrates; plants</t>
  </si>
  <si>
    <t>Defined list of values, provided by the BVBRC(!)</t>
  </si>
  <si>
    <t>0bw</t>
  </si>
  <si>
    <t>Host Species</t>
  </si>
  <si>
    <t>The scientific species name of the sampled host.</t>
  </si>
  <si>
    <t>host_natural_scientific_name</t>
  </si>
  <si>
    <t>host_name?</t>
  </si>
  <si>
    <t>host scientific name</t>
  </si>
  <si>
    <t>Host Name</t>
  </si>
  <si>
    <t>host_name</t>
  </si>
  <si>
    <t>they are not all scientific names</t>
  </si>
  <si>
    <t>(Mandatory) Scientific name of the natural (as opposed to laboratory) host to the organism from which sample was obtained.</t>
  </si>
  <si>
    <t>homo sapiens</t>
  </si>
  <si>
    <t>Defined by the NCBI Taxonomy(!)</t>
  </si>
  <si>
    <t>0bx</t>
  </si>
  <si>
    <t>Host NCBI Tax ID</t>
  </si>
  <si>
    <t>The host sequence NCBI Taxonomy ID. Can be based on the mapping by GTDB of the GTDB Species Name to the NCBI Taxonomy ID.</t>
  </si>
  <si>
    <t>host_NCBI_tax_id</t>
  </si>
  <si>
    <t>host_ncbi_tax_id</t>
  </si>
  <si>
    <t>(Optional) Scientific name of the laboratory host used to propagate the source organism from which the sample was obtained</t>
  </si>
  <si>
    <t>9606</t>
  </si>
  <si>
    <t>Whole number value. Defined by the NCBI Taxonomy</t>
  </si>
  <si>
    <t>0by</t>
  </si>
  <si>
    <t>BVBRC Host Sex</t>
  </si>
  <si>
    <t>Sex of the sampled host from the BV-BRC.</t>
  </si>
  <si>
    <t>host_sex</t>
  </si>
  <si>
    <t>host_gender</t>
  </si>
  <si>
    <t>host sex</t>
  </si>
  <si>
    <t>Host Gender</t>
  </si>
  <si>
    <t>(Mandatory) Gender or sex of the host.</t>
  </si>
  <si>
    <t>female; hermaphrodite</t>
  </si>
  <si>
    <t>0cd</t>
  </si>
  <si>
    <t>BV-BRC Sequence</t>
  </si>
  <si>
    <t>Flag indicating if this virus sequence is available in BV-BRC.</t>
  </si>
  <si>
    <t>add is_bvbrc</t>
  </si>
  <si>
    <t>0cg</t>
  </si>
  <si>
    <t>Pangolin Lineage</t>
  </si>
  <si>
    <t>Lineage determined by Pangolin.</t>
  </si>
  <si>
    <t>pangolin_lineage</t>
  </si>
  <si>
    <t>PANGOLIN. LINEAGE_LATEST</t>
  </si>
  <si>
    <t>Lineage</t>
  </si>
  <si>
    <t>depends on how to treat RKI data, they have pangolin leange in json format that includes version and also method information, we could either include that (bad readabiliy, or splt the relevant information for these fields)</t>
  </si>
  <si>
    <t>lineage</t>
  </si>
  <si>
    <t>0cl</t>
  </si>
  <si>
    <t>NCBI SpeciesTax ID</t>
  </si>
  <si>
    <t>The virus species NCBI Taxonomy ID.</t>
  </si>
  <si>
    <t>sample_NCBI_tax_id</t>
  </si>
  <si>
    <t>NCBI_txid</t>
  </si>
  <si>
    <t>tax_id</t>
  </si>
  <si>
    <t>samp_taxon_id</t>
  </si>
  <si>
    <t>NCBI Taxon ID</t>
  </si>
  <si>
    <t>taxon_id</t>
  </si>
  <si>
    <t>sample_ncbi_tax_id</t>
  </si>
  <si>
    <t>ncbi_tax_id</t>
  </si>
  <si>
    <t xml:space="preserve">Taxonomy Descision; </t>
  </si>
  <si>
    <t>Taxonomy Info</t>
  </si>
  <si>
    <t>(Mandatory) Ncbi taxonomy identifier. this is appropriate for individual organisms and some environmental samples.</t>
  </si>
  <si>
    <t>197911</t>
  </si>
  <si>
    <t>0cp</t>
  </si>
  <si>
    <t>Average Depth</t>
  </si>
  <si>
    <t>Average sequencing depth across the sequence from BVBRC.</t>
  </si>
  <si>
    <t>sequence_average_depth_coverage</t>
  </si>
  <si>
    <t>sequence_coverage</t>
  </si>
  <si>
    <t>Sequencing Depth</t>
  </si>
  <si>
    <t>sequencing_depth</t>
  </si>
  <si>
    <t>average</t>
  </si>
  <si>
    <t>12.0x</t>
  </si>
  <si>
    <t>Decimal number value followed by an x(!)</t>
  </si>
  <si>
    <t>0cq</t>
  </si>
  <si>
    <t>GC Content</t>
  </si>
  <si>
    <t>Percentage of G and C nucleotides in the sequence from BVBRC.</t>
  </si>
  <si>
    <t>sequence_gc_content</t>
  </si>
  <si>
    <t>gc_content</t>
  </si>
  <si>
    <t>37.355248</t>
  </si>
  <si>
    <t>Decimal number value, describes a percentage(!)</t>
  </si>
  <si>
    <t>0cy</t>
  </si>
  <si>
    <t>Sequencing Center</t>
  </si>
  <si>
    <t>Institution that sequenced the collected sample.</t>
  </si>
  <si>
    <t>sequencing_center</t>
  </si>
  <si>
    <t>sequencing_centers</t>
  </si>
  <si>
    <t>US Food and Drug Administration</t>
  </si>
  <si>
    <t>0di</t>
  </si>
  <si>
    <t>Platform</t>
  </si>
  <si>
    <t>Instrument platform used for sequencing the virus; multiple values are seperated by a semicolon (only for assemblies).</t>
  </si>
  <si>
    <t>sequencing_platform</t>
  </si>
  <si>
    <t>instrument platform</t>
  </si>
  <si>
    <t>SEQUENCE. SEQUENCING_METHOD</t>
  </si>
  <si>
    <t>Sequencing Platform</t>
  </si>
  <si>
    <t>platform</t>
  </si>
  <si>
    <t>(Mandatory) The platform record selects which sequencing platform and platform-specific runtime parameters. this will be determined by the center. optional if 'instrument_model' is provided.</t>
  </si>
  <si>
    <t>CAPILLARY</t>
  </si>
  <si>
    <t>0dk</t>
  </si>
  <si>
    <t>Sequence Source</t>
  </si>
  <si>
    <t>The name of the source database or tool by which the virus sequence was added in VirJenDB; in the case of PhiSpy-predicted prophages, the value is PhiSpy.</t>
  </si>
  <si>
    <t>source_database_name</t>
  </si>
  <si>
    <t>db_name</t>
  </si>
  <si>
    <t>change id and name to source_metadata_db, update definition</t>
  </si>
  <si>
    <t>0dl</t>
  </si>
  <si>
    <t>Submitter Country</t>
  </si>
  <si>
    <t>Country of the submitter's organization.</t>
  </si>
  <si>
    <t>submitter_country</t>
  </si>
  <si>
    <t>Org_location</t>
  </si>
  <si>
    <t>0dm</t>
  </si>
  <si>
    <t>Submitter Region</t>
  </si>
  <si>
    <t>Region or location of the organization of the submitters.</t>
  </si>
  <si>
    <t>split organization to submitter_region</t>
  </si>
  <si>
    <t>0dn</t>
  </si>
  <si>
    <t>VirJenDB Accession</t>
  </si>
  <si>
    <t>Unique identifier of the virus sequence, assigned by VirJenDB.</t>
  </si>
  <si>
    <t>virjen_id</t>
  </si>
  <si>
    <t>vj_id, sample id</t>
  </si>
  <si>
    <t>10580360</t>
  </si>
  <si>
    <t>0do</t>
  </si>
  <si>
    <t>VirJenDB Metadata Version</t>
  </si>
  <si>
    <t>Version of the virus sequence record, including metadata, assigned by VirJenDB.</t>
  </si>
  <si>
    <t>0er</t>
  </si>
  <si>
    <t>Strain</t>
  </si>
  <si>
    <t>Name of the virus strain associated with the sample from which the virus sequence was obtained.</t>
  </si>
  <si>
    <t>strain</t>
  </si>
  <si>
    <t>(Optional) Name of the strain from which the sample was obtained.</t>
  </si>
  <si>
    <t>0fi</t>
  </si>
  <si>
    <t>ICTV Realm</t>
  </si>
  <si>
    <t>A 'Realm' is the highest taxonomic rank into which a virus sequence can be classified. Defined by the ICTV.</t>
  </si>
  <si>
    <t>ictv_realm</t>
  </si>
  <si>
    <t>Realm</t>
  </si>
  <si>
    <t>0fk</t>
  </si>
  <si>
    <t>ICTV Kingdom</t>
  </si>
  <si>
    <t>A 'Kingdom' is a rank in the taxonomic hierarchy into which a virus sequence can be classified. Defined by the ICTV.</t>
  </si>
  <si>
    <t>ictv_kingdom</t>
  </si>
  <si>
    <t>Kingdom</t>
  </si>
  <si>
    <t>0fm</t>
  </si>
  <si>
    <t>ICTV Phylum</t>
  </si>
  <si>
    <t>A 'Phylum' is a rank in the taxonomic hierarchy into which a virus sequence can be classified. Defined by the ICTV.</t>
  </si>
  <si>
    <t>ictv_phylum</t>
  </si>
  <si>
    <t>Phylum</t>
  </si>
  <si>
    <t>0fn</t>
  </si>
  <si>
    <t>ICTV Subphylum</t>
  </si>
  <si>
    <t>A 'Subphylum' is a rank in the taxonomic hierarchy into which a virus sequence can be classified. Defined by the ICTV.</t>
  </si>
  <si>
    <t>ictv_subphylum</t>
  </si>
  <si>
    <t>Subphylum</t>
  </si>
  <si>
    <t>0fo</t>
  </si>
  <si>
    <t>ICTV Class</t>
  </si>
  <si>
    <t>A 'Class' is a rank in the taxonomic hierarchy into which a virus sequence can be classified. Defined by the ICTV.</t>
  </si>
  <si>
    <t>ictv_class</t>
  </si>
  <si>
    <t>Class</t>
  </si>
  <si>
    <t>0fq</t>
  </si>
  <si>
    <t>ICTV Order</t>
  </si>
  <si>
    <t>A 'Order' is a rank in the taxonomic hierarchy into which a virus sequence can be classified. Defined by the ICTV.</t>
  </si>
  <si>
    <t>ictv_order</t>
  </si>
  <si>
    <t>Order</t>
  </si>
  <si>
    <t>0fr</t>
  </si>
  <si>
    <t>ICTV Suborder</t>
  </si>
  <si>
    <t>A 'suborder' is a rank in the taxonomic hierarchy into which a virus sequence can be classified. Defined by the ICTV.</t>
  </si>
  <si>
    <t>ictv_suborder</t>
  </si>
  <si>
    <t>Suborder</t>
  </si>
  <si>
    <t>0fs</t>
  </si>
  <si>
    <t>ICTV Family</t>
  </si>
  <si>
    <t>A 'Family' is a rank in the taxonomic hierarchy into which a virus sequence can be classified. Defined by the ICTV.</t>
  </si>
  <si>
    <t>ictv_family</t>
  </si>
  <si>
    <t>Family</t>
  </si>
  <si>
    <t>0ft</t>
  </si>
  <si>
    <t>ICTV Subfamily</t>
  </si>
  <si>
    <t>A 'Subfamily' is a rank in the taxonomic hierarchy into which a virus sequence can be classified. Defined by the ICTV.</t>
  </si>
  <si>
    <t>ictv_subfamily</t>
  </si>
  <si>
    <t>Subfamily</t>
  </si>
  <si>
    <t>0fu</t>
  </si>
  <si>
    <t>ICTV Genus</t>
  </si>
  <si>
    <t>A 'Genus' is a rank in the taxonomic hierarchy into which a virus sequence can be classified. Defined by the ICTV.</t>
  </si>
  <si>
    <t>ictv_genus</t>
  </si>
  <si>
    <t>Genus</t>
  </si>
  <si>
    <t>0fv</t>
  </si>
  <si>
    <t>ICTV Subgenus</t>
  </si>
  <si>
    <t>A 'Subgenus' is a rank in the taxonomic hierarchy into which a virus sequence can be classified. Defined by the ICTV.</t>
  </si>
  <si>
    <t>ictv_subgenus</t>
  </si>
  <si>
    <t>Subgenus</t>
  </si>
  <si>
    <t>0fw</t>
  </si>
  <si>
    <t>ICTV Species</t>
  </si>
  <si>
    <t>A Species is the lowest taxonomic rank in the hierarchy approved by the ICTV. While subspecies levels of classification may exist for some viruses (e.g. Hepatitis C virus), the ICTV does not classify viruses below the species level. Defined by the ICTV.</t>
  </si>
  <si>
    <t>sample_ictv_scientific_name</t>
  </si>
  <si>
    <t>tree_rank_name</t>
  </si>
  <si>
    <t>ictv_species</t>
  </si>
  <si>
    <t>Taxonomy Descision; no example needed</t>
  </si>
  <si>
    <t>Species</t>
  </si>
  <si>
    <t>0fx</t>
  </si>
  <si>
    <t>NCBI Realm</t>
  </si>
  <si>
    <t>A 'Realm' is the highest taxonomic rank into which virus species can be classified. Defined by the NCBI.</t>
  </si>
  <si>
    <t>ncbi_realm</t>
  </si>
  <si>
    <t>0fz</t>
  </si>
  <si>
    <t>NCBI Kingdom</t>
  </si>
  <si>
    <t>A 'Kingdom' is a rank in the taxonomic hierarchy into which a virus sequence can be classified. Defined by the NCBI.</t>
  </si>
  <si>
    <t>ncbi_kingdom</t>
  </si>
  <si>
    <t>kingdom</t>
  </si>
  <si>
    <t>0gb</t>
  </si>
  <si>
    <t>NCBI Phylum</t>
  </si>
  <si>
    <t>A 'Phylum' is a rank in the taxonomic hierarchy into which a virus sequence can be classified. Defined by the NCBI.</t>
  </si>
  <si>
    <t>ncbi_phylum</t>
  </si>
  <si>
    <t>phylum</t>
  </si>
  <si>
    <t>0gc</t>
  </si>
  <si>
    <t>NCBI Subphylum</t>
  </si>
  <si>
    <t>A 'Subphylum' is a rank in the taxonomic hierarchy into which a virus sequence can be classified. Defined by the NCBI.</t>
  </si>
  <si>
    <t>ncbi_subphylum</t>
  </si>
  <si>
    <t>0gd</t>
  </si>
  <si>
    <t>NCBI Class</t>
  </si>
  <si>
    <t>A 'Class' is a rank in the taxonomic hierarchy into which a virus sequence can be classified. Defined by the NCBI.</t>
  </si>
  <si>
    <t>ncbi_class</t>
  </si>
  <si>
    <t>class</t>
  </si>
  <si>
    <t>0gf</t>
  </si>
  <si>
    <t>NCBI Order</t>
  </si>
  <si>
    <t>A 'Order' is a rank in the taxonomic hierarchy into which a virus sequence can be classified. Defined by the NCBI.</t>
  </si>
  <si>
    <t>ncbi_order</t>
  </si>
  <si>
    <t>order</t>
  </si>
  <si>
    <t>0gg</t>
  </si>
  <si>
    <t>NCBI Suborder</t>
  </si>
  <si>
    <t>A 'suborder' is a rank in the taxonomic hierarchy into which a virus sequence can be classified. Defined by the NCBI.</t>
  </si>
  <si>
    <t>ncbi_suborder</t>
  </si>
  <si>
    <t>0gh</t>
  </si>
  <si>
    <t>NCBI Family</t>
  </si>
  <si>
    <t>A 'Family' is a rank in the taxonomic hierarchy into which a virus sequence can be classified. Defined by the NCBI.</t>
  </si>
  <si>
    <t>sample_family</t>
  </si>
  <si>
    <t>ncbi_family</t>
  </si>
  <si>
    <t>Family name, as identified by NCBI Taxonomy.</t>
  </si>
  <si>
    <t>family</t>
  </si>
  <si>
    <t>0gi</t>
  </si>
  <si>
    <t>NCBI Subfamily</t>
  </si>
  <si>
    <t>A 'Subfamily' is a rank in the taxonomic hierarchy into which a virus sequence can be classified. Defined by the NCBI.</t>
  </si>
  <si>
    <t>ncbi_subfamily</t>
  </si>
  <si>
    <t>0gj</t>
  </si>
  <si>
    <t>NCBI Genus</t>
  </si>
  <si>
    <t>A 'Genus' is a rank in the taxonomic hierarchy into which virus a sequence can be classified. Defined by the NCBI.</t>
  </si>
  <si>
    <t>sample_genus</t>
  </si>
  <si>
    <t>ncbi_genus</t>
  </si>
  <si>
    <t>Genus name, as identified by NCBI Taxonomy.</t>
  </si>
  <si>
    <t>genus</t>
  </si>
  <si>
    <t>0gk</t>
  </si>
  <si>
    <t>NCBI Subgenus</t>
  </si>
  <si>
    <t>A 'Subgenus' is a rank in the taxonomic hierarchy into which a virus sequence can be classified. Defined by the NCBI.</t>
  </si>
  <si>
    <t>ncbi_subgenus</t>
  </si>
  <si>
    <t xml:space="preserve">NCBI </t>
  </si>
  <si>
    <t>0gl</t>
  </si>
  <si>
    <t>NCBI Species</t>
  </si>
  <si>
    <t>A Species is the lowest taxonomic rank in the hierarchy approved by the NCBI. While subspecies levels of classification may exist for some viruses (e.g. Hepatitis C virus), the NCBI does not classify viruses below the species level. Defined by the NCBI.</t>
  </si>
  <si>
    <t>sample_NCBI_scientific_name [sample_species_name_scientific]</t>
  </si>
  <si>
    <t>NCBI_lineage?</t>
  </si>
  <si>
    <t>scientific name</t>
  </si>
  <si>
    <t>ncbi_species</t>
  </si>
  <si>
    <t>NCBI Virus has only the virus species in this field, Taxonomy Descision; no example needed</t>
  </si>
  <si>
    <t>Species name, as defined by NCBI Taxonomy.</t>
  </si>
  <si>
    <t>species</t>
  </si>
  <si>
    <t>0gm</t>
  </si>
  <si>
    <t>Genotype</t>
  </si>
  <si>
    <t>The genotype or subtype of a virus sequence, as provided by the sequence submitter. This field comes from the "/serotype" field of the GenBank record and is shown as submitted. Consistency and accuracy may vary.</t>
  </si>
  <si>
    <t>sample_variant</t>
  </si>
  <si>
    <t>Is sample needed at all? Do we relate everything to the sequence/the virus  -&gt; Variant, Taxonomy Decision: Variant or NCBI/ICTV Variant; no example needed</t>
  </si>
  <si>
    <t>In the NCBI Virus database, the term "Genotype" refers to the genotype or subtype of a viral sequence, as provided by the sequence submitter. This information is displayed in the Genotype column of the Results Table and can also be used as a filter to refine search results.
The genotype information is parsed from the "/serotype" field of the GenBank record and is shown exactly as it was submitted by the sequence submitter. The presence, accuracy, and consistency of genotype data may vary between records, as it is not a mandatory field in the GenBank submission process.</t>
  </si>
  <si>
    <t>0gn</t>
  </si>
  <si>
    <t>Isolate</t>
  </si>
  <si>
    <t>Name of the virus isolate associated with the sample from which the virus sequence was obtained.</t>
  </si>
  <si>
    <t>sample_isolate</t>
  </si>
  <si>
    <t>isolate</t>
  </si>
  <si>
    <t>Taxonomy Descision; not sure</t>
  </si>
  <si>
    <t>Isolate or strain name from the "/isolate" field of GenBank record. For more information, see Glossary: Isolate.</t>
  </si>
  <si>
    <t>(Mandatory) Individual isolate from which the sample was obtained</t>
  </si>
  <si>
    <t>0gr</t>
  </si>
  <si>
    <t>Host age number only from "BVBRC Host Age". Caution: not yet standardized by unit!</t>
  </si>
  <si>
    <t>host_age</t>
  </si>
  <si>
    <t>host age</t>
  </si>
  <si>
    <t xml:space="preserve">Seperation of values good for submission, display should be in one, needs curation from ENA values, seperate Fields for submission?; </t>
  </si>
  <si>
    <t>(Recommended) Age of host at the time of sampling; relevant scale depends on species and study, e.g. could be seconds for amoebae or centuries for trees (Units: years)</t>
  </si>
  <si>
    <t xml:space="preserve">(Recommended) Age of host at the time of sampling; relevant scale depends on species and study, e.g. could be seconds for amoebae or centuries for trees Units: 
</t>
  </si>
  <si>
    <t>37 years</t>
  </si>
  <si>
    <t>0gt</t>
  </si>
  <si>
    <t>NCBI Lineage IDs</t>
  </si>
  <si>
    <t>NCBI TaxIDs assigned to the virus sequence, from BVBRC.</t>
  </si>
  <si>
    <t>Taxon Lineage IDs</t>
  </si>
  <si>
    <t>add|we will add NCBI Tax Names from the NCBI Taxonomy DB later</t>
  </si>
  <si>
    <t>taxon_lineage_ids</t>
  </si>
  <si>
    <t>add; we will add NCBI Tax Names from the NCBI Taxonomy DB later</t>
  </si>
  <si>
    <t>0gu</t>
  </si>
  <si>
    <t>NCBI Lineage Names</t>
  </si>
  <si>
    <t>Aggregation of the NCBI Taxonomy Names associated with the virus sequence.</t>
  </si>
  <si>
    <t>Taxon Lineage Names</t>
  </si>
  <si>
    <t>taxon_lineage_names</t>
  </si>
  <si>
    <t>0gv</t>
  </si>
  <si>
    <t>ICTV Lineage Names</t>
  </si>
  <si>
    <t>Aggregation of the ICTV Taxonomy Names associated with the virus sequence.</t>
  </si>
  <si>
    <t>0gw</t>
  </si>
  <si>
    <t>ICTV Exemplar</t>
  </si>
  <si>
    <t>Flag indicating yes if the sequence is an exemplar of the species in the ICTV Taxonomy.</t>
  </si>
  <si>
    <t>0gy</t>
  </si>
  <si>
    <t>ICTV Host Group</t>
  </si>
  <si>
    <t>The ICTV Host source field content to be combined with other host group data from the other sources.</t>
  </si>
  <si>
    <t>Host source</t>
  </si>
  <si>
    <t>0hb</t>
  </si>
  <si>
    <t>BV-BRC Host Age</t>
  </si>
  <si>
    <t>Host Age and Unit from BV-BRC.</t>
  </si>
  <si>
    <t>Seperation of values good for submission, display should be in one, needs curation from ENA values, seperate Fields for submission?</t>
  </si>
  <si>
    <t>0hg</t>
  </si>
  <si>
    <t>Host GTDB Species Name</t>
  </si>
  <si>
    <t>References the Host GTDB Species Name to which the NCBI host taxonomy ID of the virus sequence could be mapped. See the mapping file on the Datasets page.</t>
  </si>
  <si>
    <t>host_gtdb_species</t>
  </si>
  <si>
    <t>gtdb_species</t>
  </si>
  <si>
    <t>GTDB Taxonomy</t>
  </si>
  <si>
    <t>0hj</t>
  </si>
  <si>
    <t>Unique Representative</t>
  </si>
  <si>
    <t>Flag indicating yes if the sequence is a representative for a group of identical VirJenDB sequences.</t>
  </si>
  <si>
    <t>0hk</t>
  </si>
  <si>
    <t>Unique Reference</t>
  </si>
  <si>
    <t>The VirJenDB ID for the unique representative sequence. For the non-phages, the smallest Accession in the group. See documentation for selection details.</t>
  </si>
  <si>
    <t>0hl</t>
  </si>
  <si>
    <t>Cluster Representative</t>
  </si>
  <si>
    <t>Flag indicating yes if the sequence is a representative sequence of a group of sequences, computed by VClust. See documentation for selection details.</t>
  </si>
  <si>
    <t>0hm</t>
  </si>
  <si>
    <t>Cluster Reference</t>
  </si>
  <si>
    <t>The VirJenDB ID of the representative of its cluster. See documentation for selection details.</t>
  </si>
  <si>
    <t>0hn</t>
  </si>
  <si>
    <t>Predicted Method</t>
  </si>
  <si>
    <t xml:space="preserve">The tool used to predict the virus sequence. No value means that it is not a predicted virus sequence. </t>
  </si>
  <si>
    <t>0ho</t>
  </si>
  <si>
    <t>Host Accession</t>
  </si>
  <si>
    <t>Host Accession from NCBI GenBank that refers to the host sequence from which the prophage was predicted.</t>
  </si>
  <si>
    <t>0hq</t>
  </si>
  <si>
    <t>Host BioProject Accession</t>
  </si>
  <si>
    <t>References the BioProject Accession associated with the host sequence.</t>
  </si>
  <si>
    <t>host_bioproject_accession_id</t>
  </si>
  <si>
    <t>0hr</t>
  </si>
  <si>
    <t>Host Biosample Accession</t>
  </si>
  <si>
    <t>References the BioSample Accession associated with the host sequence.</t>
  </si>
  <si>
    <t>host_biosample_accession_id</t>
  </si>
  <si>
    <t>0hs</t>
  </si>
  <si>
    <t>Host Country</t>
  </si>
  <si>
    <t>Country or sea area origin of the sample from which the host sequence originates.</t>
  </si>
  <si>
    <t>host_collection_country</t>
  </si>
  <si>
    <t>0ht</t>
  </si>
  <si>
    <t>Host Collection Date</t>
  </si>
  <si>
    <t>Date of collection of the sample from which the host sequence originates.</t>
  </si>
  <si>
    <t>host_collection_date</t>
  </si>
  <si>
    <t>2023-05-23</t>
  </si>
  <si>
    <t>0hu</t>
  </si>
  <si>
    <t>Host IMGM Taxon OID</t>
  </si>
  <si>
    <t>Associated Host IMGM Taxon OID from which the virus sequence was extracted by IMG/VR.</t>
  </si>
  <si>
    <t>host_imgvr_taxon_oid</t>
  </si>
  <si>
    <t>0hw</t>
  </si>
  <si>
    <t>Host Average Sequence Depth</t>
  </si>
  <si>
    <t xml:space="preserve">Average sequencing depth across the host sequence. Multiple host associations/predictions separated by semicolons. </t>
  </si>
  <si>
    <t>host_sequence_average_depth_coverage</t>
  </si>
  <si>
    <t>0hx</t>
  </si>
  <si>
    <t>Host Sequencing Platform</t>
  </si>
  <si>
    <t xml:space="preserve">Instrument or sequencing platform used for host sequencing. Multiple host associations/predictions separated by semicolons. </t>
  </si>
  <si>
    <t>host_sequencing_platform</t>
  </si>
  <si>
    <t>0if</t>
  </si>
  <si>
    <t>Host Association Method</t>
  </si>
  <si>
    <t xml:space="preserve">Method by which the fields "Host Accession ID" from NCBI GenBank or "NCBI Taxonomy Lineage" was associated to the virus sequence. Currently (v1.0) either a host association from the data source or PhiSpy prophage prediction. Multiple host associations/predictions separated by semicolons. </t>
  </si>
  <si>
    <t>0ih</t>
  </si>
  <si>
    <t>NCBI Clade</t>
  </si>
  <si>
    <t>Sub-species designation of the virus sequence, from NCBI GenBank field "clade".</t>
  </si>
  <si>
    <t>0ii</t>
  </si>
  <si>
    <t>NCBI Genotype</t>
  </si>
  <si>
    <t>Sub-species designation of the virus sequence, from NCBI GenBank field "genotype".</t>
  </si>
  <si>
    <t>0ij</t>
  </si>
  <si>
    <t>NCBI Serotype</t>
  </si>
  <si>
    <t>Sub-species designation of the virus sequence, from NCBI GenBank field "serotype".</t>
  </si>
  <si>
    <t>0ik</t>
  </si>
  <si>
    <t>NCBI Isolate</t>
  </si>
  <si>
    <t>Sub-species designation of the virus sequence, from NCBI GenBank field "isolate".</t>
  </si>
  <si>
    <t>VJDBv0.3</t>
  </si>
  <si>
    <t>fields type</t>
  </si>
  <si>
    <t>do not add</t>
  </si>
  <si>
    <t>_version_</t>
  </si>
  <si>
    <t>long</t>
  </si>
  <si>
    <t>Additional Metadata</t>
  </si>
  <si>
    <t>additional_metadata</t>
  </si>
  <si>
    <t>altitude</t>
  </si>
  <si>
    <t>antimicrobial_resistance</t>
  </si>
  <si>
    <t>antimicrobial_resistance_evidence</t>
  </si>
  <si>
    <t>Authors</t>
  </si>
  <si>
    <t>authors</t>
  </si>
  <si>
    <t>Biovar</t>
  </si>
  <si>
    <t>biovar</t>
  </si>
  <si>
    <t>body_sample_site</t>
  </si>
  <si>
    <t>body_sample_subsite</t>
  </si>
  <si>
    <t>CDS</t>
  </si>
  <si>
    <t>Annotation Statistics</t>
  </si>
  <si>
    <t>cds</t>
  </si>
  <si>
    <t>cds_ratio</t>
  </si>
  <si>
    <t>cell_shape</t>
  </si>
  <si>
    <t>CheckM Contamination</t>
  </si>
  <si>
    <t>Genome Quality</t>
  </si>
  <si>
    <t>Genome Quality Statistics</t>
  </si>
  <si>
    <t>checkm_completeness</t>
  </si>
  <si>
    <t>CheckM Completeness</t>
  </si>
  <si>
    <t>checkm_contamination</t>
  </si>
  <si>
    <t>Chromosome</t>
  </si>
  <si>
    <t>chromosomes</t>
  </si>
  <si>
    <t>Clade</t>
  </si>
  <si>
    <t>clade</t>
  </si>
  <si>
    <t>Coarse Consistency</t>
  </si>
  <si>
    <t>coarse_consistency</t>
  </si>
  <si>
    <t>Collection Year</t>
  </si>
  <si>
    <t>collection_year</t>
  </si>
  <si>
    <t>Comments</t>
  </si>
  <si>
    <t>comments</t>
  </si>
  <si>
    <t>common_name</t>
  </si>
  <si>
    <t>Completion Date</t>
  </si>
  <si>
    <t>completion_date</t>
  </si>
  <si>
    <t>Contig L50</t>
  </si>
  <si>
    <t>contig_l50</t>
  </si>
  <si>
    <t>Contig N50</t>
  </si>
  <si>
    <t>contig_n50</t>
  </si>
  <si>
    <t>Contigs</t>
  </si>
  <si>
    <t>contigs</t>
  </si>
  <si>
    <t>core_families</t>
  </si>
  <si>
    <t>core_family_ratio</t>
  </si>
  <si>
    <t>Culture Collection</t>
  </si>
  <si>
    <t>culture_collection</t>
  </si>
  <si>
    <t>Date Inserted</t>
  </si>
  <si>
    <t>date_inserted</t>
  </si>
  <si>
    <t>depth</t>
  </si>
  <si>
    <t>Fine Consistency</t>
  </si>
  <si>
    <t>fine_consistency</t>
  </si>
  <si>
    <t>genome_quality</t>
  </si>
  <si>
    <t>Genome Quality Flags</t>
  </si>
  <si>
    <t>genome_quality_flags</t>
  </si>
  <si>
    <t>Genome Status</t>
  </si>
  <si>
    <t>Status</t>
  </si>
  <si>
    <t>genome_status</t>
  </si>
  <si>
    <t>Geographic Group</t>
  </si>
  <si>
    <t>geographic_group</t>
  </si>
  <si>
    <t>gram_stain</t>
  </si>
  <si>
    <t>H_type</t>
  </si>
  <si>
    <t>h_type</t>
  </si>
  <si>
    <t>H1 Clade Global</t>
  </si>
  <si>
    <t>h1_clade_global</t>
  </si>
  <si>
    <t>H1 Clade US</t>
  </si>
  <si>
    <t>h1_clade_us</t>
  </si>
  <si>
    <t>h3_clade</t>
  </si>
  <si>
    <t>H5 Clade</t>
  </si>
  <si>
    <t>h5_clade</t>
  </si>
  <si>
    <t>habitat</t>
  </si>
  <si>
    <t>Host Health</t>
  </si>
  <si>
    <t>host_health</t>
  </si>
  <si>
    <t>host_scientific_name</t>
  </si>
  <si>
    <t>hypothetical_cds</t>
  </si>
  <si>
    <t>hypothetical_cds_ratio</t>
  </si>
  <si>
    <t>Isolation Comments</t>
  </si>
  <si>
    <t>isolation_comments</t>
  </si>
  <si>
    <t>isolation_site</t>
  </si>
  <si>
    <t>Isolation Source</t>
  </si>
  <si>
    <t>isolation_source</t>
  </si>
  <si>
    <t>latitude</t>
  </si>
  <si>
    <t>longitude</t>
  </si>
  <si>
    <t>Mat Peptide</t>
  </si>
  <si>
    <t>mat_peptide</t>
  </si>
  <si>
    <t>missing_core_family_ids</t>
  </si>
  <si>
    <t>MLST</t>
  </si>
  <si>
    <t>mlst</t>
  </si>
  <si>
    <t>motility</t>
  </si>
  <si>
    <t>N_type</t>
  </si>
  <si>
    <t>n_type</t>
  </si>
  <si>
    <t>ncbi_project_id</t>
  </si>
  <si>
    <t>nearest_genomes</t>
  </si>
  <si>
    <t>optimal_temperature</t>
  </si>
  <si>
    <t>Other Clinical</t>
  </si>
  <si>
    <t>other_clinical</t>
  </si>
  <si>
    <t>Other Environmental</t>
  </si>
  <si>
    <t>other_environmental</t>
  </si>
  <si>
    <t>Other Names</t>
  </si>
  <si>
    <t>other_names</t>
  </si>
  <si>
    <t>Other Typing</t>
  </si>
  <si>
    <t>other_typing</t>
  </si>
  <si>
    <t>outgroup_genomes</t>
  </si>
  <si>
    <t>Owner</t>
  </si>
  <si>
    <t>Priviledge Control</t>
  </si>
  <si>
    <t>owner</t>
  </si>
  <si>
    <t>oxygen_requirement</t>
  </si>
  <si>
    <t>p2_genome_id</t>
  </si>
  <si>
    <t>partial_cds</t>
  </si>
  <si>
    <t>partial_cds_ratio</t>
  </si>
  <si>
    <t>Passage</t>
  </si>
  <si>
    <t>passage</t>
  </si>
  <si>
    <t>Pathovar</t>
  </si>
  <si>
    <t>pathovar</t>
  </si>
  <si>
    <t>patric_cds</t>
  </si>
  <si>
    <t>pH1N1-like</t>
  </si>
  <si>
    <t>ph1n1_like</t>
  </si>
  <si>
    <t>phenotype</t>
  </si>
  <si>
    <t>Plasmids</t>
  </si>
  <si>
    <t>plasmids</t>
  </si>
  <si>
    <t>plfam_cds</t>
  </si>
  <si>
    <t>plfam_cds_ratio</t>
  </si>
  <si>
    <t>Public</t>
  </si>
  <si>
    <t>refseq_accessions</t>
  </si>
  <si>
    <t>refseq_cds</t>
  </si>
  <si>
    <t>refseq_project_id</t>
  </si>
  <si>
    <t>RRNA</t>
  </si>
  <si>
    <t>rrna</t>
  </si>
  <si>
    <t>salinity</t>
  </si>
  <si>
    <t>Season</t>
  </si>
  <si>
    <t>season</t>
  </si>
  <si>
    <t>segment</t>
  </si>
  <si>
    <t>segments</t>
  </si>
  <si>
    <t>Sequencing Status</t>
  </si>
  <si>
    <t>sequencing_status</t>
  </si>
  <si>
    <t>Serovar</t>
  </si>
  <si>
    <t>serovar</t>
  </si>
  <si>
    <t>sporulation</t>
  </si>
  <si>
    <t>State/Province</t>
  </si>
  <si>
    <t>state_province</t>
  </si>
  <si>
    <t>Subclade</t>
  </si>
  <si>
    <t>subclade</t>
  </si>
  <si>
    <t>Subtype</t>
  </si>
  <si>
    <t>subtype</t>
  </si>
  <si>
    <t>Superkingdom</t>
  </si>
  <si>
    <t>superkingdom</t>
  </si>
  <si>
    <t>temperature_range</t>
  </si>
  <si>
    <t>text_custom</t>
  </si>
  <si>
    <t>TRNA</t>
  </si>
  <si>
    <t>trna</t>
  </si>
  <si>
    <t>Type Strain</t>
  </si>
  <si>
    <t>type_strain</t>
  </si>
  <si>
    <t>user_read</t>
  </si>
  <si>
    <t>user_write</t>
  </si>
  <si>
    <t>Members (shared with)</t>
  </si>
  <si>
    <t>Identity</t>
  </si>
  <si>
    <t>The percentage of identical matches between the query and target sequences in the GenBank.</t>
  </si>
  <si>
    <t>Publications</t>
  </si>
  <si>
    <t>Number of publications linking to the associated with the sequence publications in PubMed.</t>
  </si>
  <si>
    <t>for v0.3 do not add; later calculate length of BVBRC publications entry and compare to this</t>
  </si>
  <si>
    <t>move to additional metadata</t>
  </si>
  <si>
    <t>Score</t>
  </si>
  <si>
    <t>Blast score, the total alignment score (total score) from all alignment segments.</t>
  </si>
  <si>
    <t>study_alias</t>
  </si>
  <si>
    <t>Study Alias</t>
  </si>
  <si>
    <t>(Mandatory) Unique identifier for a study. this is used to link experiments to the study.</t>
  </si>
  <si>
    <t>alias</t>
  </si>
  <si>
    <t>(Mandatory) Unique identificator for a study. this is used to link experiments to the study.</t>
  </si>
  <si>
    <t>This is not needed as in ENA as there it functions as memorable orientation for objects for the user, for us a ID for each object would be more suitable</t>
  </si>
  <si>
    <t>experiment_alias</t>
  </si>
  <si>
    <t>Experiment Alias</t>
  </si>
  <si>
    <t>(Mandatory) Unique identifier for each experiment. this is used to link runs to experiments.</t>
  </si>
  <si>
    <t>(Mandatory) Unique identificator for each experiment. this is used to link runs to experiments.</t>
  </si>
  <si>
    <t>run_alias</t>
  </si>
  <si>
    <t>Run Alias</t>
  </si>
  <si>
    <t>(Mandatory) Unique identifier for each run.</t>
  </si>
  <si>
    <t>(Mandatory) Unique identificator for each run.</t>
  </si>
  <si>
    <t>move all to additional metadata and remove here</t>
  </si>
  <si>
    <t>sample_alias</t>
  </si>
  <si>
    <t>Sample Alias</t>
  </si>
  <si>
    <t>(Mandatory) Unique identifier for each sample.</t>
  </si>
  <si>
    <t>(Mandatory) Unique identificator for each sample.</t>
  </si>
  <si>
    <t>(Mandatory) From_experiment_metadata</t>
  </si>
  <si>
    <t>new_study_type</t>
  </si>
  <si>
    <t>New Study Type</t>
  </si>
  <si>
    <t>(Optional) Optional if 'study_type' is not 'other'. to propose a new term, select other and enter a new study type.</t>
  </si>
  <si>
    <t>(Optional) Optional if 'study_type' is not 'other'to propose a new term, select other and enter a new study type.</t>
  </si>
  <si>
    <t>What is that? -&gt; remove, not visible in ENA Webin Portal Submission, remove for now</t>
  </si>
  <si>
    <t>study_type</t>
  </si>
  <si>
    <t>Study Type</t>
  </si>
  <si>
    <t>(Mandatory) The study_type presents a controlled vocabulary for expressing the overall purpose of the study.</t>
  </si>
  <si>
    <t>What is that? -&gt; remove, not visible in ENA Webin Portal Submision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</si>
</sst>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20"/>
      <color theme="1"/>
      <name val="Aptos Narrow"/>
      <scheme val="minor"/>
    </font>
    <font>
      <sz val="14"/>
      <color theme="1"/>
      <name val="Aptos Narrow"/>
      <family val="2"/>
      <scheme val="minor"/>
    </font>
    <font>
      <sz val="14"/>
      <color theme="1"/>
      <name val="Aptos Narrow"/>
      <scheme val="minor"/>
    </font>
    <font>
      <sz val="14"/>
      <color rgb="FF000000"/>
      <name val="Aptos Narrow"/>
      <family val="2"/>
      <scheme val="minor"/>
    </font>
    <font>
      <u/>
      <sz val="11"/>
      <color theme="10"/>
      <name val="Aptos Narrow"/>
      <family val="2"/>
      <scheme val="minor"/>
    </font>
    <font>
      <sz val="10"/>
      <color theme="1"/>
      <name val="Calibri"/>
      <family val="2"/>
    </font>
    <font>
      <sz val="14"/>
      <color theme="1"/>
      <name val="Calibri"/>
      <family val="2"/>
    </font>
    <font>
      <b/>
      <sz val="14"/>
      <color theme="1"/>
      <name val="Calibri"/>
      <family val="2"/>
    </font>
    <font>
      <sz val="16"/>
      <color theme="1"/>
      <name val="Arial"/>
      <family val="2"/>
    </font>
    <font>
      <sz val="12"/>
      <color theme="1"/>
      <name val="Arial"/>
      <family val="2"/>
    </font>
    <font>
      <sz val="12"/>
      <color rgb="FF000000"/>
      <name val="Arial"/>
      <family val="2"/>
    </font>
    <font>
      <sz val="12"/>
      <color rgb="FF212121"/>
      <name val="Arial"/>
      <family val="2"/>
    </font>
    <font>
      <sz val="20"/>
      <color theme="1"/>
      <name val="Calibri"/>
      <family val="2"/>
    </font>
    <font>
      <sz val="12"/>
      <color rgb="FF000000"/>
      <name val="Aptos Narrow"/>
      <scheme val="minor"/>
    </font>
    <font>
      <sz val="12"/>
      <color theme="1"/>
      <name val="Aptos Narrow"/>
      <scheme val="minor"/>
    </font>
    <font>
      <b/>
      <sz val="12"/>
      <color theme="1"/>
      <name val="Aptos Narrow"/>
      <scheme val="minor"/>
    </font>
    <font>
      <b/>
      <sz val="12"/>
      <color theme="1"/>
      <name val="Arial"/>
    </font>
    <font>
      <sz val="12"/>
      <color rgb="FF000000"/>
      <name val="Arial"/>
    </font>
    <font>
      <sz val="12"/>
      <color theme="1"/>
      <name val="Arial"/>
    </font>
    <font>
      <sz val="12"/>
      <color rgb="FF464646"/>
      <name val="Arial"/>
    </font>
    <font>
      <sz val="12"/>
      <color rgb="FF242424"/>
      <name val="Arial"/>
    </font>
  </fonts>
  <fills count="18">
    <fill>
      <patternFill patternType="none"/>
    </fill>
    <fill>
      <patternFill patternType="gray125"/>
    </fill>
    <fill>
      <patternFill patternType="solid">
        <fgColor rgb="FFEA9999"/>
        <bgColor indexed="64"/>
      </patternFill>
    </fill>
    <fill>
      <patternFill patternType="solid">
        <fgColor theme="3" tint="0.89999084444715716"/>
        <bgColor rgb="FFE0EDF7"/>
      </patternFill>
    </fill>
    <fill>
      <patternFill patternType="solid">
        <fgColor theme="3" tint="0.89999084444715716"/>
        <bgColor rgb="FFF3F7FF"/>
      </patternFill>
    </fill>
    <fill>
      <patternFill patternType="solid">
        <fgColor theme="3" tint="0.89999084444715716"/>
        <bgColor indexed="64"/>
      </patternFill>
    </fill>
    <fill>
      <patternFill patternType="solid">
        <fgColor theme="3" tint="0.89999084444715716"/>
        <bgColor rgb="FFE8F0FE"/>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00B0F0"/>
        <bgColor indexed="64"/>
      </patternFill>
    </fill>
    <fill>
      <patternFill patternType="solid">
        <fgColor theme="6" tint="0.59999389629810485"/>
        <bgColor indexed="64"/>
      </patternFill>
    </fill>
    <fill>
      <patternFill patternType="solid">
        <fgColor rgb="FF00B0F0"/>
        <bgColor rgb="FF000000"/>
      </patternFill>
    </fill>
    <fill>
      <patternFill patternType="solid">
        <fgColor rgb="FFFF0000"/>
        <bgColor rgb="FF000000"/>
      </patternFill>
    </fill>
    <fill>
      <patternFill patternType="solid">
        <fgColor rgb="FFFFFFFF"/>
        <bgColor indexed="64"/>
      </patternFill>
    </fill>
    <fill>
      <patternFill patternType="solid">
        <fgColor theme="0"/>
        <bgColor indexed="64"/>
      </patternFill>
    </fill>
    <fill>
      <patternFill patternType="solid">
        <fgColor theme="6"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
      <left/>
      <right style="thin">
        <color rgb="FF000000"/>
      </right>
      <top/>
      <bottom/>
      <diagonal/>
    </border>
  </borders>
  <cellStyleXfs count="2">
    <xf numFmtId="0" fontId="0" fillId="0" borderId="0"/>
    <xf numFmtId="0" fontId="5" fillId="0" borderId="0"/>
  </cellStyleXfs>
  <cellXfs count="107">
    <xf numFmtId="0" fontId="0" fillId="0" borderId="0" xfId="0"/>
    <xf numFmtId="0" fontId="7" fillId="0" borderId="2" xfId="0" applyFont="1" applyBorder="1" applyAlignment="1">
      <alignment vertical="center"/>
    </xf>
    <xf numFmtId="0" fontId="7" fillId="0" borderId="3" xfId="0" applyFont="1" applyBorder="1" applyAlignment="1">
      <alignment vertical="center"/>
    </xf>
    <xf numFmtId="0" fontId="10" fillId="0" borderId="0" xfId="0" applyFont="1" applyAlignment="1">
      <alignment horizontal="left" vertical="top"/>
    </xf>
    <xf numFmtId="0" fontId="2" fillId="0" borderId="0" xfId="0" applyFont="1" applyAlignment="1">
      <alignment horizontal="left" vertical="center"/>
    </xf>
    <xf numFmtId="0" fontId="7" fillId="2" borderId="3" xfId="0" applyFont="1" applyFill="1" applyBorder="1" applyAlignment="1">
      <alignment vertical="center"/>
    </xf>
    <xf numFmtId="0" fontId="3" fillId="0" borderId="0" xfId="0" applyFont="1" applyAlignment="1">
      <alignment horizontal="left" vertical="center"/>
    </xf>
    <xf numFmtId="0" fontId="2" fillId="0" borderId="0" xfId="0" applyFont="1"/>
    <xf numFmtId="0" fontId="6" fillId="0" borderId="3" xfId="0" applyFont="1" applyBorder="1" applyAlignment="1">
      <alignment vertical="center"/>
    </xf>
    <xf numFmtId="0" fontId="8" fillId="0" borderId="3" xfId="0" applyFont="1" applyBorder="1" applyAlignment="1">
      <alignment vertical="center"/>
    </xf>
    <xf numFmtId="0" fontId="4" fillId="0" borderId="0" xfId="0" applyFont="1"/>
    <xf numFmtId="0" fontId="7" fillId="2" borderId="2" xfId="0" applyFont="1" applyFill="1" applyBorder="1" applyAlignment="1">
      <alignment vertical="center"/>
    </xf>
    <xf numFmtId="0" fontId="7" fillId="0" borderId="2" xfId="0" applyFont="1" applyBorder="1"/>
    <xf numFmtId="0" fontId="6" fillId="0" borderId="2" xfId="0" applyFont="1" applyBorder="1" applyAlignment="1">
      <alignment vertical="center"/>
    </xf>
    <xf numFmtId="0" fontId="8" fillId="0" borderId="2" xfId="0" applyFont="1" applyBorder="1" applyAlignment="1">
      <alignment vertical="center"/>
    </xf>
    <xf numFmtId="0" fontId="6" fillId="2" borderId="2" xfId="0" applyFont="1" applyFill="1" applyBorder="1" applyAlignment="1">
      <alignment vertical="center"/>
    </xf>
    <xf numFmtId="0" fontId="1" fillId="0" borderId="0" xfId="0" applyFont="1"/>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3" borderId="4"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1" xfId="1" applyFont="1" applyFill="1" applyBorder="1" applyAlignment="1">
      <alignment horizontal="center" vertical="center"/>
    </xf>
    <xf numFmtId="0" fontId="9" fillId="5" borderId="5"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6" fillId="0" borderId="7" xfId="0" applyFont="1" applyBorder="1" applyAlignment="1">
      <alignment vertical="center"/>
    </xf>
    <xf numFmtId="0" fontId="6" fillId="0" borderId="8" xfId="0" applyFont="1" applyBorder="1" applyAlignment="1">
      <alignment vertical="center"/>
    </xf>
    <xf numFmtId="0" fontId="9" fillId="0" borderId="0" xfId="0" applyFont="1" applyAlignment="1">
      <alignment horizontal="center" vertical="center"/>
    </xf>
    <xf numFmtId="0" fontId="13" fillId="5" borderId="1" xfId="0" applyFont="1" applyFill="1" applyBorder="1" applyAlignment="1">
      <alignment horizontal="center" vertical="center" wrapText="1"/>
    </xf>
    <xf numFmtId="0" fontId="13" fillId="5" borderId="1" xfId="0" applyFont="1" applyFill="1" applyBorder="1" applyAlignment="1">
      <alignment vertical="center" wrapText="1"/>
    </xf>
    <xf numFmtId="0" fontId="10" fillId="7" borderId="0" xfId="0" applyFont="1" applyFill="1" applyAlignment="1">
      <alignment horizontal="left" vertical="top"/>
    </xf>
    <xf numFmtId="0" fontId="11" fillId="7" borderId="0" xfId="0" applyFont="1" applyFill="1" applyAlignment="1">
      <alignment horizontal="left" vertical="top"/>
    </xf>
    <xf numFmtId="0" fontId="10" fillId="8" borderId="0" xfId="0" applyFont="1" applyFill="1" applyAlignment="1">
      <alignment horizontal="left" vertical="top"/>
    </xf>
    <xf numFmtId="0" fontId="6" fillId="8" borderId="0" xfId="0" applyFont="1" applyFill="1" applyAlignment="1">
      <alignment vertical="center" wrapText="1"/>
    </xf>
    <xf numFmtId="0" fontId="12" fillId="8" borderId="0" xfId="0" applyFont="1" applyFill="1" applyAlignment="1">
      <alignment horizontal="left" vertical="top"/>
    </xf>
    <xf numFmtId="0" fontId="11" fillId="8" borderId="0" xfId="0" applyFont="1" applyFill="1" applyAlignment="1">
      <alignment horizontal="left" vertical="top"/>
    </xf>
    <xf numFmtId="0" fontId="10" fillId="9" borderId="0" xfId="0" applyFont="1" applyFill="1" applyAlignment="1">
      <alignment horizontal="left" vertical="top"/>
    </xf>
    <xf numFmtId="0" fontId="0" fillId="9" borderId="0" xfId="0" applyFill="1"/>
    <xf numFmtId="0" fontId="7" fillId="9" borderId="2" xfId="0" applyFont="1" applyFill="1" applyBorder="1" applyAlignment="1">
      <alignment wrapText="1"/>
    </xf>
    <xf numFmtId="0" fontId="11" fillId="9" borderId="0" xfId="0" applyFont="1" applyFill="1" applyAlignment="1">
      <alignment horizontal="left" vertical="top"/>
    </xf>
    <xf numFmtId="0" fontId="0" fillId="7" borderId="0" xfId="0" applyFill="1"/>
    <xf numFmtId="0" fontId="7" fillId="7" borderId="2" xfId="0" applyFont="1" applyFill="1" applyBorder="1" applyAlignment="1">
      <alignment wrapText="1"/>
    </xf>
    <xf numFmtId="0" fontId="15" fillId="0" borderId="0" xfId="0" applyFont="1" applyAlignment="1">
      <alignment horizontal="left" vertical="center" wrapText="1"/>
    </xf>
    <xf numFmtId="0" fontId="15" fillId="0" borderId="0" xfId="0" applyFont="1" applyAlignment="1">
      <alignment horizontal="left" vertical="center"/>
    </xf>
    <xf numFmtId="0" fontId="14" fillId="0" borderId="0" xfId="0" applyFont="1" applyAlignment="1">
      <alignment horizontal="left" vertical="center"/>
    </xf>
    <xf numFmtId="49" fontId="15" fillId="0" borderId="0" xfId="0" applyNumberFormat="1" applyFont="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19" fillId="0" borderId="0" xfId="0" applyFont="1" applyAlignment="1">
      <alignment horizontal="left" vertical="center" wrapText="1"/>
    </xf>
    <xf numFmtId="0" fontId="18" fillId="10" borderId="0" xfId="0" applyFont="1" applyFill="1" applyAlignment="1">
      <alignment horizontal="left" vertical="center"/>
    </xf>
    <xf numFmtId="0" fontId="19" fillId="16" borderId="0" xfId="0" applyFont="1" applyFill="1" applyAlignment="1">
      <alignment horizontal="left" vertical="center"/>
    </xf>
    <xf numFmtId="0" fontId="19" fillId="12" borderId="0" xfId="0" applyFont="1" applyFill="1" applyAlignment="1">
      <alignment horizontal="left" vertical="center"/>
    </xf>
    <xf numFmtId="49" fontId="19" fillId="0" borderId="0" xfId="0" applyNumberFormat="1" applyFont="1" applyAlignment="1">
      <alignment horizontal="left" vertical="center"/>
    </xf>
    <xf numFmtId="0" fontId="19" fillId="11" borderId="0" xfId="0" applyFont="1" applyFill="1" applyAlignment="1">
      <alignment horizontal="left" vertical="center"/>
    </xf>
    <xf numFmtId="0" fontId="19" fillId="17" borderId="0" xfId="0" applyFont="1" applyFill="1" applyAlignment="1">
      <alignment horizontal="left" vertical="center"/>
    </xf>
    <xf numFmtId="0" fontId="17" fillId="3" borderId="0" xfId="0" applyFont="1" applyFill="1" applyAlignment="1">
      <alignment horizontal="center" vertical="center"/>
    </xf>
    <xf numFmtId="0" fontId="17" fillId="3" borderId="0" xfId="0" applyFont="1" applyFill="1" applyAlignment="1">
      <alignment horizontal="center" vertical="center" wrapText="1"/>
    </xf>
    <xf numFmtId="0" fontId="17" fillId="4" borderId="0" xfId="0" applyFont="1" applyFill="1" applyAlignment="1">
      <alignment horizontal="center" vertical="center"/>
    </xf>
    <xf numFmtId="0" fontId="17" fillId="5" borderId="0" xfId="0" applyFont="1" applyFill="1" applyAlignment="1">
      <alignment horizontal="center" vertical="center"/>
    </xf>
    <xf numFmtId="0" fontId="17" fillId="6" borderId="0" xfId="0" applyFont="1" applyFill="1" applyAlignment="1">
      <alignment horizontal="center" vertical="center"/>
    </xf>
    <xf numFmtId="0" fontId="17" fillId="5" borderId="0" xfId="0" applyFont="1" applyFill="1" applyAlignment="1">
      <alignment horizontal="center" vertical="center" wrapText="1"/>
    </xf>
    <xf numFmtId="49" fontId="17" fillId="5" borderId="0" xfId="0" applyNumberFormat="1" applyFont="1" applyFill="1" applyAlignment="1">
      <alignment horizontal="center" vertical="center"/>
    </xf>
    <xf numFmtId="0" fontId="16" fillId="0" borderId="0" xfId="0" applyFont="1" applyAlignment="1">
      <alignment horizontal="center" vertical="center"/>
    </xf>
    <xf numFmtId="0" fontId="16" fillId="5" borderId="0" xfId="0" applyFont="1" applyFill="1" applyAlignment="1">
      <alignment horizontal="center" vertical="center"/>
    </xf>
    <xf numFmtId="0" fontId="17" fillId="5" borderId="0" xfId="1" applyFont="1" applyFill="1" applyAlignment="1">
      <alignment horizontal="center" vertical="center"/>
    </xf>
    <xf numFmtId="49" fontId="17" fillId="3" borderId="0" xfId="0" applyNumberFormat="1" applyFont="1" applyFill="1" applyAlignment="1">
      <alignment horizontal="center" vertical="center"/>
    </xf>
    <xf numFmtId="0" fontId="18" fillId="0" borderId="0" xfId="0" applyFont="1" applyAlignment="1">
      <alignment horizontal="left" vertical="center" wrapText="1"/>
    </xf>
    <xf numFmtId="49" fontId="18" fillId="0" borderId="0" xfId="0" applyNumberFormat="1" applyFont="1" applyAlignment="1">
      <alignment horizontal="left" vertical="center"/>
    </xf>
    <xf numFmtId="0" fontId="14" fillId="12" borderId="0" xfId="0" applyFont="1" applyFill="1" applyAlignment="1">
      <alignment horizontal="left" vertical="center"/>
    </xf>
    <xf numFmtId="0" fontId="15" fillId="11" borderId="0" xfId="0" applyFont="1" applyFill="1" applyAlignment="1">
      <alignment horizontal="left" vertical="center"/>
    </xf>
    <xf numFmtId="0" fontId="14" fillId="10" borderId="0" xfId="0" applyFont="1" applyFill="1" applyAlignment="1">
      <alignment horizontal="left" vertical="center"/>
    </xf>
    <xf numFmtId="0" fontId="19" fillId="0" borderId="0" xfId="0" applyFont="1" applyAlignment="1">
      <alignment horizontal="left" vertical="center" readingOrder="1"/>
    </xf>
    <xf numFmtId="0" fontId="18" fillId="10" borderId="0" xfId="0" applyFont="1" applyFill="1" applyAlignment="1">
      <alignment horizontal="left" vertical="center" wrapText="1"/>
    </xf>
    <xf numFmtId="0" fontId="18" fillId="14" borderId="0" xfId="0" applyFont="1" applyFill="1" applyAlignment="1">
      <alignment horizontal="left" vertical="center"/>
    </xf>
    <xf numFmtId="49" fontId="18" fillId="10" borderId="0" xfId="0" applyNumberFormat="1" applyFont="1" applyFill="1" applyAlignment="1">
      <alignment horizontal="left" vertical="center"/>
    </xf>
    <xf numFmtId="0" fontId="19" fillId="16" borderId="0" xfId="0" applyFont="1" applyFill="1" applyAlignment="1">
      <alignment horizontal="left" vertical="center" wrapText="1"/>
    </xf>
    <xf numFmtId="0" fontId="19" fillId="16" borderId="0" xfId="0" applyFont="1" applyFill="1" applyAlignment="1">
      <alignment horizontal="left" vertical="center" readingOrder="1"/>
    </xf>
    <xf numFmtId="49" fontId="19" fillId="16" borderId="0" xfId="0" applyNumberFormat="1" applyFont="1" applyFill="1" applyAlignment="1">
      <alignment horizontal="left" vertical="center"/>
    </xf>
    <xf numFmtId="0" fontId="15" fillId="16" borderId="0" xfId="0" applyFont="1" applyFill="1" applyAlignment="1">
      <alignment horizontal="left" vertical="center"/>
    </xf>
    <xf numFmtId="0" fontId="20" fillId="15" borderId="0" xfId="0" applyFont="1" applyFill="1" applyAlignment="1">
      <alignment horizontal="left" vertical="center" wrapText="1"/>
    </xf>
    <xf numFmtId="0" fontId="15" fillId="12" borderId="0" xfId="0" applyFont="1" applyFill="1" applyAlignment="1">
      <alignment horizontal="left" vertical="center"/>
    </xf>
    <xf numFmtId="0" fontId="18" fillId="12" borderId="0" xfId="0" applyFont="1" applyFill="1" applyAlignment="1">
      <alignment horizontal="left" vertical="center"/>
    </xf>
    <xf numFmtId="0" fontId="19" fillId="12" borderId="0" xfId="0" applyFont="1" applyFill="1" applyAlignment="1">
      <alignment horizontal="left" vertical="center" wrapText="1"/>
    </xf>
    <xf numFmtId="49" fontId="19" fillId="12" borderId="0" xfId="0" applyNumberFormat="1" applyFont="1" applyFill="1" applyAlignment="1">
      <alignment horizontal="left" vertical="center"/>
    </xf>
    <xf numFmtId="0" fontId="17" fillId="0" borderId="0" xfId="0" applyFont="1" applyAlignment="1">
      <alignment horizontal="left" vertical="center"/>
    </xf>
    <xf numFmtId="0" fontId="19" fillId="11" borderId="0" xfId="0" applyFont="1" applyFill="1" applyAlignment="1">
      <alignment horizontal="left" vertical="center" wrapText="1"/>
    </xf>
    <xf numFmtId="0" fontId="18" fillId="13" borderId="0" xfId="0" applyFont="1" applyFill="1" applyAlignment="1">
      <alignment horizontal="left" vertical="center"/>
    </xf>
    <xf numFmtId="0" fontId="18" fillId="11" borderId="0" xfId="0" applyFont="1" applyFill="1" applyAlignment="1">
      <alignment horizontal="left" vertical="center"/>
    </xf>
    <xf numFmtId="49" fontId="19" fillId="11" borderId="0" xfId="0" applyNumberFormat="1" applyFont="1" applyFill="1" applyAlignment="1">
      <alignment horizontal="left" vertical="center"/>
    </xf>
    <xf numFmtId="0" fontId="21" fillId="0" borderId="0" xfId="0" applyFont="1" applyAlignment="1">
      <alignment horizontal="left" vertical="center" wrapText="1"/>
    </xf>
    <xf numFmtId="0" fontId="15" fillId="17" borderId="0" xfId="0" applyFont="1" applyFill="1" applyAlignment="1">
      <alignment horizontal="left" vertical="center"/>
    </xf>
    <xf numFmtId="0" fontId="19" fillId="12" borderId="0" xfId="0" applyFont="1" applyFill="1" applyAlignment="1">
      <alignment horizontal="left" vertical="center" readingOrder="1"/>
    </xf>
    <xf numFmtId="0" fontId="19" fillId="0" borderId="0" xfId="0" applyFont="1" applyAlignment="1">
      <alignment horizontal="left" vertical="center" wrapText="1" readingOrder="1"/>
    </xf>
    <xf numFmtId="0" fontId="19" fillId="17" borderId="0" xfId="0" applyFont="1" applyFill="1" applyAlignment="1">
      <alignment horizontal="left" vertical="center" wrapText="1"/>
    </xf>
    <xf numFmtId="49" fontId="19" fillId="17" borderId="0" xfId="0" applyNumberFormat="1" applyFont="1" applyFill="1" applyAlignment="1">
      <alignment horizontal="left" vertical="center"/>
    </xf>
    <xf numFmtId="0" fontId="17" fillId="3" borderId="9" xfId="0" applyFont="1" applyFill="1" applyBorder="1" applyAlignment="1">
      <alignment horizontal="center" vertical="center"/>
    </xf>
    <xf numFmtId="0" fontId="18" fillId="0" borderId="9" xfId="0" applyFont="1" applyBorder="1" applyAlignment="1">
      <alignment horizontal="center" vertical="center"/>
    </xf>
    <xf numFmtId="0" fontId="19" fillId="0" borderId="9" xfId="0" applyFont="1" applyBorder="1" applyAlignment="1">
      <alignment horizontal="center" vertical="center"/>
    </xf>
    <xf numFmtId="0" fontId="18" fillId="10" borderId="9" xfId="0" applyFont="1" applyFill="1" applyBorder="1" applyAlignment="1">
      <alignment horizontal="center" vertical="center"/>
    </xf>
    <xf numFmtId="0" fontId="19" fillId="16" borderId="9" xfId="0" applyFont="1" applyFill="1" applyBorder="1" applyAlignment="1">
      <alignment horizontal="center" vertical="center"/>
    </xf>
    <xf numFmtId="0" fontId="18" fillId="12" borderId="9" xfId="0" applyFont="1" applyFill="1" applyBorder="1" applyAlignment="1">
      <alignment horizontal="center" vertical="center"/>
    </xf>
    <xf numFmtId="0" fontId="19" fillId="11" borderId="9" xfId="0" applyFont="1" applyFill="1" applyBorder="1" applyAlignment="1">
      <alignment horizontal="center" vertical="center"/>
    </xf>
    <xf numFmtId="0" fontId="19" fillId="12" borderId="9" xfId="0" applyFont="1" applyFill="1" applyBorder="1" applyAlignment="1">
      <alignment horizontal="center" vertical="center"/>
    </xf>
    <xf numFmtId="0" fontId="19" fillId="17" borderId="9" xfId="0" applyFont="1" applyFill="1" applyBorder="1" applyAlignment="1">
      <alignment horizontal="center" vertical="center"/>
    </xf>
    <xf numFmtId="0" fontId="15" fillId="0" borderId="9" xfId="0" applyFont="1" applyBorder="1" applyAlignment="1">
      <alignment horizontal="center" vertical="center"/>
    </xf>
  </cellXfs>
  <cellStyles count="2">
    <cellStyle name="Hyperlink" xfId="1" builtinId="8"/>
    <cellStyle name="Normal" xfId="0" builtinId="0"/>
  </cellStyles>
  <dxfs count="3">
    <dxf>
      <fill>
        <patternFill patternType="solid">
          <fgColor rgb="FFFF0000"/>
          <bgColor rgb="FFFF0000"/>
        </patternFill>
      </fill>
    </dxf>
    <dxf>
      <font>
        <color rgb="FF9C0006"/>
      </font>
      <fill>
        <patternFill>
          <bgColor rgb="FFFFC7CE"/>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github.com/ELIXIR-Belgium/ENA-metadata-templates/tree/main/templates/ERC000032" TargetMode="External"/><Relationship Id="rId1" Type="http://schemas.openxmlformats.org/officeDocument/2006/relationships/hyperlink" Target="https://github.com/ELIXIR-Belgium/ENA-metadata-templates/tree/main/templates/ERC000033"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hyperlink" Target="https://github.com/ELIXIR-Belgium/ENA-metadata-templates/tree/main/templates/ERC000032" TargetMode="External"/><Relationship Id="rId1" Type="http://schemas.openxmlformats.org/officeDocument/2006/relationships/hyperlink" Target="https://github.com/ELIXIR-Belgium/ENA-metadata-templates/tree/main/templates/ERC00003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D236"/>
  <sheetViews>
    <sheetView tabSelected="1" zoomScaleNormal="100" workbookViewId="0">
      <pane xSplit="3" topLeftCell="D82" activePane="topRight" state="frozen"/>
      <selection pane="topRight" activeCell="D85" sqref="D85"/>
    </sheetView>
  </sheetViews>
  <sheetFormatPr defaultColWidth="23.5703125" defaultRowHeight="34.5" customHeight="1"/>
  <cols>
    <col min="1" max="1" width="7.140625" style="106" customWidth="1"/>
    <col min="2" max="2" width="38.28515625" style="45" customWidth="1"/>
    <col min="3" max="3" width="34" style="45" customWidth="1"/>
    <col min="4" max="4" width="84.5703125" style="44" customWidth="1"/>
    <col min="5" max="26" width="23.5703125" style="45" customWidth="1"/>
    <col min="27" max="27" width="100.42578125" style="45" customWidth="1"/>
    <col min="28" max="49" width="23.5703125" style="45" customWidth="1"/>
    <col min="50" max="50" width="23.5703125" style="47" customWidth="1"/>
    <col min="51" max="53" width="23.5703125" style="45" customWidth="1"/>
    <col min="54" max="54" width="35.5703125" style="45" customWidth="1"/>
    <col min="55" max="55" width="23.5703125" style="45" customWidth="1"/>
    <col min="56" max="16384" width="23.5703125" style="45"/>
  </cols>
  <sheetData>
    <row r="1" spans="1:185" s="65" customFormat="1" ht="34.5" customHeight="1">
      <c r="A1" s="97" t="s">
        <v>0</v>
      </c>
      <c r="B1" s="57" t="s">
        <v>0</v>
      </c>
      <c r="C1" s="57" t="s">
        <v>0</v>
      </c>
      <c r="D1" s="58" t="s">
        <v>0</v>
      </c>
      <c r="E1" s="57" t="s">
        <v>0</v>
      </c>
      <c r="F1" s="57" t="s">
        <v>0</v>
      </c>
      <c r="G1" s="59" t="s">
        <v>1</v>
      </c>
      <c r="H1" s="59" t="s">
        <v>2</v>
      </c>
      <c r="I1" s="59" t="s">
        <v>3</v>
      </c>
      <c r="J1" s="60" t="s">
        <v>4</v>
      </c>
      <c r="K1" s="60" t="s">
        <v>5</v>
      </c>
      <c r="L1" s="60" t="s">
        <v>6</v>
      </c>
      <c r="M1" s="60" t="s">
        <v>7</v>
      </c>
      <c r="N1" s="61" t="s">
        <v>8</v>
      </c>
      <c r="O1" s="61" t="s">
        <v>9</v>
      </c>
      <c r="P1" s="59" t="s">
        <v>10</v>
      </c>
      <c r="Q1" s="59" t="s">
        <v>11</v>
      </c>
      <c r="R1" s="59" t="s">
        <v>12</v>
      </c>
      <c r="S1" s="59" t="s">
        <v>13</v>
      </c>
      <c r="T1" s="59" t="s">
        <v>14</v>
      </c>
      <c r="U1" s="59" t="s">
        <v>15</v>
      </c>
      <c r="V1" s="62" t="s">
        <v>16</v>
      </c>
      <c r="W1" s="62" t="s">
        <v>17</v>
      </c>
      <c r="X1" s="61" t="s">
        <v>0</v>
      </c>
      <c r="Y1" s="61" t="s">
        <v>0</v>
      </c>
      <c r="Z1" s="61" t="s">
        <v>0</v>
      </c>
      <c r="AA1" s="61" t="s">
        <v>0</v>
      </c>
      <c r="AB1" s="61" t="s">
        <v>0</v>
      </c>
      <c r="AC1" s="61" t="s">
        <v>0</v>
      </c>
      <c r="AD1" s="61" t="s">
        <v>0</v>
      </c>
      <c r="AE1" s="59" t="s">
        <v>1</v>
      </c>
      <c r="AF1" s="61" t="s">
        <v>8</v>
      </c>
      <c r="AG1" s="61" t="s">
        <v>8</v>
      </c>
      <c r="AH1" s="61" t="s">
        <v>8</v>
      </c>
      <c r="AI1" s="61" t="s">
        <v>8</v>
      </c>
      <c r="AJ1" s="61" t="s">
        <v>9</v>
      </c>
      <c r="AK1" s="61" t="s">
        <v>9</v>
      </c>
      <c r="AL1" s="61" t="s">
        <v>9</v>
      </c>
      <c r="AM1" s="61" t="s">
        <v>9</v>
      </c>
      <c r="AN1" s="61" t="s">
        <v>9</v>
      </c>
      <c r="AO1" s="61" t="s">
        <v>9</v>
      </c>
      <c r="AP1" s="59" t="s">
        <v>10</v>
      </c>
      <c r="AQ1" s="59" t="s">
        <v>10</v>
      </c>
      <c r="AR1" s="59" t="s">
        <v>10</v>
      </c>
      <c r="AS1" s="59" t="s">
        <v>11</v>
      </c>
      <c r="AT1" s="59" t="s">
        <v>11</v>
      </c>
      <c r="AU1" s="59" t="s">
        <v>11</v>
      </c>
      <c r="AV1" s="60" t="s">
        <v>3</v>
      </c>
      <c r="AW1" s="60" t="s">
        <v>18</v>
      </c>
      <c r="AX1" s="63" t="s">
        <v>18</v>
      </c>
      <c r="AY1" s="60" t="s">
        <v>18</v>
      </c>
      <c r="AZ1" s="60" t="s">
        <v>3</v>
      </c>
      <c r="BA1" s="60" t="s">
        <v>3</v>
      </c>
      <c r="BB1" s="60" t="s">
        <v>19</v>
      </c>
      <c r="BC1" s="57" t="s">
        <v>0</v>
      </c>
      <c r="BD1" s="57" t="s">
        <v>0</v>
      </c>
      <c r="BE1" s="57" t="s">
        <v>0</v>
      </c>
      <c r="BF1" s="64"/>
      <c r="BG1" s="64"/>
      <c r="BH1" s="64"/>
      <c r="BI1" s="64"/>
      <c r="BJ1" s="64"/>
      <c r="BK1" s="64"/>
      <c r="BL1" s="64"/>
      <c r="BM1" s="64"/>
      <c r="BN1" s="64"/>
      <c r="BO1" s="64"/>
      <c r="BP1" s="64"/>
      <c r="BQ1" s="64"/>
      <c r="BR1" s="64"/>
      <c r="BS1" s="64"/>
      <c r="BT1" s="64"/>
      <c r="BU1" s="64"/>
      <c r="BV1" s="64"/>
      <c r="BW1" s="64"/>
      <c r="BX1" s="64"/>
      <c r="BY1" s="64"/>
      <c r="BZ1" s="64"/>
      <c r="CA1" s="64"/>
      <c r="CB1" s="64"/>
      <c r="CC1" s="64"/>
      <c r="CD1" s="64"/>
      <c r="CE1" s="64"/>
      <c r="CF1" s="64"/>
      <c r="CG1" s="64"/>
      <c r="CH1" s="64"/>
      <c r="CI1" s="64"/>
      <c r="CJ1" s="64"/>
      <c r="CK1" s="64"/>
      <c r="CL1" s="64"/>
      <c r="CM1" s="64"/>
      <c r="CN1" s="64"/>
      <c r="CO1" s="64"/>
      <c r="CP1" s="64"/>
      <c r="CQ1" s="64"/>
      <c r="CR1" s="64"/>
      <c r="CS1" s="64"/>
      <c r="CT1" s="64"/>
      <c r="CU1" s="64"/>
      <c r="CV1" s="64"/>
      <c r="CW1" s="64"/>
      <c r="CX1" s="64"/>
      <c r="CY1" s="64"/>
      <c r="CZ1" s="64"/>
      <c r="DA1" s="64"/>
      <c r="DB1" s="64"/>
      <c r="DC1" s="64"/>
      <c r="DD1" s="64"/>
      <c r="DE1" s="64"/>
      <c r="DF1" s="64"/>
      <c r="DG1" s="64"/>
      <c r="DH1" s="64"/>
      <c r="DI1" s="64"/>
      <c r="DJ1" s="64"/>
      <c r="DK1" s="64"/>
      <c r="DL1" s="64"/>
      <c r="DM1" s="64"/>
      <c r="DN1" s="64"/>
      <c r="DO1" s="64"/>
      <c r="DP1" s="64"/>
      <c r="DQ1" s="64"/>
      <c r="DR1" s="64"/>
      <c r="DS1" s="64"/>
      <c r="DT1" s="64"/>
      <c r="DU1" s="64"/>
      <c r="DV1" s="64"/>
      <c r="DW1" s="64"/>
      <c r="DX1" s="64"/>
      <c r="DY1" s="64"/>
      <c r="DZ1" s="64"/>
      <c r="EA1" s="64"/>
      <c r="EB1" s="64"/>
      <c r="EC1" s="64"/>
      <c r="ED1" s="64"/>
      <c r="EE1" s="64"/>
      <c r="EF1" s="64"/>
      <c r="EG1" s="64"/>
      <c r="EH1" s="64"/>
      <c r="EI1" s="64"/>
      <c r="EJ1" s="64"/>
      <c r="EK1" s="64"/>
      <c r="EL1" s="64"/>
      <c r="EM1" s="64"/>
      <c r="EN1" s="64"/>
      <c r="EO1" s="64"/>
      <c r="EP1" s="64"/>
      <c r="EQ1" s="64"/>
      <c r="ER1" s="64"/>
      <c r="ES1" s="64"/>
      <c r="ET1" s="64"/>
      <c r="EU1" s="64"/>
      <c r="EV1" s="64"/>
      <c r="EW1" s="64"/>
      <c r="EX1" s="64"/>
      <c r="EY1" s="64"/>
      <c r="EZ1" s="64"/>
      <c r="FA1" s="64"/>
      <c r="FB1" s="64"/>
      <c r="FC1" s="64"/>
      <c r="FD1" s="64"/>
      <c r="FE1" s="64"/>
      <c r="FF1" s="64"/>
      <c r="FG1" s="64"/>
      <c r="FH1" s="64"/>
      <c r="FI1" s="64"/>
      <c r="FJ1" s="64"/>
      <c r="FK1" s="64"/>
      <c r="FL1" s="64"/>
      <c r="FM1" s="64"/>
      <c r="FN1" s="64"/>
      <c r="FO1" s="64"/>
      <c r="FP1" s="64"/>
      <c r="FQ1" s="64"/>
      <c r="FR1" s="64"/>
      <c r="FS1" s="64"/>
      <c r="FT1" s="64"/>
      <c r="FU1" s="64"/>
      <c r="FV1" s="64"/>
      <c r="FW1" s="64"/>
      <c r="FX1" s="64"/>
      <c r="FY1" s="64"/>
      <c r="FZ1" s="64"/>
      <c r="GA1" s="64"/>
      <c r="GB1" s="64"/>
      <c r="GC1" s="64"/>
    </row>
    <row r="2" spans="1:185" s="65" customFormat="1" ht="34.5" customHeight="1">
      <c r="A2" s="97" t="s">
        <v>20</v>
      </c>
      <c r="B2" s="57" t="s">
        <v>21</v>
      </c>
      <c r="C2" s="57" t="s">
        <v>22</v>
      </c>
      <c r="D2" s="58" t="s">
        <v>23</v>
      </c>
      <c r="E2" s="57" t="s">
        <v>24</v>
      </c>
      <c r="F2" s="60" t="s">
        <v>25</v>
      </c>
      <c r="G2" s="57" t="s">
        <v>26</v>
      </c>
      <c r="H2" s="59" t="s">
        <v>21</v>
      </c>
      <c r="I2" s="59" t="s">
        <v>21</v>
      </c>
      <c r="J2" s="59" t="s">
        <v>21</v>
      </c>
      <c r="K2" s="59" t="s">
        <v>21</v>
      </c>
      <c r="L2" s="59" t="s">
        <v>21</v>
      </c>
      <c r="M2" s="59" t="s">
        <v>21</v>
      </c>
      <c r="N2" s="59" t="s">
        <v>27</v>
      </c>
      <c r="O2" s="57" t="s">
        <v>28</v>
      </c>
      <c r="P2" s="57" t="s">
        <v>29</v>
      </c>
      <c r="Q2" s="59" t="s">
        <v>29</v>
      </c>
      <c r="R2" s="59" t="s">
        <v>29</v>
      </c>
      <c r="S2" s="59" t="s">
        <v>29</v>
      </c>
      <c r="T2" s="59" t="s">
        <v>29</v>
      </c>
      <c r="U2" s="59" t="s">
        <v>29</v>
      </c>
      <c r="V2" s="62" t="s">
        <v>30</v>
      </c>
      <c r="W2" s="62" t="s">
        <v>30</v>
      </c>
      <c r="X2" s="61" t="s">
        <v>31</v>
      </c>
      <c r="Y2" s="61" t="s">
        <v>32</v>
      </c>
      <c r="Z2" s="61" t="s">
        <v>33</v>
      </c>
      <c r="AA2" s="61" t="s">
        <v>34</v>
      </c>
      <c r="AB2" s="60" t="s">
        <v>35</v>
      </c>
      <c r="AC2" s="60" t="s">
        <v>36</v>
      </c>
      <c r="AD2" s="60" t="s">
        <v>37</v>
      </c>
      <c r="AE2" s="60" t="s">
        <v>38</v>
      </c>
      <c r="AF2" s="60" t="s">
        <v>39</v>
      </c>
      <c r="AG2" s="60" t="s">
        <v>40</v>
      </c>
      <c r="AH2" s="60" t="s">
        <v>41</v>
      </c>
      <c r="AI2" s="60" t="s">
        <v>42</v>
      </c>
      <c r="AJ2" s="60" t="s">
        <v>43</v>
      </c>
      <c r="AK2" s="60" t="s">
        <v>44</v>
      </c>
      <c r="AL2" s="60" t="s">
        <v>45</v>
      </c>
      <c r="AM2" s="60" t="s">
        <v>46</v>
      </c>
      <c r="AN2" s="60" t="s">
        <v>47</v>
      </c>
      <c r="AO2" s="60" t="s">
        <v>48</v>
      </c>
      <c r="AP2" s="60" t="s">
        <v>49</v>
      </c>
      <c r="AQ2" s="60" t="s">
        <v>50</v>
      </c>
      <c r="AR2" s="66" t="s">
        <v>51</v>
      </c>
      <c r="AS2" s="60" t="s">
        <v>49</v>
      </c>
      <c r="AT2" s="60" t="s">
        <v>50</v>
      </c>
      <c r="AU2" s="66" t="s">
        <v>51</v>
      </c>
      <c r="AV2" s="60" t="s">
        <v>52</v>
      </c>
      <c r="AW2" s="60" t="s">
        <v>52</v>
      </c>
      <c r="AX2" s="63" t="s">
        <v>53</v>
      </c>
      <c r="AY2" s="60" t="s">
        <v>54</v>
      </c>
      <c r="AZ2" s="60" t="s">
        <v>55</v>
      </c>
      <c r="BA2" s="60" t="s">
        <v>56</v>
      </c>
      <c r="BB2" s="60" t="s">
        <v>57</v>
      </c>
      <c r="BC2" s="57" t="s">
        <v>58</v>
      </c>
      <c r="BD2" s="57" t="s">
        <v>59</v>
      </c>
      <c r="BE2" s="57" t="s">
        <v>60</v>
      </c>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4"/>
      <c r="DR2" s="64"/>
      <c r="DS2" s="64"/>
      <c r="DT2" s="64"/>
      <c r="DU2" s="64"/>
      <c r="DV2" s="64"/>
      <c r="DW2" s="64"/>
      <c r="DX2" s="64"/>
      <c r="DY2" s="64"/>
      <c r="DZ2" s="64"/>
      <c r="EA2" s="64"/>
      <c r="EB2" s="64"/>
      <c r="EC2" s="64"/>
      <c r="ED2" s="64"/>
      <c r="EE2" s="64"/>
      <c r="EF2" s="64"/>
      <c r="EG2" s="64"/>
      <c r="EH2" s="64"/>
      <c r="EI2" s="64"/>
      <c r="EJ2" s="64"/>
      <c r="EK2" s="64"/>
      <c r="EL2" s="64"/>
      <c r="EM2" s="64"/>
      <c r="EN2" s="64"/>
      <c r="EO2" s="64"/>
      <c r="EP2" s="64"/>
      <c r="EQ2" s="64"/>
      <c r="ER2" s="64"/>
      <c r="ES2" s="64"/>
      <c r="ET2" s="64"/>
      <c r="EU2" s="64"/>
      <c r="EV2" s="64"/>
      <c r="EW2" s="64"/>
      <c r="EX2" s="64"/>
      <c r="EY2" s="64"/>
      <c r="EZ2" s="64"/>
      <c r="FA2" s="64"/>
      <c r="FB2" s="64"/>
      <c r="FC2" s="64"/>
      <c r="FD2" s="64"/>
      <c r="FE2" s="64"/>
      <c r="FF2" s="64"/>
      <c r="FG2" s="64"/>
      <c r="FH2" s="64"/>
      <c r="FI2" s="64"/>
      <c r="FJ2" s="64"/>
      <c r="FK2" s="64"/>
      <c r="FL2" s="64"/>
      <c r="FM2" s="64"/>
      <c r="FN2" s="64"/>
      <c r="FO2" s="64"/>
      <c r="FP2" s="64"/>
      <c r="FQ2" s="64"/>
      <c r="FR2" s="64"/>
      <c r="FS2" s="64"/>
      <c r="FT2" s="64"/>
      <c r="FU2" s="64"/>
      <c r="FV2" s="64"/>
      <c r="FW2" s="64"/>
      <c r="FX2" s="64"/>
      <c r="FY2" s="64"/>
      <c r="FZ2" s="64"/>
      <c r="GA2" s="64"/>
      <c r="GB2" s="64"/>
      <c r="GC2" s="64"/>
    </row>
    <row r="3" spans="1:185" s="65" customFormat="1" ht="34.5" customHeight="1">
      <c r="A3" s="97" t="str">
        <f>_xlfn.TEXTJOIN(" ", TRUE, LOWER(A1), LOWER(A2))</f>
        <v>vjdbv1.0 field index</v>
      </c>
      <c r="B3" s="57" t="str">
        <f>_xlfn.TEXTJOIN(" ", TRUE, LOWER(B1), LOWER(B2))</f>
        <v>vjdbv1.0 field id</v>
      </c>
      <c r="C3" s="57" t="str">
        <f>_xlfn.TEXTJOIN(" ", TRUE, LOWER(C1), LOWER(C2))</f>
        <v>vjdbv1.0 name</v>
      </c>
      <c r="D3" s="58" t="str">
        <f>_xlfn.TEXTJOIN(" ", TRUE, LOWER(D1), LOWER(D2))</f>
        <v>vjdbv1.0 description</v>
      </c>
      <c r="E3" s="58" t="str">
        <f>_xlfn.TEXTJOIN(" ", TRUE, LOWER(E1), LOWER(E2))</f>
        <v>vjdbv1.0 fields_type</v>
      </c>
      <c r="F3" s="57" t="str">
        <f>_xlfn.TEXTJOIN(" ", TRUE, LOWER(F1), LOWER(F2))</f>
        <v>vjdbv1.0 privacy</v>
      </c>
      <c r="G3" s="57" t="str">
        <f>_xlfn.TEXTJOIN(" ", TRUE, LOWER(G1), LOWER(G2))</f>
        <v>vjdbv0.2  field id</v>
      </c>
      <c r="H3" s="57" t="str">
        <f>_xlfn.TEXTJOIN(" ", TRUE, LOWER(H1), LOWER(H2))</f>
        <v>vjdbv0.1 field id</v>
      </c>
      <c r="I3" s="57" t="str">
        <f>_xlfn.TEXTJOIN(" ", TRUE, LOWER(I1), LOWER(I2))</f>
        <v>ena field id</v>
      </c>
      <c r="J3" s="57" t="str">
        <f>_xlfn.TEXTJOIN(" ", TRUE, LOWER(J1), LOWER(J2))</f>
        <v>rki field id</v>
      </c>
      <c r="K3" s="57" t="str">
        <f>_xlfn.TEXTJOIN(" ", TRUE, LOWER(K1), LOWER(K2))</f>
        <v>migs-vi field id</v>
      </c>
      <c r="L3" s="57" t="str">
        <f>_xlfn.TEXTJOIN(" ", TRUE, LOWER(L1), LOWER(L2))</f>
        <v>migs-uvig field id</v>
      </c>
      <c r="M3" s="57" t="str">
        <f>_xlfn.TEXTJOIN(" ", TRUE, LOWER(M1), LOWER(M2))</f>
        <v>env-o field id</v>
      </c>
      <c r="N3" s="57" t="str">
        <f>_xlfn.TEXTJOIN(" ", TRUE, LOWER(N1), LOWER(N2))</f>
        <v>ncbi virus n nucleotide field id</v>
      </c>
      <c r="O3" s="57" t="str">
        <f>_xlfn.TEXTJOIN(" ", TRUE, LOWER(O1), LOWER(O2))</f>
        <v>bv-brc b field name</v>
      </c>
      <c r="P3" s="57" t="str">
        <f>_xlfn.TEXTJOIN(" ", TRUE, LOWER(P1), LOWER(P2))</f>
        <v>ena erc32 field name</v>
      </c>
      <c r="Q3" s="57" t="str">
        <f>_xlfn.TEXTJOIN(" ", TRUE, LOWER(Q1), LOWER(Q2))</f>
        <v>ena erc33 field name</v>
      </c>
      <c r="R3" s="57" t="str">
        <f>_xlfn.TEXTJOIN(" ", TRUE, LOWER(R1), LOWER(R2))</f>
        <v>img/vr field name</v>
      </c>
      <c r="S3" s="57" t="str">
        <f>_xlfn.TEXTJOIN(" ", TRUE, LOWER(S1), LOWER(S2))</f>
        <v>phd field name</v>
      </c>
      <c r="T3" s="57" t="str">
        <f>_xlfn.TEXTJOIN(" ", TRUE, LOWER(T1), LOWER(T2))</f>
        <v>phispy field name</v>
      </c>
      <c r="U3" s="57" t="str">
        <f>_xlfn.TEXTJOIN(" ", TRUE, LOWER(U1), LOWER(U2))</f>
        <v>gtdb field name</v>
      </c>
      <c r="V3" s="60" t="str">
        <f>_xlfn.TEXTJOIN(" ", TRUE, LOWER(V1), LOWER(V2))</f>
        <v>ena submission object object name</v>
      </c>
      <c r="W3" s="60" t="str">
        <f>_xlfn.TEXTJOIN(" ", TRUE, LOWER(W1), LOWER(W2))</f>
        <v>vjbd submission object object name</v>
      </c>
      <c r="X3" s="57" t="str">
        <f>_xlfn.TEXTJOIN(" ", TRUE, LOWER(X1), LOWER(X2))</f>
        <v>vjdbv1.0 group1</v>
      </c>
      <c r="Y3" s="57" t="str">
        <f>_xlfn.TEXTJOIN(" ", TRUE, LOWER(Y1), LOWER(Y2))</f>
        <v>vjdbv1.0 group2</v>
      </c>
      <c r="Z3" s="57" t="str">
        <f>_xlfn.TEXTJOIN(" ", TRUE, LOWER(Z1), LOWER(Z2))</f>
        <v>vjdbv1.0 group3</v>
      </c>
      <c r="AA3" s="57" t="str">
        <f>_xlfn.TEXTJOIN(" ", TRUE, LOWER(AA1), LOWER(AA2))</f>
        <v>vjdbv1.0 tags</v>
      </c>
      <c r="AB3" s="57" t="str">
        <f>_xlfn.TEXTJOIN(" ", TRUE, LOWER(AB1), LOWER(AB2))</f>
        <v>vjdbv1.0 input source</v>
      </c>
      <c r="AC3" s="57" t="str">
        <f>_xlfn.TEXTJOIN(" ", TRUE, LOWER(AC1), LOWER(AC2))</f>
        <v>vjdbv1.0 notes</v>
      </c>
      <c r="AD3" s="57" t="str">
        <f>_xlfn.TEXTJOIN(" ", TRUE, LOWER(AD1), LOWER(AD2))</f>
        <v>vjdbv1.0 changes</v>
      </c>
      <c r="AE3" s="57" t="str">
        <f>_xlfn.TEXTJOIN(" ", TRUE, LOWER(AE1), LOWER(AE2))</f>
        <v>vjdbv0.2 previous changes</v>
      </c>
      <c r="AF3" s="57" t="str">
        <f>_xlfn.TEXTJOIN(" ", TRUE, LOWER(AF1), LOWER(AF2))</f>
        <v>ncbi virus n field name</v>
      </c>
      <c r="AG3" s="57" t="str">
        <f>_xlfn.TEXTJOIN(" ", TRUE, LOWER(AG1), LOWER(AG2))</f>
        <v>ncbi virus n field description</v>
      </c>
      <c r="AH3" s="57" t="str">
        <f>_xlfn.TEXTJOIN(" ", TRUE, LOWER(AH1), LOWER(AH2))</f>
        <v>ncbi virus n type</v>
      </c>
      <c r="AI3" s="57" t="str">
        <f>_xlfn.TEXTJOIN(" ", TRUE, LOWER(AI1), LOWER(AI2))</f>
        <v>ncbi virus n curation notes</v>
      </c>
      <c r="AJ3" s="57" t="str">
        <f>_xlfn.TEXTJOIN(" ", TRUE, LOWER(AJ1), LOWER(AJ2))</f>
        <v>bv-brc b category</v>
      </c>
      <c r="AK3" s="57" t="str">
        <f>_xlfn.TEXTJOIN(" ", TRUE, LOWER(AK1), LOWER(AK2))</f>
        <v>bv-brc b schema category</v>
      </c>
      <c r="AL3" s="57" t="str">
        <f>_xlfn.TEXTJOIN(" ", TRUE, LOWER(AL1), LOWER(AL2))</f>
        <v>bv-brc b field id</v>
      </c>
      <c r="AM3" s="57" t="str">
        <f>_xlfn.TEXTJOIN(" ", TRUE, LOWER(AM1), LOWER(AM2))</f>
        <v>bv-brc b field type</v>
      </c>
      <c r="AN3" s="57" t="str">
        <f>_xlfn.TEXTJOIN(" ", TRUE, LOWER(AN1), LOWER(AN2))</f>
        <v>bv-brc b type</v>
      </c>
      <c r="AO3" s="57" t="str">
        <f>_xlfn.TEXTJOIN(" ", TRUE, LOWER(AO1), LOWER(AO2))</f>
        <v>bv-brc b curation notes</v>
      </c>
      <c r="AP3" s="57" t="str">
        <f>_xlfn.TEXTJOIN(" ", TRUE, LOWER(AP1), LOWER(AP2))</f>
        <v>ena erc32 field description</v>
      </c>
      <c r="AQ3" s="57" t="str">
        <f>_xlfn.TEXTJOIN(" ", TRUE, LOWER(AQ1), LOWER(AQ2))</f>
        <v>ena erc32 controlled vocabulary</v>
      </c>
      <c r="AR3" s="57" t="str">
        <f>_xlfn.TEXTJOIN(" ", TRUE, LOWER(AR1), LOWER(AR2))</f>
        <v>ena erc32 field type</v>
      </c>
      <c r="AS3" s="57" t="str">
        <f>_xlfn.TEXTJOIN(" ", TRUE, LOWER(AS1), LOWER(AS2))</f>
        <v>ena erc33 field description</v>
      </c>
      <c r="AT3" s="57" t="str">
        <f>_xlfn.TEXTJOIN(" ", TRUE, LOWER(AT1), LOWER(AT2))</f>
        <v>ena erc33 controlled vocabulary</v>
      </c>
      <c r="AU3" s="57" t="str">
        <f>_xlfn.TEXTJOIN(" ", TRUE, LOWER(AU1), LOWER(AU2))</f>
        <v>ena erc33 field type</v>
      </c>
      <c r="AV3" s="57" t="str">
        <f>_xlfn.TEXTJOIN(" ", TRUE, LOWER(AV1), LOWER(AV2))</f>
        <v>ena submission requiredness</v>
      </c>
      <c r="AW3" s="57" t="str">
        <f>_xlfn.TEXTJOIN(" ", TRUE, LOWER(AW1), LOWER(AW2))</f>
        <v>vjdb submission requiredness</v>
      </c>
      <c r="AX3" s="67" t="str">
        <f>_xlfn.TEXTJOIN(" ", TRUE, LOWER(AX1), LOWER(AX2))</f>
        <v>vjdb example</v>
      </c>
      <c r="AY3" s="57" t="str">
        <f>_xlfn.TEXTJOIN(" ", TRUE, LOWER(AY1), LOWER(AY2))</f>
        <v>vjdb validation rules</v>
      </c>
      <c r="AZ3" s="57" t="str">
        <f>_xlfn.TEXTJOIN(" ", TRUE, LOWER(AZ1), LOWER(AZ2))</f>
        <v>ena submission fieldtype</v>
      </c>
      <c r="BA3" s="57" t="str">
        <f>_xlfn.TEXTJOIN(" ", TRUE, LOWER(BA1), LOWER(BA2))</f>
        <v>ena submission validation</v>
      </c>
      <c r="BB3" s="57" t="str">
        <f>_xlfn.TEXTJOIN(" ", TRUE, LOWER(BB1), LOWER(BB2))</f>
        <v>ictv40 i field name</v>
      </c>
      <c r="BC3" s="57" t="str">
        <f>_xlfn.TEXTJOIN(" ", TRUE, LOWER(BC1), LOWER(BC2))</f>
        <v>vjdbv1.0 index</v>
      </c>
      <c r="BD3" s="57" t="str">
        <f>_xlfn.TEXTJOIN(" ", TRUE, LOWER(BD1), LOWER(BD2))</f>
        <v>vjdbv1.0 search method</v>
      </c>
      <c r="BE3" s="57" t="str">
        <f>_xlfn.TEXTJOIN(" ", TRUE, LOWER(BE1), LOWER(BE2))</f>
        <v>vjdbv1.0 default search</v>
      </c>
      <c r="BF3" s="64"/>
      <c r="BG3" s="64"/>
      <c r="BH3" s="64"/>
      <c r="BI3" s="64"/>
      <c r="BJ3" s="64"/>
      <c r="BK3" s="64"/>
      <c r="BL3" s="64"/>
      <c r="BM3" s="64"/>
      <c r="BN3" s="64"/>
      <c r="BO3" s="64"/>
      <c r="BP3" s="64"/>
      <c r="BQ3" s="64"/>
      <c r="BR3" s="64"/>
      <c r="BS3" s="64"/>
      <c r="BT3" s="64"/>
      <c r="BU3" s="64"/>
      <c r="BV3" s="64"/>
      <c r="BW3" s="64"/>
      <c r="BX3" s="64"/>
      <c r="BY3" s="64"/>
      <c r="BZ3" s="64"/>
      <c r="CA3" s="64"/>
      <c r="CB3" s="64"/>
      <c r="CC3" s="64"/>
      <c r="CD3" s="64"/>
      <c r="CE3" s="64"/>
      <c r="CF3" s="64"/>
      <c r="CG3" s="64"/>
      <c r="CH3" s="64"/>
      <c r="CI3" s="64"/>
      <c r="CJ3" s="64"/>
      <c r="CK3" s="64"/>
      <c r="CL3" s="64"/>
      <c r="CM3" s="64"/>
      <c r="CN3" s="64"/>
      <c r="CO3" s="64"/>
      <c r="CP3" s="64"/>
      <c r="CQ3" s="64"/>
      <c r="CR3" s="64"/>
      <c r="CS3" s="64"/>
      <c r="CT3" s="64"/>
      <c r="CU3" s="64"/>
      <c r="CV3" s="64"/>
      <c r="CW3" s="64"/>
      <c r="CX3" s="64"/>
      <c r="CY3" s="64"/>
      <c r="CZ3" s="64"/>
      <c r="DA3" s="64"/>
      <c r="DB3" s="64"/>
      <c r="DC3" s="64"/>
      <c r="DD3" s="64"/>
      <c r="DE3" s="64"/>
      <c r="DF3" s="64"/>
      <c r="DG3" s="64"/>
      <c r="DH3" s="64"/>
      <c r="DI3" s="64"/>
      <c r="DJ3" s="64"/>
      <c r="DK3" s="64"/>
      <c r="DL3" s="64"/>
      <c r="DM3" s="64"/>
      <c r="DN3" s="64"/>
      <c r="DO3" s="64"/>
      <c r="DP3" s="64"/>
      <c r="DQ3" s="64"/>
      <c r="DR3" s="64"/>
      <c r="DS3" s="64"/>
      <c r="DT3" s="64"/>
      <c r="DU3" s="64"/>
      <c r="DV3" s="64"/>
      <c r="DW3" s="64"/>
      <c r="DX3" s="64"/>
      <c r="DY3" s="64"/>
      <c r="DZ3" s="64"/>
      <c r="EA3" s="64"/>
      <c r="EB3" s="64"/>
      <c r="EC3" s="64"/>
      <c r="ED3" s="64"/>
      <c r="EE3" s="64"/>
      <c r="EF3" s="64"/>
      <c r="EG3" s="64"/>
      <c r="EH3" s="64"/>
      <c r="EI3" s="64"/>
      <c r="EJ3" s="64"/>
      <c r="EK3" s="64"/>
      <c r="EL3" s="64"/>
      <c r="EM3" s="64"/>
      <c r="EN3" s="64"/>
      <c r="EO3" s="64"/>
      <c r="EP3" s="64"/>
      <c r="EQ3" s="64"/>
      <c r="ER3" s="64"/>
      <c r="ES3" s="64"/>
      <c r="ET3" s="64"/>
      <c r="EU3" s="64"/>
      <c r="EV3" s="64"/>
      <c r="EW3" s="64"/>
      <c r="EX3" s="64"/>
      <c r="EY3" s="64"/>
      <c r="EZ3" s="64"/>
      <c r="FA3" s="64"/>
      <c r="FB3" s="64"/>
      <c r="FC3" s="64"/>
      <c r="FD3" s="64"/>
      <c r="FE3" s="64"/>
      <c r="FF3" s="64"/>
      <c r="FG3" s="64"/>
      <c r="FH3" s="64"/>
      <c r="FI3" s="64"/>
      <c r="FJ3" s="64"/>
      <c r="FK3" s="64"/>
      <c r="FL3" s="64"/>
      <c r="FM3" s="64"/>
      <c r="FN3" s="64"/>
      <c r="FO3" s="64"/>
      <c r="FP3" s="64"/>
      <c r="FQ3" s="64"/>
      <c r="FR3" s="64"/>
      <c r="FS3" s="64"/>
      <c r="FT3" s="64"/>
      <c r="FU3" s="64"/>
      <c r="FV3" s="64"/>
      <c r="FW3" s="64"/>
      <c r="FX3" s="64"/>
      <c r="FY3" s="64"/>
      <c r="FZ3" s="64"/>
      <c r="GA3" s="64"/>
      <c r="GB3" s="64"/>
      <c r="GC3" s="64"/>
    </row>
    <row r="4" spans="1:185" s="65" customFormat="1" ht="34.5" customHeight="1">
      <c r="A4" s="97" t="str">
        <f>SUBSTITUTE(A3, " ", "_")</f>
        <v>vjdbv1.0_field_index</v>
      </c>
      <c r="B4" s="57" t="str">
        <f>SUBSTITUTE(B3, " ", "_")</f>
        <v>vjdbv1.0_field_id</v>
      </c>
      <c r="C4" s="57" t="str">
        <f>SUBSTITUTE(C3, " ", "_")</f>
        <v>vjdbv1.0_name</v>
      </c>
      <c r="D4" s="58" t="str">
        <f>SUBSTITUTE(D3, " ", "_")</f>
        <v>vjdbv1.0_description</v>
      </c>
      <c r="E4" s="58" t="str">
        <f>SUBSTITUTE(E3, " ", "_")</f>
        <v>vjdbv1.0_fields_type</v>
      </c>
      <c r="F4" s="57" t="str">
        <f>SUBSTITUTE(F3, " ", "_")</f>
        <v>vjdbv1.0_privacy</v>
      </c>
      <c r="G4" s="57" t="str">
        <f>SUBSTITUTE(G3, " ", "_")</f>
        <v>vjdbv0.2__field_id</v>
      </c>
      <c r="H4" s="57" t="str">
        <f>SUBSTITUTE(H3, " ", "_")</f>
        <v>vjdbv0.1_field_id</v>
      </c>
      <c r="I4" s="57" t="str">
        <f>SUBSTITUTE(I3, " ", "_")</f>
        <v>ena_field_id</v>
      </c>
      <c r="J4" s="57" t="str">
        <f>SUBSTITUTE(J3, " ", "_")</f>
        <v>rki_field_id</v>
      </c>
      <c r="K4" s="57" t="str">
        <f>SUBSTITUTE(K3, " ", "_")</f>
        <v>migs-vi_field_id</v>
      </c>
      <c r="L4" s="57" t="str">
        <f>SUBSTITUTE(L3, " ", "_")</f>
        <v>migs-uvig_field_id</v>
      </c>
      <c r="M4" s="57" t="str">
        <f>SUBSTITUTE(M3, " ", "_")</f>
        <v>env-o_field_id</v>
      </c>
      <c r="N4" s="57" t="str">
        <f>SUBSTITUTE(N3, " ", "_")</f>
        <v>ncbi_virus_n_nucleotide_field_id</v>
      </c>
      <c r="O4" s="57" t="str">
        <f>SUBSTITUTE(O3, " ", "_")</f>
        <v>bv-brc_b_field_name</v>
      </c>
      <c r="P4" s="57" t="str">
        <f>SUBSTITUTE(P3, " ", "_")</f>
        <v>ena_erc32_field_name</v>
      </c>
      <c r="Q4" s="57" t="str">
        <f>SUBSTITUTE(Q3, " ", "_")</f>
        <v>ena_erc33_field_name</v>
      </c>
      <c r="R4" s="57" t="str">
        <f>SUBSTITUTE(R3, " ", "_")</f>
        <v>img/vr_field_name</v>
      </c>
      <c r="S4" s="57" t="str">
        <f>SUBSTITUTE(S3, " ", "_")</f>
        <v>phd_field_name</v>
      </c>
      <c r="T4" s="57" t="str">
        <f>SUBSTITUTE(T3, " ", "_")</f>
        <v>phispy_field_name</v>
      </c>
      <c r="U4" s="57" t="str">
        <f>SUBSTITUTE(U3, " ", "_")</f>
        <v>gtdb_field_name</v>
      </c>
      <c r="V4" s="60" t="str">
        <f>SUBSTITUTE(V3, " ", "_")</f>
        <v>ena_submission_object_object_name</v>
      </c>
      <c r="W4" s="60" t="str">
        <f>SUBSTITUTE(W3, " ", "_")</f>
        <v>vjbd_submission_object_object_name</v>
      </c>
      <c r="X4" s="57" t="str">
        <f>SUBSTITUTE(X3, " ", "_")</f>
        <v>vjdbv1.0_group1</v>
      </c>
      <c r="Y4" s="57" t="str">
        <f>SUBSTITUTE(Y3, " ", "_")</f>
        <v>vjdbv1.0_group2</v>
      </c>
      <c r="Z4" s="57" t="str">
        <f>SUBSTITUTE(Z3, " ", "_")</f>
        <v>vjdbv1.0_group3</v>
      </c>
      <c r="AA4" s="57" t="str">
        <f>SUBSTITUTE(AA3, " ", "_")</f>
        <v>vjdbv1.0_tags</v>
      </c>
      <c r="AB4" s="57" t="str">
        <f>SUBSTITUTE(AB3, " ", "_")</f>
        <v>vjdbv1.0_input_source</v>
      </c>
      <c r="AC4" s="57" t="str">
        <f>SUBSTITUTE(AC3, " ", "_")</f>
        <v>vjdbv1.0_notes</v>
      </c>
      <c r="AD4" s="57" t="str">
        <f>SUBSTITUTE(AD3, " ", "_")</f>
        <v>vjdbv1.0_changes</v>
      </c>
      <c r="AE4" s="57" t="str">
        <f>SUBSTITUTE(AE3, " ", "_")</f>
        <v>vjdbv0.2_previous_changes</v>
      </c>
      <c r="AF4" s="57" t="str">
        <f>SUBSTITUTE(AF3, " ", "_")</f>
        <v>ncbi_virus_n_field_name</v>
      </c>
      <c r="AG4" s="57" t="str">
        <f>SUBSTITUTE(AG3, " ", "_")</f>
        <v>ncbi_virus_n_field_description</v>
      </c>
      <c r="AH4" s="57" t="str">
        <f>SUBSTITUTE(AH3, " ", "_")</f>
        <v>ncbi_virus_n_type</v>
      </c>
      <c r="AI4" s="57" t="str">
        <f>SUBSTITUTE(AI3, " ", "_")</f>
        <v>ncbi_virus_n_curation_notes</v>
      </c>
      <c r="AJ4" s="57" t="str">
        <f>SUBSTITUTE(AJ3, " ", "_")</f>
        <v>bv-brc_b_category</v>
      </c>
      <c r="AK4" s="57" t="str">
        <f>SUBSTITUTE(AK3, " ", "_")</f>
        <v>bv-brc_b_schema_category</v>
      </c>
      <c r="AL4" s="57" t="str">
        <f>SUBSTITUTE(AL3, " ", "_")</f>
        <v>bv-brc_b_field_id</v>
      </c>
      <c r="AM4" s="57" t="str">
        <f>SUBSTITUTE(AM3, " ", "_")</f>
        <v>bv-brc_b_field_type</v>
      </c>
      <c r="AN4" s="57" t="str">
        <f>SUBSTITUTE(AN3, " ", "_")</f>
        <v>bv-brc_b_type</v>
      </c>
      <c r="AO4" s="57" t="str">
        <f>SUBSTITUTE(AO3, " ", "_")</f>
        <v>bv-brc_b_curation_notes</v>
      </c>
      <c r="AP4" s="57" t="str">
        <f>SUBSTITUTE(AP3, " ", "_")</f>
        <v>ena_erc32_field_description</v>
      </c>
      <c r="AQ4" s="57" t="str">
        <f>SUBSTITUTE(AQ3, " ", "_")</f>
        <v>ena_erc32_controlled_vocabulary</v>
      </c>
      <c r="AR4" s="57" t="str">
        <f>SUBSTITUTE(AR3, " ", "_")</f>
        <v>ena_erc32_field_type</v>
      </c>
      <c r="AS4" s="57" t="str">
        <f>SUBSTITUTE(AS3, " ", "_")</f>
        <v>ena_erc33_field_description</v>
      </c>
      <c r="AT4" s="57" t="str">
        <f>SUBSTITUTE(AT3, " ", "_")</f>
        <v>ena_erc33_controlled_vocabulary</v>
      </c>
      <c r="AU4" s="57" t="str">
        <f>SUBSTITUTE(AU3, " ", "_")</f>
        <v>ena_erc33_field_type</v>
      </c>
      <c r="AV4" s="57" t="str">
        <f>SUBSTITUTE(AV3, " ", "_")</f>
        <v>ena_submission_requiredness</v>
      </c>
      <c r="AW4" s="57" t="str">
        <f>SUBSTITUTE(AW3, " ", "_")</f>
        <v>vjdb_submission_requiredness</v>
      </c>
      <c r="AX4" s="67" t="str">
        <f>SUBSTITUTE(AX3, " ", "_")</f>
        <v>vjdb_example</v>
      </c>
      <c r="AY4" s="57" t="str">
        <f>SUBSTITUTE(AY3, " ", "_")</f>
        <v>vjdb_validation_rules</v>
      </c>
      <c r="AZ4" s="57" t="str">
        <f>SUBSTITUTE(AZ3, " ", "_")</f>
        <v>ena_submission_fieldtype</v>
      </c>
      <c r="BA4" s="57" t="str">
        <f>SUBSTITUTE(BA3, " ", "_")</f>
        <v>ena_submission_validation</v>
      </c>
      <c r="BB4" s="57" t="str">
        <f>SUBSTITUTE(BB3, " ", "_")</f>
        <v>ictv40_i_field_name</v>
      </c>
      <c r="BC4" s="57" t="str">
        <f>SUBSTITUTE(BC3, " ", "_")</f>
        <v>vjdbv1.0_index</v>
      </c>
      <c r="BD4" s="57" t="str">
        <f>SUBSTITUTE(BD3, " ", "_")</f>
        <v>vjdbv1.0_search_method</v>
      </c>
      <c r="BE4" s="57" t="str">
        <f>SUBSTITUTE(BE3, " ", "_")</f>
        <v>vjdbv1.0_default_search</v>
      </c>
      <c r="BF4" s="64"/>
      <c r="BG4" s="64"/>
      <c r="BH4" s="64"/>
      <c r="BI4" s="64"/>
      <c r="BJ4" s="64"/>
      <c r="BK4" s="64"/>
      <c r="BL4" s="64"/>
      <c r="BM4" s="64"/>
      <c r="BN4" s="64"/>
      <c r="BO4" s="64"/>
      <c r="BP4" s="64"/>
      <c r="BQ4" s="64"/>
      <c r="BR4" s="64"/>
      <c r="BS4" s="64"/>
      <c r="BT4" s="64"/>
      <c r="BU4" s="64"/>
      <c r="BV4" s="64"/>
      <c r="BW4" s="64"/>
      <c r="BX4" s="64"/>
      <c r="BY4" s="64"/>
      <c r="BZ4" s="64"/>
      <c r="CA4" s="64"/>
      <c r="CB4" s="64"/>
      <c r="CC4" s="64"/>
      <c r="CD4" s="64"/>
      <c r="CE4" s="64"/>
      <c r="CF4" s="64"/>
      <c r="CG4" s="64"/>
      <c r="CH4" s="64"/>
      <c r="CI4" s="64"/>
      <c r="CJ4" s="64"/>
      <c r="CK4" s="64"/>
      <c r="CL4" s="64"/>
      <c r="CM4" s="64"/>
      <c r="CN4" s="64"/>
      <c r="CO4" s="64"/>
      <c r="CP4" s="64"/>
      <c r="CQ4" s="64"/>
      <c r="CR4" s="64"/>
      <c r="CS4" s="64"/>
      <c r="CT4" s="64"/>
      <c r="CU4" s="64"/>
      <c r="CV4" s="64"/>
      <c r="CW4" s="64"/>
      <c r="CX4" s="64"/>
      <c r="CY4" s="64"/>
      <c r="CZ4" s="64"/>
      <c r="DA4" s="64"/>
      <c r="DB4" s="64"/>
      <c r="DC4" s="64"/>
      <c r="DD4" s="64"/>
      <c r="DE4" s="64"/>
      <c r="DF4" s="64"/>
      <c r="DG4" s="64"/>
      <c r="DH4" s="64"/>
      <c r="DI4" s="64"/>
      <c r="DJ4" s="64"/>
      <c r="DK4" s="64"/>
      <c r="DL4" s="64"/>
      <c r="DM4" s="64"/>
      <c r="DN4" s="64"/>
      <c r="DO4" s="64"/>
      <c r="DP4" s="64"/>
      <c r="DQ4" s="64"/>
      <c r="DR4" s="64"/>
      <c r="DS4" s="64"/>
      <c r="DT4" s="64"/>
      <c r="DU4" s="64"/>
      <c r="DV4" s="64"/>
      <c r="DW4" s="64"/>
      <c r="DX4" s="64"/>
      <c r="DY4" s="64"/>
      <c r="DZ4" s="64"/>
      <c r="EA4" s="64"/>
      <c r="EB4" s="64"/>
      <c r="EC4" s="64"/>
      <c r="ED4" s="64"/>
      <c r="EE4" s="64"/>
      <c r="EF4" s="64"/>
      <c r="EG4" s="64"/>
      <c r="EH4" s="64"/>
      <c r="EI4" s="64"/>
      <c r="EJ4" s="64"/>
      <c r="EK4" s="64"/>
      <c r="EL4" s="64"/>
      <c r="EM4" s="64"/>
      <c r="EN4" s="64"/>
      <c r="EO4" s="64"/>
      <c r="EP4" s="64"/>
      <c r="EQ4" s="64"/>
      <c r="ER4" s="64"/>
      <c r="ES4" s="64"/>
      <c r="ET4" s="64"/>
      <c r="EU4" s="64"/>
      <c r="EV4" s="64"/>
      <c r="EW4" s="64"/>
      <c r="EX4" s="64"/>
      <c r="EY4" s="64"/>
      <c r="EZ4" s="64"/>
      <c r="FA4" s="64"/>
      <c r="FB4" s="64"/>
      <c r="FC4" s="64"/>
      <c r="FD4" s="64"/>
      <c r="FE4" s="64"/>
      <c r="FF4" s="64"/>
      <c r="FG4" s="64"/>
      <c r="FH4" s="64"/>
      <c r="FI4" s="64"/>
      <c r="FJ4" s="64"/>
      <c r="FK4" s="64"/>
      <c r="FL4" s="64"/>
      <c r="FM4" s="64"/>
      <c r="FN4" s="64"/>
      <c r="FO4" s="64"/>
      <c r="FP4" s="64"/>
      <c r="FQ4" s="64"/>
      <c r="FR4" s="64"/>
      <c r="FS4" s="64"/>
      <c r="FT4" s="64"/>
      <c r="FU4" s="64"/>
      <c r="FV4" s="64"/>
      <c r="FW4" s="64"/>
      <c r="FX4" s="64"/>
      <c r="FY4" s="64"/>
      <c r="FZ4" s="64"/>
      <c r="GA4" s="64"/>
      <c r="GB4" s="64"/>
      <c r="GC4" s="64"/>
    </row>
    <row r="5" spans="1:185" s="46" customFormat="1" ht="34.5" customHeight="1">
      <c r="A5" s="98" t="s">
        <v>61</v>
      </c>
      <c r="B5" s="50" t="str">
        <f>LOWER(
  IF(
    RIGHT(
      SUBSTITUTE(SUBSTITUTE(SUBSTITUTE(SUBSTITUTE(SUBSTITUTE(SUBSTITUTE(SUBSTITUTE(C5,"(","_"),")","_"),"/","_"),":","_"),"-","_")," ","_"),"__","_"),
      1
    )="_",
    LEFT(
      SUBSTITUTE(SUBSTITUTE(SUBSTITUTE(SUBSTITUTE(SUBSTITUTE(SUBSTITUTE(SUBSTITUTE(C5,"(","_"),")","_"),"/","_"),":","_"),"-","_")," ","_"),"__","_"),
      LEN(
        SUBSTITUTE(SUBSTITUTE(SUBSTITUTE(SUBSTITUTE(SUBSTITUTE(SUBSTITUTE(SUBSTITUTE(C5,"(","_"),")","_"),"/","_"),":","_"),"-","_")," ","_"),"__","_")
      )-1
    ),
    SUBSTITUTE(SUBSTITUTE(SUBSTITUTE(SUBSTITUTE(SUBSTITUTE(SUBSTITUTE(SUBSTITUTE(C5,"(","_"),")","_"),"/","_"),":","_"),"-","_")," ","_"),"__","_")
  )
)</f>
        <v>genbank_title</v>
      </c>
      <c r="C5" s="48" t="s">
        <v>62</v>
      </c>
      <c r="D5" s="50" t="s">
        <v>63</v>
      </c>
      <c r="E5" s="49" t="s">
        <v>64</v>
      </c>
      <c r="F5" s="49" t="s">
        <v>65</v>
      </c>
      <c r="G5" s="49" t="s">
        <v>66</v>
      </c>
      <c r="H5" s="49"/>
      <c r="I5" s="49"/>
      <c r="J5" s="49"/>
      <c r="K5" s="49"/>
      <c r="L5" s="49"/>
      <c r="M5" s="49"/>
      <c r="N5" s="49" t="s">
        <v>67</v>
      </c>
      <c r="O5" s="49"/>
      <c r="P5" s="49"/>
      <c r="Q5" s="49"/>
      <c r="R5" s="49"/>
      <c r="S5" s="49"/>
      <c r="T5" s="49"/>
      <c r="U5" s="49"/>
      <c r="V5" s="50"/>
      <c r="W5" s="50"/>
      <c r="X5" s="48" t="s">
        <v>68</v>
      </c>
      <c r="Y5" s="48" t="s">
        <v>69</v>
      </c>
      <c r="Z5" s="48"/>
      <c r="AA5" s="49" t="str">
        <f>"[" &amp; _xlfn.TEXTJOIN(", ", TRUE,
    IF(I5&lt;&gt;"", """" &amp; I$1 &amp; """", ""),
    IF(J5&lt;&gt;"", """" &amp; J$1 &amp; """", ""),
    IF(K5&lt;&gt;"", """" &amp; K$1 &amp; """", ""),
    IF(L5&lt;&gt;"", """" &amp; L$1 &amp; """", ""),
    IF(M5&lt;&gt;"", """" &amp; M$1 &amp; """", ""),    IF(N5&lt;&gt;"", """" &amp; N$1 &amp; """", ""),    IF(O5&lt;&gt;"", """" &amp; O$1 &amp; """", ""),     IF(P5&lt;&gt;"", """" &amp; P$1 &amp; """", ""),     IF(Q5&lt;&gt;"", """" &amp; Q$1 &amp; """", ""), IF(R5&lt;&gt;"", """" &amp; R$1 &amp; """", ""), IF(S5&lt;&gt;"", """" &amp; S$1 &amp; """", ""), IF(T5&lt;&gt;"", """" &amp; T$1 &amp; """", ""), IF(U5&lt;&gt;"", """" &amp; U$1 &amp; """", ""),
    IF(X5&lt;&gt;"", """" &amp; X5 &amp; """", ""), IF(V5&lt;&gt;"", """" &amp; V5 &amp; """", ""), IF(W5&lt;&gt;"", """" &amp; W5 &amp; """", ""),
    IF(Y5&lt;&gt;"", """" &amp; Y5 &amp; """", ""),
    IF(Z5&lt;&gt;"", """" &amp; Z5 &amp; """", "")
) &amp; "]"</f>
        <v>["NCBI Virus", "Sample", "Sequence"]</v>
      </c>
      <c r="AB5" s="49" t="s">
        <v>8</v>
      </c>
      <c r="AC5" s="48" t="s">
        <v>70</v>
      </c>
      <c r="AD5" s="49"/>
      <c r="AE5" s="49"/>
      <c r="AF5" s="49" t="s">
        <v>62</v>
      </c>
      <c r="AG5" s="49" t="s">
        <v>71</v>
      </c>
      <c r="AH5" s="49"/>
      <c r="AI5" s="49"/>
      <c r="AJ5" s="49"/>
      <c r="AK5" s="49"/>
      <c r="AL5" s="49"/>
      <c r="AM5" s="49"/>
      <c r="AN5" s="49"/>
      <c r="AO5" s="49"/>
      <c r="AP5" s="49"/>
      <c r="AQ5" s="49"/>
      <c r="AR5" s="49"/>
      <c r="AS5" s="49"/>
      <c r="AT5" s="49"/>
      <c r="AU5" s="49"/>
      <c r="AV5" s="49"/>
      <c r="AW5" s="49"/>
      <c r="AX5" s="54"/>
      <c r="AY5" s="49"/>
      <c r="AZ5" s="48" t="s">
        <v>64</v>
      </c>
      <c r="BA5" s="48" t="s">
        <v>72</v>
      </c>
      <c r="BB5" s="49"/>
      <c r="BC5" s="49" t="s">
        <v>73</v>
      </c>
      <c r="BD5" s="49" t="s">
        <v>74</v>
      </c>
      <c r="BE5" s="49"/>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row>
    <row r="6" spans="1:185" s="46" customFormat="1" ht="34.5" customHeight="1">
      <c r="A6" s="98" t="s">
        <v>75</v>
      </c>
      <c r="B6" s="50" t="str">
        <f>LOWER(
  IF(
    RIGHT(
      SUBSTITUTE(SUBSTITUTE(SUBSTITUTE(SUBSTITUTE(SUBSTITUTE(SUBSTITUTE(SUBSTITUTE(C6,"(","_"),")","_"),"/","_"),":","_"),"-","_")," ","_"),"__","_"),
      1
    )="_",
    LEFT(
      SUBSTITUTE(SUBSTITUTE(SUBSTITUTE(SUBSTITUTE(SUBSTITUTE(SUBSTITUTE(SUBSTITUTE(C6,"(","_"),")","_"),"/","_"),":","_"),"-","_")," ","_"),"__","_"),
      LEN(
        SUBSTITUTE(SUBSTITUTE(SUBSTITUTE(SUBSTITUTE(SUBSTITUTE(SUBSTITUTE(SUBSTITUTE(C6,"(","_"),")","_"),"/","_"),":","_"),"-","_")," ","_"),"__","_")
      )-1
    ),
    SUBSTITUTE(SUBSTITUTE(SUBSTITUTE(SUBSTITUTE(SUBSTITUTE(SUBSTITUTE(SUBSTITUTE(C6,"(","_"),")","_"),"/","_"),":","_"),"-","_")," ","_"),"__","_")
  )
)</f>
        <v>city</v>
      </c>
      <c r="C6" s="48" t="s">
        <v>76</v>
      </c>
      <c r="D6" s="50" t="s">
        <v>77</v>
      </c>
      <c r="E6" s="49" t="s">
        <v>64</v>
      </c>
      <c r="F6" s="49" t="s">
        <v>65</v>
      </c>
      <c r="G6" s="49" t="s">
        <v>78</v>
      </c>
      <c r="H6" s="49"/>
      <c r="I6" s="49" t="s">
        <v>79</v>
      </c>
      <c r="J6" s="49"/>
      <c r="K6" s="49"/>
      <c r="L6" s="49"/>
      <c r="M6" s="49"/>
      <c r="N6" s="49" t="s">
        <v>80</v>
      </c>
      <c r="O6" s="49"/>
      <c r="P6" s="49"/>
      <c r="Q6" s="49"/>
      <c r="R6" s="49"/>
      <c r="S6" s="49"/>
      <c r="T6" s="49"/>
      <c r="U6" s="49"/>
      <c r="V6" s="50"/>
      <c r="W6" s="50"/>
      <c r="X6" s="48" t="s">
        <v>68</v>
      </c>
      <c r="Y6" s="48" t="s">
        <v>81</v>
      </c>
      <c r="Z6" s="48"/>
      <c r="AA6" s="49" t="str">
        <f>"[" &amp; _xlfn.TEXTJOIN(", ", TRUE,
    IF(I6&lt;&gt;"", """" &amp; I$1 &amp; """", ""),
    IF(J6&lt;&gt;"", """" &amp; J$1 &amp; """", ""),
    IF(K6&lt;&gt;"", """" &amp; K$1 &amp; """", ""),
    IF(L6&lt;&gt;"", """" &amp; L$1 &amp; """", ""),
    IF(M6&lt;&gt;"", """" &amp; M$1 &amp; """", ""),    IF(N6&lt;&gt;"", """" &amp; N$1 &amp; """", ""),    IF(O6&lt;&gt;"", """" &amp; O$1 &amp; """", ""),     IF(P6&lt;&gt;"", """" &amp; P$1 &amp; """", ""),     IF(Q6&lt;&gt;"", """" &amp; Q$1 &amp; """", ""), IF(R6&lt;&gt;"", """" &amp; R$1 &amp; """", ""), IF(S6&lt;&gt;"", """" &amp; S$1 &amp; """", ""), IF(T6&lt;&gt;"", """" &amp; T$1 &amp; """", ""), IF(U6&lt;&gt;"", """" &amp; U$1 &amp; """", ""),
    IF(X6&lt;&gt;"", """" &amp; X6 &amp; """", ""), IF(V6&lt;&gt;"", """" &amp; V6 &amp; """", ""), IF(W6&lt;&gt;"", """" &amp; W6 &amp; """", ""),
    IF(Y6&lt;&gt;"", """" &amp; Y6 &amp; """", ""),
    IF(Z6&lt;&gt;"", """" &amp; Z6 &amp; """", "")
) &amp; "]"</f>
        <v>["ENA", "NCBI Virus", "Sample", "Collection"]</v>
      </c>
      <c r="AB6" s="49" t="s">
        <v>8</v>
      </c>
      <c r="AC6" s="48"/>
      <c r="AD6" s="49"/>
      <c r="AE6" s="49" t="s">
        <v>82</v>
      </c>
      <c r="AF6" s="49" t="s">
        <v>83</v>
      </c>
      <c r="AG6" s="49" t="s">
        <v>84</v>
      </c>
      <c r="AH6" s="49"/>
      <c r="AI6" s="49" t="s">
        <v>85</v>
      </c>
      <c r="AJ6" s="49"/>
      <c r="AK6" s="49"/>
      <c r="AL6" s="49"/>
      <c r="AM6" s="49"/>
      <c r="AN6" s="49"/>
      <c r="AO6" s="49"/>
      <c r="AP6" s="49"/>
      <c r="AQ6" s="49"/>
      <c r="AR6" s="49"/>
      <c r="AS6" s="49"/>
      <c r="AT6" s="49"/>
      <c r="AU6" s="49"/>
      <c r="AV6" s="49" t="s">
        <v>86</v>
      </c>
      <c r="AW6" s="49" t="s">
        <v>86</v>
      </c>
      <c r="AX6" s="54" t="s">
        <v>87</v>
      </c>
      <c r="AY6" s="49" t="s">
        <v>88</v>
      </c>
      <c r="AZ6" s="48" t="s">
        <v>64</v>
      </c>
      <c r="BA6" s="48" t="s">
        <v>72</v>
      </c>
      <c r="BB6" s="49"/>
      <c r="BC6" s="49" t="s">
        <v>73</v>
      </c>
      <c r="BD6" s="49" t="s">
        <v>74</v>
      </c>
      <c r="BE6" s="49"/>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row>
    <row r="7" spans="1:185" s="46" customFormat="1" ht="34.5" customHeight="1">
      <c r="A7" s="98" t="s">
        <v>89</v>
      </c>
      <c r="B7" s="50" t="str">
        <f>LOWER(
  IF(
    RIGHT(
      SUBSTITUTE(SUBSTITUTE(SUBSTITUTE(SUBSTITUTE(SUBSTITUTE(SUBSTITUTE(SUBSTITUTE(C7,"(","_"),")","_"),"/","_"),":","_"),"-","_")," ","_"),"__","_"),
      1
    )="_",
    LEFT(
      SUBSTITUTE(SUBSTITUTE(SUBSTITUTE(SUBSTITUTE(SUBSTITUTE(SUBSTITUTE(SUBSTITUTE(C7,"(","_"),")","_"),"/","_"),":","_"),"-","_")," ","_"),"__","_"),
      LEN(
        SUBSTITUTE(SUBSTITUTE(SUBSTITUTE(SUBSTITUTE(SUBSTITUTE(SUBSTITUTE(SUBSTITUTE(C7,"(","_"),")","_"),"/","_"),":","_"),"-","_")," ","_"),"__","_")
      )-1
    ),
    SUBSTITUTE(SUBSTITUTE(SUBSTITUTE(SUBSTITUTE(SUBSTITUTE(SUBSTITUTE(SUBSTITUTE(C7,"(","_"),")","_"),"/","_"),":","_"),"-","_")," ","_"),"__","_")
  )
)</f>
        <v>genome_completeness_percentage</v>
      </c>
      <c r="C7" s="48" t="s">
        <v>90</v>
      </c>
      <c r="D7" s="50" t="s">
        <v>91</v>
      </c>
      <c r="E7" s="49" t="s">
        <v>92</v>
      </c>
      <c r="F7" s="49" t="s">
        <v>65</v>
      </c>
      <c r="G7" s="49"/>
      <c r="H7" s="49"/>
      <c r="I7" s="49"/>
      <c r="J7" s="49"/>
      <c r="K7" s="49"/>
      <c r="L7" s="49"/>
      <c r="M7" s="49"/>
      <c r="N7" s="49"/>
      <c r="O7" s="49"/>
      <c r="P7" s="49"/>
      <c r="Q7" s="49"/>
      <c r="R7" s="49"/>
      <c r="S7" s="49"/>
      <c r="T7" s="49"/>
      <c r="U7" s="49"/>
      <c r="V7" s="50"/>
      <c r="W7" s="50"/>
      <c r="X7" s="48" t="s">
        <v>68</v>
      </c>
      <c r="Y7" s="48"/>
      <c r="Z7" s="48" t="s">
        <v>93</v>
      </c>
      <c r="AA7" s="49" t="str">
        <f>"[" &amp; _xlfn.TEXTJOIN(", ", TRUE,
    IF(I7&lt;&gt;"", """" &amp; I$1 &amp; """", ""),
    IF(J7&lt;&gt;"", """" &amp; J$1 &amp; """", ""),
    IF(K7&lt;&gt;"", """" &amp; K$1 &amp; """", ""),
    IF(L7&lt;&gt;"", """" &amp; L$1 &amp; """", ""),
    IF(M7&lt;&gt;"", """" &amp; M$1 &amp; """", ""),    IF(N7&lt;&gt;"", """" &amp; N$1 &amp; """", ""),    IF(O7&lt;&gt;"", """" &amp; O$1 &amp; """", ""),     IF(P7&lt;&gt;"", """" &amp; P$1 &amp; """", ""),     IF(Q7&lt;&gt;"", """" &amp; Q$1 &amp; """", ""), IF(R7&lt;&gt;"", """" &amp; R$1 &amp; """", ""), IF(S7&lt;&gt;"", """" &amp; S$1 &amp; """", ""), IF(T7&lt;&gt;"", """" &amp; T$1 &amp; """", ""), IF(U7&lt;&gt;"", """" &amp; U$1 &amp; """", ""),
    IF(X7&lt;&gt;"", """" &amp; X7 &amp; """", ""), IF(V7&lt;&gt;"", """" &amp; V7 &amp; """", ""), IF(W7&lt;&gt;"", """" &amp; W7 &amp; """", ""),
    IF(Y7&lt;&gt;"", """" &amp; Y7 &amp; """", ""),
    IF(Z7&lt;&gt;"", """" &amp; Z7 &amp; """", "")
) &amp; "]"</f>
        <v>["Sample", "Workflows"]</v>
      </c>
      <c r="AB7" s="49"/>
      <c r="AC7" s="48"/>
      <c r="AD7" s="49"/>
      <c r="AE7" s="49"/>
      <c r="AF7" s="49"/>
      <c r="AG7" s="49"/>
      <c r="AH7" s="49"/>
      <c r="AI7" s="49"/>
      <c r="AJ7" s="49"/>
      <c r="AK7" s="49"/>
      <c r="AL7" s="49"/>
      <c r="AM7" s="49"/>
      <c r="AN7" s="49"/>
      <c r="AO7" s="49"/>
      <c r="AP7" s="49"/>
      <c r="AQ7" s="49"/>
      <c r="AR7" s="49"/>
      <c r="AS7" s="49"/>
      <c r="AT7" s="49"/>
      <c r="AU7" s="49"/>
      <c r="AV7" s="49"/>
      <c r="AW7" s="49"/>
      <c r="AX7" s="49"/>
      <c r="AY7" s="49"/>
      <c r="AZ7" s="48"/>
      <c r="BA7" s="48"/>
      <c r="BB7" s="49"/>
      <c r="BC7" s="49" t="s">
        <v>73</v>
      </c>
      <c r="BD7" s="49" t="s">
        <v>94</v>
      </c>
      <c r="BE7" s="49"/>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row>
    <row r="8" spans="1:185" s="46" customFormat="1" ht="34.5" customHeight="1">
      <c r="A8" s="98" t="s">
        <v>95</v>
      </c>
      <c r="B8" s="50" t="str">
        <f>LOWER(
  IF(
    RIGHT(
      SUBSTITUTE(SUBSTITUTE(SUBSTITUTE(SUBSTITUTE(SUBSTITUTE(SUBSTITUTE(SUBSTITUTE(C8,"(","_"),")","_"),"/","_"),":","_"),"-","_")," ","_"),"__","_"),
      1
    )="_",
    LEFT(
      SUBSTITUTE(SUBSTITUTE(SUBSTITUTE(SUBSTITUTE(SUBSTITUTE(SUBSTITUTE(SUBSTITUTE(C8,"(","_"),")","_"),"/","_"),":","_"),"-","_")," ","_"),"__","_"),
      LEN(
        SUBSTITUTE(SUBSTITUTE(SUBSTITUTE(SUBSTITUTE(SUBSTITUTE(SUBSTITUTE(SUBSTITUTE(C8,"(","_"),")","_"),"/","_"),":","_"),"-","_")," ","_"),"__","_")
      )-1
    ),
    SUBSTITUTE(SUBSTITUTE(SUBSTITUTE(SUBSTITUTE(SUBSTITUTE(SUBSTITUTE(SUBSTITUTE(C8,"(","_"),")","_"),"/","_"),":","_"),"-","_")," ","_"),"__","_")
  )
)</f>
        <v>ncbi_usa</v>
      </c>
      <c r="C8" s="48" t="s">
        <v>96</v>
      </c>
      <c r="D8" s="50" t="s">
        <v>97</v>
      </c>
      <c r="E8" s="49" t="s">
        <v>98</v>
      </c>
      <c r="F8" s="49" t="s">
        <v>65</v>
      </c>
      <c r="G8" s="49"/>
      <c r="H8" s="49"/>
      <c r="I8" s="49"/>
      <c r="J8" s="49"/>
      <c r="K8" s="49"/>
      <c r="L8" s="49"/>
      <c r="M8" s="49"/>
      <c r="N8" s="49" t="s">
        <v>99</v>
      </c>
      <c r="O8" s="49"/>
      <c r="P8" s="49"/>
      <c r="Q8" s="49"/>
      <c r="R8" s="49"/>
      <c r="S8" s="49"/>
      <c r="T8" s="49"/>
      <c r="U8" s="49"/>
      <c r="V8" s="50"/>
      <c r="W8" s="50"/>
      <c r="X8" s="48" t="s">
        <v>68</v>
      </c>
      <c r="Y8" s="48" t="s">
        <v>81</v>
      </c>
      <c r="Z8" s="48"/>
      <c r="AA8" s="49" t="str">
        <f>"[" &amp; _xlfn.TEXTJOIN(", ", TRUE,
    IF(I8&lt;&gt;"", """" &amp; I$1 &amp; """", ""),
    IF(J8&lt;&gt;"", """" &amp; J$1 &amp; """", ""),
    IF(K8&lt;&gt;"", """" &amp; K$1 &amp; """", ""),
    IF(L8&lt;&gt;"", """" &amp; L$1 &amp; """", ""),
    IF(M8&lt;&gt;"", """" &amp; M$1 &amp; """", ""),    IF(N8&lt;&gt;"", """" &amp; N$1 &amp; """", ""),    IF(O8&lt;&gt;"", """" &amp; O$1 &amp; """", ""),     IF(P8&lt;&gt;"", """" &amp; P$1 &amp; """", ""),     IF(Q8&lt;&gt;"", """" &amp; Q$1 &amp; """", ""), IF(R8&lt;&gt;"", """" &amp; R$1 &amp; """", ""), IF(S8&lt;&gt;"", """" &amp; S$1 &amp; """", ""), IF(T8&lt;&gt;"", """" &amp; T$1 &amp; """", ""), IF(U8&lt;&gt;"", """" &amp; U$1 &amp; """", ""),
    IF(X8&lt;&gt;"", """" &amp; X8 &amp; """", ""), IF(V8&lt;&gt;"", """" &amp; V8 &amp; """", ""), IF(W8&lt;&gt;"", """" &amp; W8 &amp; """", ""),
    IF(Y8&lt;&gt;"", """" &amp; Y8 &amp; """", ""),
    IF(Z8&lt;&gt;"", """" &amp; Z8 &amp; """", "")
) &amp; "]"</f>
        <v>["NCBI Virus", "Sample", "Collection"]</v>
      </c>
      <c r="AB8" s="49" t="s">
        <v>8</v>
      </c>
      <c r="AC8" s="48" t="s">
        <v>100</v>
      </c>
      <c r="AD8" s="49" t="s">
        <v>101</v>
      </c>
      <c r="AE8" s="49"/>
      <c r="AF8" s="49" t="s">
        <v>99</v>
      </c>
      <c r="AG8" s="49" t="s">
        <v>102</v>
      </c>
      <c r="AH8" s="49"/>
      <c r="AI8" s="49" t="s">
        <v>103</v>
      </c>
      <c r="AJ8" s="49"/>
      <c r="AK8" s="49"/>
      <c r="AL8" s="49"/>
      <c r="AM8" s="49"/>
      <c r="AN8" s="49"/>
      <c r="AO8" s="49"/>
      <c r="AP8" s="49"/>
      <c r="AQ8" s="49"/>
      <c r="AR8" s="49"/>
      <c r="AS8" s="49"/>
      <c r="AT8" s="49"/>
      <c r="AU8" s="49"/>
      <c r="AV8" s="49"/>
      <c r="AW8" s="49"/>
      <c r="AX8" s="54" t="s">
        <v>104</v>
      </c>
      <c r="AY8" s="49" t="s">
        <v>105</v>
      </c>
      <c r="AZ8" s="48" t="s">
        <v>106</v>
      </c>
      <c r="BA8" s="48" t="s">
        <v>107</v>
      </c>
      <c r="BB8" s="49"/>
      <c r="BC8" s="49" t="s">
        <v>73</v>
      </c>
      <c r="BD8" s="49" t="s">
        <v>108</v>
      </c>
      <c r="BE8" s="49"/>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c r="FH8" s="45"/>
      <c r="FI8" s="45"/>
      <c r="FJ8" s="45"/>
      <c r="FK8" s="45"/>
      <c r="FL8" s="45"/>
      <c r="FM8" s="45"/>
      <c r="FN8" s="45"/>
      <c r="FO8" s="45"/>
      <c r="FP8" s="45"/>
      <c r="FQ8" s="45"/>
      <c r="FR8" s="45"/>
      <c r="FS8" s="45"/>
      <c r="FT8" s="45"/>
      <c r="FU8" s="45"/>
      <c r="FV8" s="45"/>
      <c r="FW8" s="45"/>
      <c r="FX8" s="45"/>
      <c r="FY8" s="45"/>
      <c r="FZ8" s="45"/>
      <c r="GA8" s="45"/>
      <c r="GB8" s="45"/>
      <c r="GC8" s="45"/>
    </row>
    <row r="9" spans="1:185" s="46" customFormat="1" ht="34.5" customHeight="1">
      <c r="A9" s="98" t="s">
        <v>109</v>
      </c>
      <c r="B9" s="50" t="str">
        <f>LOWER(
  IF(
    RIGHT(
      SUBSTITUTE(SUBSTITUTE(SUBSTITUTE(SUBSTITUTE(SUBSTITUTE(SUBSTITUTE(SUBSTITUTE(C9,"(","_"),")","_"),"/","_"),":","_"),"-","_")," ","_"),"__","_"),
      1
    )="_",
    LEFT(
      SUBSTITUTE(SUBSTITUTE(SUBSTITUTE(SUBSTITUTE(SUBSTITUTE(SUBSTITUTE(SUBSTITUTE(C9,"(","_"),")","_"),"/","_"),":","_"),"-","_")," ","_"),"__","_"),
      LEN(
        SUBSTITUTE(SUBSTITUTE(SUBSTITUTE(SUBSTITUTE(SUBSTITUTE(SUBSTITUTE(SUBSTITUTE(C9,"(","_"),")","_"),"/","_"),":","_"),"-","_")," ","_"),"__","_")
      )-1
    ),
    SUBSTITUTE(SUBSTITUTE(SUBSTITUTE(SUBSTITUTE(SUBSTITUTE(SUBSTITUTE(SUBSTITUTE(C9,"(","_"),")","_"),"/","_"),":","_"),"-","_")," ","_"),"__","_")
  )
)</f>
        <v>analysis_accession</v>
      </c>
      <c r="C9" s="48" t="s">
        <v>110</v>
      </c>
      <c r="D9" s="50" t="s">
        <v>111</v>
      </c>
      <c r="E9" s="49" t="s">
        <v>98</v>
      </c>
      <c r="F9" s="49" t="s">
        <v>65</v>
      </c>
      <c r="G9" s="49" t="s">
        <v>112</v>
      </c>
      <c r="H9" s="49"/>
      <c r="I9" s="49" t="s">
        <v>113</v>
      </c>
      <c r="J9" s="49"/>
      <c r="K9" s="49"/>
      <c r="L9" s="49"/>
      <c r="M9" s="49"/>
      <c r="N9" s="49"/>
      <c r="O9" s="49"/>
      <c r="P9" s="49"/>
      <c r="Q9" s="49"/>
      <c r="R9" s="49"/>
      <c r="S9" s="49"/>
      <c r="T9" s="49"/>
      <c r="U9" s="49"/>
      <c r="V9" s="50" t="s">
        <v>114</v>
      </c>
      <c r="W9" s="50" t="s">
        <v>115</v>
      </c>
      <c r="X9" s="48" t="s">
        <v>116</v>
      </c>
      <c r="Y9" s="48" t="s">
        <v>117</v>
      </c>
      <c r="Z9" s="48"/>
      <c r="AA9" s="49" t="str">
        <f>"[" &amp; _xlfn.TEXTJOIN(", ", TRUE,
    IF(I9&lt;&gt;"", """" &amp; I$1 &amp; """", ""),
    IF(J9&lt;&gt;"", """" &amp; J$1 &amp; """", ""),
    IF(K9&lt;&gt;"", """" &amp; K$1 &amp; """", ""),
    IF(L9&lt;&gt;"", """" &amp; L$1 &amp; """", ""),
    IF(M9&lt;&gt;"", """" &amp; M$1 &amp; """", ""),    IF(N9&lt;&gt;"", """" &amp; N$1 &amp; """", ""),    IF(O9&lt;&gt;"", """" &amp; O$1 &amp; """", ""),     IF(P9&lt;&gt;"", """" &amp; P$1 &amp; """", ""),     IF(Q9&lt;&gt;"", """" &amp; Q$1 &amp; """", ""), IF(R9&lt;&gt;"", """" &amp; R$1 &amp; """", ""), IF(S9&lt;&gt;"", """" &amp; S$1 &amp; """", ""), IF(T9&lt;&gt;"", """" &amp; T$1 &amp; """", ""), IF(U9&lt;&gt;"", """" &amp; U$1 &amp; """", ""),
    IF(X9&lt;&gt;"", """" &amp; X9 &amp; """", ""), IF(V9&lt;&gt;"", """" &amp; V9 &amp; """", ""), IF(W9&lt;&gt;"", """" &amp; W9 &amp; """", ""),
    IF(Y9&lt;&gt;"", """" &amp; Y9 &amp; """", ""),
    IF(Z9&lt;&gt;"", """" &amp; Z9 &amp; """", "")
) &amp; "]"</f>
        <v>["ENA", "Organizational", "ENA Analysis", "VJDB Analysis", "Identifiers"]</v>
      </c>
      <c r="AB9" s="49"/>
      <c r="AC9" s="48" t="s">
        <v>70</v>
      </c>
      <c r="AD9" s="49" t="s">
        <v>118</v>
      </c>
      <c r="AE9" s="49" t="s">
        <v>82</v>
      </c>
      <c r="AF9" s="49"/>
      <c r="AG9" s="49"/>
      <c r="AH9" s="49"/>
      <c r="AI9" s="49"/>
      <c r="AJ9" s="49"/>
      <c r="AK9" s="49"/>
      <c r="AL9" s="49"/>
      <c r="AM9" s="49"/>
      <c r="AN9" s="49"/>
      <c r="AO9" s="49"/>
      <c r="AP9" s="49"/>
      <c r="AQ9" s="49"/>
      <c r="AR9" s="49"/>
      <c r="AS9" s="49"/>
      <c r="AT9" s="49"/>
      <c r="AU9" s="49"/>
      <c r="AV9" s="49"/>
      <c r="AW9" s="49"/>
      <c r="AX9" s="54"/>
      <c r="AY9" s="49"/>
      <c r="AZ9" s="48" t="s">
        <v>64</v>
      </c>
      <c r="BA9" s="48" t="s">
        <v>119</v>
      </c>
      <c r="BB9" s="49"/>
      <c r="BC9" s="49" t="s">
        <v>73</v>
      </c>
      <c r="BD9" s="49" t="s">
        <v>108</v>
      </c>
      <c r="BE9" s="48"/>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c r="FY9" s="45"/>
      <c r="FZ9" s="45"/>
      <c r="GA9" s="45"/>
      <c r="GB9" s="45"/>
      <c r="GC9" s="45"/>
    </row>
    <row r="10" spans="1:185" s="46" customFormat="1" ht="34.5" customHeight="1">
      <c r="A10" s="98" t="s">
        <v>120</v>
      </c>
      <c r="B10" s="50" t="str">
        <f>LOWER(
  IF(
    RIGHT(
      SUBSTITUTE(SUBSTITUTE(SUBSTITUTE(SUBSTITUTE(SUBSTITUTE(SUBSTITUTE(SUBSTITUTE(C10,"(","_"),")","_"),"/","_"),":","_"),"-","_")," ","_"),"__","_"),
      1
    )="_",
    LEFT(
      SUBSTITUTE(SUBSTITUTE(SUBSTITUTE(SUBSTITUTE(SUBSTITUTE(SUBSTITUTE(SUBSTITUTE(C10,"(","_"),")","_"),"/","_"),":","_"),"-","_")," ","_"),"__","_"),
      LEN(
        SUBSTITUTE(SUBSTITUTE(SUBSTITUTE(SUBSTITUTE(SUBSTITUTE(SUBSTITUTE(SUBSTITUTE(C10,"(","_"),")","_"),"/","_"),":","_"),"-","_")," ","_"),"__","_")
      )-1
    ),
    SUBSTITUTE(SUBSTITUTE(SUBSTITUTE(SUBSTITUTE(SUBSTITUTE(SUBSTITUTE(SUBSTITUTE(C10,"(","_"),")","_"),"/","_"),":","_"),"-","_")," ","_"),"__","_")
  )
)</f>
        <v>collecting_organization</v>
      </c>
      <c r="C10" s="48" t="s">
        <v>121</v>
      </c>
      <c r="D10" s="50" t="s">
        <v>122</v>
      </c>
      <c r="E10" s="49" t="s">
        <v>64</v>
      </c>
      <c r="F10" s="49" t="s">
        <v>65</v>
      </c>
      <c r="G10" s="49" t="s">
        <v>123</v>
      </c>
      <c r="H10" s="49"/>
      <c r="I10" s="49" t="s">
        <v>124</v>
      </c>
      <c r="J10" s="49"/>
      <c r="K10" s="49"/>
      <c r="L10" s="49"/>
      <c r="M10" s="49"/>
      <c r="N10" s="49"/>
      <c r="O10" s="49"/>
      <c r="P10" s="49" t="s">
        <v>124</v>
      </c>
      <c r="Q10" s="49" t="s">
        <v>124</v>
      </c>
      <c r="R10" s="49"/>
      <c r="S10" s="49"/>
      <c r="T10" s="49"/>
      <c r="U10" s="49"/>
      <c r="V10" s="50" t="s">
        <v>125</v>
      </c>
      <c r="W10" s="50" t="s">
        <v>126</v>
      </c>
      <c r="X10" s="48" t="s">
        <v>68</v>
      </c>
      <c r="Y10" s="48" t="s">
        <v>81</v>
      </c>
      <c r="Z10" s="48"/>
      <c r="AA10" s="49" t="str">
        <f>"[" &amp; _xlfn.TEXTJOIN(", ", TRUE,
    IF(I10&lt;&gt;"", """" &amp; I$1 &amp; """", ""),
    IF(J10&lt;&gt;"", """" &amp; J$1 &amp; """", ""),
    IF(K10&lt;&gt;"", """" &amp; K$1 &amp; """", ""),
    IF(L10&lt;&gt;"", """" &amp; L$1 &amp; """", ""),
    IF(M10&lt;&gt;"", """" &amp; M$1 &amp; """", ""),    IF(N10&lt;&gt;"", """" &amp; N$1 &amp; """", ""),    IF(O10&lt;&gt;"", """" &amp; O$1 &amp; """", ""),     IF(P10&lt;&gt;"", """" &amp; P$1 &amp; """", ""),     IF(Q10&lt;&gt;"", """" &amp; Q$1 &amp; """", ""), IF(R10&lt;&gt;"", """" &amp; R$1 &amp; """", ""), IF(S10&lt;&gt;"", """" &amp; S$1 &amp; """", ""), IF(T10&lt;&gt;"", """" &amp; T$1 &amp; """", ""), IF(U10&lt;&gt;"", """" &amp; U$1 &amp; """", ""),
    IF(X10&lt;&gt;"", """" &amp; X10 &amp; """", ""), IF(V10&lt;&gt;"", """" &amp; V10 &amp; """", ""), IF(W10&lt;&gt;"", """" &amp; W10 &amp; """", ""),
    IF(Y10&lt;&gt;"", """" &amp; Y10 &amp; """", ""),
    IF(Z10&lt;&gt;"", """" &amp; Z10 &amp; """", "")
) &amp; "]"</f>
        <v>["ENA", "ENA ERC32", "ENA ERC33", "Sample", "ENA Sample", "VJDB Sample", "Collection"]</v>
      </c>
      <c r="AB10" s="49"/>
      <c r="AC10" s="48" t="s">
        <v>127</v>
      </c>
      <c r="AD10" s="49" t="s">
        <v>118</v>
      </c>
      <c r="AE10" s="49" t="s">
        <v>82</v>
      </c>
      <c r="AF10" s="49"/>
      <c r="AG10" s="49"/>
      <c r="AH10" s="49"/>
      <c r="AI10" s="49"/>
      <c r="AJ10" s="49"/>
      <c r="AK10" s="49"/>
      <c r="AL10" s="49"/>
      <c r="AM10" s="49"/>
      <c r="AN10" s="49"/>
      <c r="AO10" s="49"/>
      <c r="AP10" s="49" t="s">
        <v>128</v>
      </c>
      <c r="AQ10" s="49"/>
      <c r="AR10" s="49"/>
      <c r="AS10" s="49" t="s">
        <v>128</v>
      </c>
      <c r="AT10" s="49"/>
      <c r="AU10" s="49" t="s">
        <v>129</v>
      </c>
      <c r="AV10" s="49" t="s">
        <v>130</v>
      </c>
      <c r="AW10" s="49" t="s">
        <v>130</v>
      </c>
      <c r="AX10" s="54"/>
      <c r="AY10" s="49" t="s">
        <v>131</v>
      </c>
      <c r="AZ10" s="48" t="s">
        <v>64</v>
      </c>
      <c r="BA10" s="48" t="s">
        <v>72</v>
      </c>
      <c r="BB10" s="49"/>
      <c r="BC10" s="49" t="s">
        <v>73</v>
      </c>
      <c r="BD10" s="49" t="s">
        <v>74</v>
      </c>
      <c r="BE10" s="49"/>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row>
    <row r="11" spans="1:185" s="46" customFormat="1" ht="34.5" customHeight="1">
      <c r="A11" s="98" t="s">
        <v>132</v>
      </c>
      <c r="B11" s="50" t="str">
        <f>LOWER(
  IF(
    RIGHT(
      SUBSTITUTE(SUBSTITUTE(SUBSTITUTE(SUBSTITUTE(SUBSTITUTE(SUBSTITUTE(SUBSTITUTE(C11,"(","_"),")","_"),"/","_"),":","_"),"-","_")," ","_"),"__","_"),
      1
    )="_",
    LEFT(
      SUBSTITUTE(SUBSTITUTE(SUBSTITUTE(SUBSTITUTE(SUBSTITUTE(SUBSTITUTE(SUBSTITUTE(C11,"(","_"),")","_"),"/","_"),":","_"),"-","_")," ","_"),"__","_"),
      LEN(
        SUBSTITUTE(SUBSTITUTE(SUBSTITUTE(SUBSTITUTE(SUBSTITUTE(SUBSTITUTE(SUBSTITUTE(C11,"(","_"),")","_"),"/","_"),":","_"),"-","_")," ","_"),"__","_")
      )-1
    ),
    SUBSTITUTE(SUBSTITUTE(SUBSTITUTE(SUBSTITUTE(SUBSTITUTE(SUBSTITUTE(SUBSTITUTE(C11,"(","_"),")","_"),"/","_"),":","_"),"-","_")," ","_"),"__","_")
  )
)</f>
        <v>host_health_state</v>
      </c>
      <c r="C11" s="48" t="s">
        <v>133</v>
      </c>
      <c r="D11" s="50" t="s">
        <v>134</v>
      </c>
      <c r="E11" s="49" t="s">
        <v>64</v>
      </c>
      <c r="F11" s="49" t="s">
        <v>65</v>
      </c>
      <c r="G11" s="49" t="s">
        <v>135</v>
      </c>
      <c r="H11" s="49"/>
      <c r="I11" s="49" t="s">
        <v>136</v>
      </c>
      <c r="J11" s="49"/>
      <c r="K11" s="49"/>
      <c r="L11" s="49"/>
      <c r="M11" s="49"/>
      <c r="N11" s="49"/>
      <c r="O11" s="49"/>
      <c r="P11" s="49" t="s">
        <v>136</v>
      </c>
      <c r="Q11" s="49" t="s">
        <v>136</v>
      </c>
      <c r="R11" s="49"/>
      <c r="S11" s="49"/>
      <c r="T11" s="49"/>
      <c r="U11" s="49"/>
      <c r="V11" s="50" t="s">
        <v>125</v>
      </c>
      <c r="W11" s="50" t="s">
        <v>126</v>
      </c>
      <c r="X11" s="48" t="s">
        <v>137</v>
      </c>
      <c r="Y11" s="48" t="s">
        <v>81</v>
      </c>
      <c r="Z11" s="48"/>
      <c r="AA11" s="49" t="str">
        <f>"[" &amp; _xlfn.TEXTJOIN(", ", TRUE,
    IF(I11&lt;&gt;"", """" &amp; I$1 &amp; """", ""),
    IF(J11&lt;&gt;"", """" &amp; J$1 &amp; """", ""),
    IF(K11&lt;&gt;"", """" &amp; K$1 &amp; """", ""),
    IF(L11&lt;&gt;"", """" &amp; L$1 &amp; """", ""),
    IF(M11&lt;&gt;"", """" &amp; M$1 &amp; """", ""),    IF(N11&lt;&gt;"", """" &amp; N$1 &amp; """", ""),    IF(O11&lt;&gt;"", """" &amp; O$1 &amp; """", ""),     IF(P11&lt;&gt;"", """" &amp; P$1 &amp; """", ""),     IF(Q11&lt;&gt;"", """" &amp; Q$1 &amp; """", ""), IF(R11&lt;&gt;"", """" &amp; R$1 &amp; """", ""), IF(S11&lt;&gt;"", """" &amp; S$1 &amp; """", ""), IF(T11&lt;&gt;"", """" &amp; T$1 &amp; """", ""), IF(U11&lt;&gt;"", """" &amp; U$1 &amp; """", ""),
    IF(X11&lt;&gt;"", """" &amp; X11 &amp; """", ""), IF(V11&lt;&gt;"", """" &amp; V11 &amp; """", ""), IF(W11&lt;&gt;"", """" &amp; W11 &amp; """", ""),
    IF(Y11&lt;&gt;"", """" &amp; Y11 &amp; """", ""),
    IF(Z11&lt;&gt;"", """" &amp; Z11 &amp; """", "")
) &amp; "]"</f>
        <v>["ENA", "ENA ERC32", "ENA ERC33", "Host", "ENA Sample", "VJDB Sample", "Collection"]</v>
      </c>
      <c r="AB11" s="49"/>
      <c r="AC11" s="48"/>
      <c r="AD11" s="49" t="s">
        <v>118</v>
      </c>
      <c r="AE11" s="49" t="s">
        <v>82</v>
      </c>
      <c r="AF11" s="49"/>
      <c r="AG11" s="49"/>
      <c r="AH11" s="49"/>
      <c r="AI11" s="49"/>
      <c r="AJ11" s="49"/>
      <c r="AK11" s="49"/>
      <c r="AL11" s="49"/>
      <c r="AM11" s="49"/>
      <c r="AN11" s="49"/>
      <c r="AO11" s="49"/>
      <c r="AP11" s="49" t="s">
        <v>138</v>
      </c>
      <c r="AQ11" s="49"/>
      <c r="AR11" s="49"/>
      <c r="AS11" s="49" t="s">
        <v>138</v>
      </c>
      <c r="AT11" s="49"/>
      <c r="AU11" s="49" t="s">
        <v>139</v>
      </c>
      <c r="AV11" s="49" t="s">
        <v>130</v>
      </c>
      <c r="AW11" s="49" t="s">
        <v>130</v>
      </c>
      <c r="AX11" s="54" t="s">
        <v>140</v>
      </c>
      <c r="AY11" s="49" t="s">
        <v>141</v>
      </c>
      <c r="AZ11" s="48" t="s">
        <v>106</v>
      </c>
      <c r="BA11" s="48" t="s">
        <v>107</v>
      </c>
      <c r="BB11" s="49"/>
      <c r="BC11" s="49" t="s">
        <v>73</v>
      </c>
      <c r="BD11" s="49" t="s">
        <v>142</v>
      </c>
      <c r="BE11" s="49"/>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row>
    <row r="12" spans="1:185" s="46" customFormat="1" ht="34.5" customHeight="1">
      <c r="A12" s="98" t="s">
        <v>143</v>
      </c>
      <c r="B12" s="50" t="str">
        <f>LOWER(
  IF(
    RIGHT(
      SUBSTITUTE(SUBSTITUTE(SUBSTITUTE(SUBSTITUTE(SUBSTITUTE(SUBSTITUTE(SUBSTITUTE(C12,"(","_"),")","_"),"/","_"),":","_"),"-","_")," ","_"),"__","_"),
      1
    )="_",
    LEFT(
      SUBSTITUTE(SUBSTITUTE(SUBSTITUTE(SUBSTITUTE(SUBSTITUTE(SUBSTITUTE(SUBSTITUTE(C12,"(","_"),")","_"),"/","_"),":","_"),"-","_")," ","_"),"__","_"),
      LEN(
        SUBSTITUTE(SUBSTITUTE(SUBSTITUTE(SUBSTITUTE(SUBSTITUTE(SUBSTITUTE(SUBSTITUTE(C12,"(","_"),")","_"),"/","_"),":","_"),"-","_")," ","_"),"__","_")
      )-1
    ),
    SUBSTITUTE(SUBSTITUTE(SUBSTITUTE(SUBSTITUTE(SUBSTITUTE(SUBSTITUTE(SUBSTITUTE(C12,"(","_"),")","_"),"/","_"),":","_"),"-","_")," ","_"),"__","_")
  )
)</f>
        <v>latitude</v>
      </c>
      <c r="C12" s="48" t="s">
        <v>144</v>
      </c>
      <c r="D12" s="50" t="s">
        <v>145</v>
      </c>
      <c r="E12" s="49" t="s">
        <v>98</v>
      </c>
      <c r="F12" s="49" t="s">
        <v>65</v>
      </c>
      <c r="G12" s="49" t="s">
        <v>146</v>
      </c>
      <c r="H12" s="49"/>
      <c r="I12" s="49" t="s">
        <v>147</v>
      </c>
      <c r="J12" s="49"/>
      <c r="K12" s="49" t="s">
        <v>148</v>
      </c>
      <c r="L12" s="49"/>
      <c r="M12" s="49"/>
      <c r="N12" s="49"/>
      <c r="O12" s="49"/>
      <c r="P12" s="49" t="s">
        <v>147</v>
      </c>
      <c r="Q12" s="49" t="s">
        <v>147</v>
      </c>
      <c r="R12" s="49"/>
      <c r="S12" s="49"/>
      <c r="T12" s="49"/>
      <c r="U12" s="49"/>
      <c r="V12" s="50" t="s">
        <v>125</v>
      </c>
      <c r="W12" s="50" t="s">
        <v>126</v>
      </c>
      <c r="X12" s="48" t="s">
        <v>68</v>
      </c>
      <c r="Y12" s="48" t="s">
        <v>81</v>
      </c>
      <c r="Z12" s="48"/>
      <c r="AA12" s="49" t="str">
        <f>"[" &amp; _xlfn.TEXTJOIN(", ", TRUE,
    IF(I12&lt;&gt;"", """" &amp; I$1 &amp; """", ""),
    IF(J12&lt;&gt;"", """" &amp; J$1 &amp; """", ""),
    IF(K12&lt;&gt;"", """" &amp; K$1 &amp; """", ""),
    IF(L12&lt;&gt;"", """" &amp; L$1 &amp; """", ""),
    IF(M12&lt;&gt;"", """" &amp; M$1 &amp; """", ""),    IF(N12&lt;&gt;"", """" &amp; N$1 &amp; """", ""),    IF(O12&lt;&gt;"", """" &amp; O$1 &amp; """", ""),     IF(P12&lt;&gt;"", """" &amp; P$1 &amp; """", ""),     IF(Q12&lt;&gt;"", """" &amp; Q$1 &amp; """", ""), IF(R12&lt;&gt;"", """" &amp; R$1 &amp; """", ""), IF(S12&lt;&gt;"", """" &amp; S$1 &amp; """", ""), IF(T12&lt;&gt;"", """" &amp; T$1 &amp; """", ""), IF(U12&lt;&gt;"", """" &amp; U$1 &amp; """", ""),
    IF(X12&lt;&gt;"", """" &amp; X12 &amp; """", ""), IF(V12&lt;&gt;"", """" &amp; V12 &amp; """", ""), IF(W12&lt;&gt;"", """" &amp; W12 &amp; """", ""),
    IF(Y12&lt;&gt;"", """" &amp; Y12 &amp; """", ""),
    IF(Z12&lt;&gt;"", """" &amp; Z12 &amp; """", "")
) &amp; "]"</f>
        <v>["ENA", "MIGS-VI", "ENA ERC32", "ENA ERC33", "Sample", "ENA Sample", "VJDB Sample", "Collection"]</v>
      </c>
      <c r="AB12" s="49"/>
      <c r="AC12" s="48"/>
      <c r="AD12" s="49" t="s">
        <v>118</v>
      </c>
      <c r="AE12" s="49" t="s">
        <v>82</v>
      </c>
      <c r="AF12" s="49"/>
      <c r="AG12" s="49"/>
      <c r="AH12" s="49"/>
      <c r="AI12" s="49"/>
      <c r="AJ12" s="49"/>
      <c r="AK12" s="49"/>
      <c r="AL12" s="49"/>
      <c r="AM12" s="49"/>
      <c r="AN12" s="49"/>
      <c r="AO12" s="49"/>
      <c r="AP12" s="49" t="s">
        <v>149</v>
      </c>
      <c r="AQ12" s="49"/>
      <c r="AR12" s="49"/>
      <c r="AS12" s="49" t="s">
        <v>150</v>
      </c>
      <c r="AT12" s="49"/>
      <c r="AU12" s="49" t="s">
        <v>151</v>
      </c>
      <c r="AV12" s="49" t="s">
        <v>86</v>
      </c>
      <c r="AW12" s="49" t="s">
        <v>86</v>
      </c>
      <c r="AX12" s="54" t="s">
        <v>152</v>
      </c>
      <c r="AY12" s="49" t="s">
        <v>153</v>
      </c>
      <c r="AZ12" s="48" t="s">
        <v>64</v>
      </c>
      <c r="BA12" s="48" t="s">
        <v>119</v>
      </c>
      <c r="BB12" s="49"/>
      <c r="BC12" s="49" t="s">
        <v>73</v>
      </c>
      <c r="BD12" s="49" t="s">
        <v>108</v>
      </c>
      <c r="BE12" s="49"/>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row>
    <row r="13" spans="1:185" s="46" customFormat="1" ht="34.5" customHeight="1">
      <c r="A13" s="98" t="s">
        <v>154</v>
      </c>
      <c r="B13" s="50" t="str">
        <f>LOWER(
  IF(
    RIGHT(
      SUBSTITUTE(SUBSTITUTE(SUBSTITUTE(SUBSTITUTE(SUBSTITUTE(SUBSTITUTE(SUBSTITUTE(C13,"(","_"),")","_"),"/","_"),":","_"),"-","_")," ","_"),"__","_"),
      1
    )="_",
    LEFT(
      SUBSTITUTE(SUBSTITUTE(SUBSTITUTE(SUBSTITUTE(SUBSTITUTE(SUBSTITUTE(SUBSTITUTE(C13,"(","_"),")","_"),"/","_"),":","_"),"-","_")," ","_"),"__","_"),
      LEN(
        SUBSTITUTE(SUBSTITUTE(SUBSTITUTE(SUBSTITUTE(SUBSTITUTE(SUBSTITUTE(SUBSTITUTE(C13,"(","_"),")","_"),"/","_"),":","_"),"-","_")," ","_"),"__","_")
      )-1
    ),
    SUBSTITUTE(SUBSTITUTE(SUBSTITUTE(SUBSTITUTE(SUBSTITUTE(SUBSTITUTE(SUBSTITUTE(C13,"(","_"),")","_"),"/","_"),":","_"),"-","_")," ","_"),"__","_")
  )
)</f>
        <v>longitude</v>
      </c>
      <c r="C13" s="48" t="s">
        <v>155</v>
      </c>
      <c r="D13" s="50" t="s">
        <v>156</v>
      </c>
      <c r="E13" s="49" t="s">
        <v>98</v>
      </c>
      <c r="F13" s="49" t="s">
        <v>65</v>
      </c>
      <c r="G13" s="49" t="s">
        <v>157</v>
      </c>
      <c r="H13" s="49"/>
      <c r="I13" s="49" t="s">
        <v>158</v>
      </c>
      <c r="J13" s="49"/>
      <c r="K13" s="49" t="s">
        <v>148</v>
      </c>
      <c r="L13" s="49"/>
      <c r="M13" s="49"/>
      <c r="N13" s="49"/>
      <c r="O13" s="49"/>
      <c r="P13" s="49" t="s">
        <v>158</v>
      </c>
      <c r="Q13" s="49" t="s">
        <v>158</v>
      </c>
      <c r="R13" s="49"/>
      <c r="S13" s="49"/>
      <c r="T13" s="49"/>
      <c r="U13" s="49"/>
      <c r="V13" s="50" t="s">
        <v>125</v>
      </c>
      <c r="W13" s="50" t="s">
        <v>126</v>
      </c>
      <c r="X13" s="48" t="s">
        <v>68</v>
      </c>
      <c r="Y13" s="48" t="s">
        <v>81</v>
      </c>
      <c r="Z13" s="48"/>
      <c r="AA13" s="49" t="str">
        <f>"[" &amp; _xlfn.TEXTJOIN(", ", TRUE,
    IF(I13&lt;&gt;"", """" &amp; I$1 &amp; """", ""),
    IF(J13&lt;&gt;"", """" &amp; J$1 &amp; """", ""),
    IF(K13&lt;&gt;"", """" &amp; K$1 &amp; """", ""),
    IF(L13&lt;&gt;"", """" &amp; L$1 &amp; """", ""),
    IF(M13&lt;&gt;"", """" &amp; M$1 &amp; """", ""),    IF(N13&lt;&gt;"", """" &amp; N$1 &amp; """", ""),    IF(O13&lt;&gt;"", """" &amp; O$1 &amp; """", ""),     IF(P13&lt;&gt;"", """" &amp; P$1 &amp; """", ""),     IF(Q13&lt;&gt;"", """" &amp; Q$1 &amp; """", ""), IF(R13&lt;&gt;"", """" &amp; R$1 &amp; """", ""), IF(S13&lt;&gt;"", """" &amp; S$1 &amp; """", ""), IF(T13&lt;&gt;"", """" &amp; T$1 &amp; """", ""), IF(U13&lt;&gt;"", """" &amp; U$1 &amp; """", ""),
    IF(X13&lt;&gt;"", """" &amp; X13 &amp; """", ""), IF(V13&lt;&gt;"", """" &amp; V13 &amp; """", ""), IF(W13&lt;&gt;"", """" &amp; W13 &amp; """", ""),
    IF(Y13&lt;&gt;"", """" &amp; Y13 &amp; """", ""),
    IF(Z13&lt;&gt;"", """" &amp; Z13 &amp; """", "")
) &amp; "]"</f>
        <v>["ENA", "MIGS-VI", "ENA ERC32", "ENA ERC33", "Sample", "ENA Sample", "VJDB Sample", "Collection"]</v>
      </c>
      <c r="AB13" s="49"/>
      <c r="AC13" s="48"/>
      <c r="AD13" s="49" t="s">
        <v>118</v>
      </c>
      <c r="AE13" s="49" t="s">
        <v>82</v>
      </c>
      <c r="AF13" s="49"/>
      <c r="AG13" s="49"/>
      <c r="AH13" s="49"/>
      <c r="AI13" s="49"/>
      <c r="AJ13" s="49"/>
      <c r="AK13" s="49"/>
      <c r="AL13" s="49"/>
      <c r="AM13" s="49"/>
      <c r="AN13" s="49"/>
      <c r="AO13" s="49"/>
      <c r="AP13" s="49" t="s">
        <v>159</v>
      </c>
      <c r="AQ13" s="49"/>
      <c r="AR13" s="49"/>
      <c r="AS13" s="49" t="s">
        <v>160</v>
      </c>
      <c r="AT13" s="49"/>
      <c r="AU13" s="49" t="s">
        <v>151</v>
      </c>
      <c r="AV13" s="49" t="s">
        <v>86</v>
      </c>
      <c r="AW13" s="49" t="s">
        <v>86</v>
      </c>
      <c r="AX13" s="54" t="s">
        <v>161</v>
      </c>
      <c r="AY13" s="49" t="s">
        <v>162</v>
      </c>
      <c r="AZ13" s="48" t="s">
        <v>64</v>
      </c>
      <c r="BA13" s="48" t="s">
        <v>119</v>
      </c>
      <c r="BB13" s="49"/>
      <c r="BC13" s="49" t="s">
        <v>73</v>
      </c>
      <c r="BD13" s="49" t="s">
        <v>108</v>
      </c>
      <c r="BE13" s="49"/>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row>
    <row r="14" spans="1:185" s="46" customFormat="1" ht="34.5" customHeight="1">
      <c r="A14" s="98" t="s">
        <v>163</v>
      </c>
      <c r="B14" s="50" t="str">
        <f>LOWER(
  IF(
    RIGHT(
      SUBSTITUTE(SUBSTITUTE(SUBSTITUTE(SUBSTITUTE(SUBSTITUTE(SUBSTITUTE(SUBSTITUTE(C14,"(","_"),")","_"),"/","_"),":","_"),"-","_")," ","_"),"__","_"),
      1
    )="_",
    LEFT(
      SUBSTITUTE(SUBSTITUTE(SUBSTITUTE(SUBSTITUTE(SUBSTITUTE(SUBSTITUTE(SUBSTITUTE(C14,"(","_"),")","_"),"/","_"),":","_"),"-","_")," ","_"),"__","_"),
      LEN(
        SUBSTITUTE(SUBSTITUTE(SUBSTITUTE(SUBSTITUTE(SUBSTITUTE(SUBSTITUTE(SUBSTITUTE(C14,"(","_"),")","_"),"/","_"),":","_"),"-","_")," ","_"),"__","_")
      )-1
    ),
    SUBSTITUTE(SUBSTITUTE(SUBSTITUTE(SUBSTITUTE(SUBSTITUTE(SUBSTITUTE(SUBSTITUTE(C14,"(","_"),")","_"),"/","_"),":","_"),"-","_")," ","_"),"__","_")
  )
)</f>
        <v>collection_region</v>
      </c>
      <c r="C14" s="48" t="s">
        <v>164</v>
      </c>
      <c r="D14" s="50" t="s">
        <v>165</v>
      </c>
      <c r="E14" s="49" t="s">
        <v>64</v>
      </c>
      <c r="F14" s="49" t="s">
        <v>65</v>
      </c>
      <c r="G14" s="49" t="s">
        <v>101</v>
      </c>
      <c r="H14" s="49"/>
      <c r="I14" s="49"/>
      <c r="J14" s="49"/>
      <c r="K14" s="49"/>
      <c r="L14" s="49"/>
      <c r="M14" s="49"/>
      <c r="N14" s="49"/>
      <c r="O14" s="49"/>
      <c r="P14" s="49"/>
      <c r="Q14" s="49"/>
      <c r="R14" s="49"/>
      <c r="S14" s="49"/>
      <c r="T14" s="49"/>
      <c r="U14" s="49"/>
      <c r="V14" s="50"/>
      <c r="W14" s="50"/>
      <c r="X14" s="48" t="s">
        <v>68</v>
      </c>
      <c r="Y14" s="48" t="s">
        <v>81</v>
      </c>
      <c r="Z14" s="48"/>
      <c r="AA14" s="49" t="str">
        <f>"[" &amp; _xlfn.TEXTJOIN(", ", TRUE,
    IF(I14&lt;&gt;"", """" &amp; I$1 &amp; """", ""),
    IF(J14&lt;&gt;"", """" &amp; J$1 &amp; """", ""),
    IF(K14&lt;&gt;"", """" &amp; K$1 &amp; """", ""),
    IF(L14&lt;&gt;"", """" &amp; L$1 &amp; """", ""),
    IF(M14&lt;&gt;"", """" &amp; M$1 &amp; """", ""),    IF(N14&lt;&gt;"", """" &amp; N$1 &amp; """", ""),    IF(O14&lt;&gt;"", """" &amp; O$1 &amp; """", ""),     IF(P14&lt;&gt;"", """" &amp; P$1 &amp; """", ""),     IF(Q14&lt;&gt;"", """" &amp; Q$1 &amp; """", ""), IF(R14&lt;&gt;"", """" &amp; R$1 &amp; """", ""), IF(S14&lt;&gt;"", """" &amp; S$1 &amp; """", ""), IF(T14&lt;&gt;"", """" &amp; T$1 &amp; """", ""), IF(U14&lt;&gt;"", """" &amp; U$1 &amp; """", ""),
    IF(X14&lt;&gt;"", """" &amp; X14 &amp; """", ""), IF(V14&lt;&gt;"", """" &amp; V14 &amp; """", ""), IF(W14&lt;&gt;"", """" &amp; W14 &amp; """", ""),
    IF(Y14&lt;&gt;"", """" &amp; Y14 &amp; """", ""),
    IF(Z14&lt;&gt;"", """" &amp; Z14 &amp; """", "")
) &amp; "]"</f>
        <v>["Sample", "Collection"]</v>
      </c>
      <c r="AB14" s="49" t="s">
        <v>166</v>
      </c>
      <c r="AC14" s="48" t="s">
        <v>167</v>
      </c>
      <c r="AD14" s="49" t="s">
        <v>168</v>
      </c>
      <c r="AE14" s="49"/>
      <c r="AF14" s="49"/>
      <c r="AG14" s="49"/>
      <c r="AH14" s="49"/>
      <c r="AI14" s="49"/>
      <c r="AJ14" s="49"/>
      <c r="AK14" s="49"/>
      <c r="AL14" s="49"/>
      <c r="AM14" s="49"/>
      <c r="AN14" s="49"/>
      <c r="AO14" s="49"/>
      <c r="AP14" s="49"/>
      <c r="AQ14" s="49"/>
      <c r="AR14" s="49"/>
      <c r="AS14" s="49"/>
      <c r="AT14" s="49"/>
      <c r="AU14" s="49"/>
      <c r="AV14" s="49"/>
      <c r="AW14" s="49"/>
      <c r="AX14" s="54" t="s">
        <v>169</v>
      </c>
      <c r="AY14" s="49" t="s">
        <v>170</v>
      </c>
      <c r="AZ14" s="48" t="s">
        <v>64</v>
      </c>
      <c r="BA14" s="48" t="s">
        <v>72</v>
      </c>
      <c r="BB14" s="49"/>
      <c r="BC14" s="49" t="s">
        <v>73</v>
      </c>
      <c r="BD14" s="49" t="s">
        <v>74</v>
      </c>
      <c r="BE14" s="49"/>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row>
    <row r="15" spans="1:185" s="46" customFormat="1" ht="34.5" customHeight="1">
      <c r="A15" s="98" t="s">
        <v>171</v>
      </c>
      <c r="B15" s="50" t="str">
        <f>LOWER(
  IF(
    RIGHT(
      SUBSTITUTE(SUBSTITUTE(SUBSTITUTE(SUBSTITUTE(SUBSTITUTE(SUBSTITUTE(SUBSTITUTE(C15,"(","_"),")","_"),"/","_"),":","_"),"-","_")," ","_"),"__","_"),
      1
    )="_",
    LEFT(
      SUBSTITUTE(SUBSTITUTE(SUBSTITUTE(SUBSTITUTE(SUBSTITUTE(SUBSTITUTE(SUBSTITUTE(C15,"(","_"),")","_"),"/","_"),":","_"),"-","_")," ","_"),"__","_"),
      LEN(
        SUBSTITUTE(SUBSTITUTE(SUBSTITUTE(SUBSTITUTE(SUBSTITUTE(SUBSTITUTE(SUBSTITUTE(C15,"(","_"),")","_"),"/","_"),":","_"),"-","_")," ","_"),"__","_")
      )-1
    ),
    SUBSTITUTE(SUBSTITUTE(SUBSTITUTE(SUBSTITUTE(SUBSTITUTE(SUBSTITUTE(SUBSTITUTE(C15,"(","_"),")","_"),"/","_"),":","_"),"-","_")," ","_"),"__","_")
  )
)</f>
        <v>collection_source_environment</v>
      </c>
      <c r="C15" s="48" t="s">
        <v>172</v>
      </c>
      <c r="D15" s="50" t="s">
        <v>173</v>
      </c>
      <c r="E15" s="49" t="s">
        <v>64</v>
      </c>
      <c r="F15" s="49" t="s">
        <v>65</v>
      </c>
      <c r="G15" s="49" t="s">
        <v>174</v>
      </c>
      <c r="H15" s="49" t="s">
        <v>175</v>
      </c>
      <c r="I15" s="49" t="s">
        <v>176</v>
      </c>
      <c r="J15" s="49"/>
      <c r="K15" s="49" t="s">
        <v>177</v>
      </c>
      <c r="L15" s="49"/>
      <c r="M15" s="49"/>
      <c r="N15" s="49"/>
      <c r="O15" s="49"/>
      <c r="P15" s="49" t="s">
        <v>176</v>
      </c>
      <c r="Q15" s="49" t="s">
        <v>176</v>
      </c>
      <c r="R15" s="49"/>
      <c r="S15" s="49"/>
      <c r="T15" s="49"/>
      <c r="U15" s="49"/>
      <c r="V15" s="50" t="s">
        <v>125</v>
      </c>
      <c r="W15" s="50" t="s">
        <v>126</v>
      </c>
      <c r="X15" s="48" t="s">
        <v>68</v>
      </c>
      <c r="Y15" s="48" t="s">
        <v>81</v>
      </c>
      <c r="Z15" s="48"/>
      <c r="AA15" s="49" t="str">
        <f>"[" &amp; _xlfn.TEXTJOIN(", ", TRUE,
    IF(I15&lt;&gt;"", """" &amp; I$1 &amp; """", ""),
    IF(J15&lt;&gt;"", """" &amp; J$1 &amp; """", ""),
    IF(K15&lt;&gt;"", """" &amp; K$1 &amp; """", ""),
    IF(L15&lt;&gt;"", """" &amp; L$1 &amp; """", ""),
    IF(M15&lt;&gt;"", """" &amp; M$1 &amp; """", ""),    IF(N15&lt;&gt;"", """" &amp; N$1 &amp; """", ""),    IF(O15&lt;&gt;"", """" &amp; O$1 &amp; """", ""),     IF(P15&lt;&gt;"", """" &amp; P$1 &amp; """", ""),     IF(Q15&lt;&gt;"", """" &amp; Q$1 &amp; """", ""), IF(R15&lt;&gt;"", """" &amp; R$1 &amp; """", ""), IF(S15&lt;&gt;"", """" &amp; S$1 &amp; """", ""), IF(T15&lt;&gt;"", """" &amp; T$1 &amp; """", ""), IF(U15&lt;&gt;"", """" &amp; U$1 &amp; """", ""),
    IF(X15&lt;&gt;"", """" &amp; X15 &amp; """", ""), IF(V15&lt;&gt;"", """" &amp; V15 &amp; """", ""), IF(W15&lt;&gt;"", """" &amp; W15 &amp; """", ""),
    IF(Y15&lt;&gt;"", """" &amp; Y15 &amp; """", ""),
    IF(Z15&lt;&gt;"", """" &amp; Z15 &amp; """", "")
) &amp; "]"</f>
        <v>["ENA", "MIGS-VI", "ENA ERC32", "ENA ERC33", "Sample", "ENA Sample", "VJDB Sample", "Collection"]</v>
      </c>
      <c r="AB15" s="49"/>
      <c r="AC15" s="48" t="s">
        <v>178</v>
      </c>
      <c r="AD15" s="49" t="s">
        <v>179</v>
      </c>
      <c r="AE15" s="49"/>
      <c r="AF15" s="49"/>
      <c r="AG15" s="49"/>
      <c r="AH15" s="49"/>
      <c r="AI15" s="49" t="s">
        <v>180</v>
      </c>
      <c r="AJ15" s="49"/>
      <c r="AK15" s="49"/>
      <c r="AL15" s="49"/>
      <c r="AM15" s="49"/>
      <c r="AN15" s="49"/>
      <c r="AO15" s="49"/>
      <c r="AP15" s="49" t="s">
        <v>181</v>
      </c>
      <c r="AQ15" s="49"/>
      <c r="AR15" s="49"/>
      <c r="AS15" s="49" t="s">
        <v>181</v>
      </c>
      <c r="AT15" s="49"/>
      <c r="AU15" s="49" t="s">
        <v>151</v>
      </c>
      <c r="AV15" s="49" t="s">
        <v>86</v>
      </c>
      <c r="AW15" s="49" t="s">
        <v>86</v>
      </c>
      <c r="AX15" s="54"/>
      <c r="AY15" s="49"/>
      <c r="AZ15" s="48" t="s">
        <v>182</v>
      </c>
      <c r="BA15" s="48" t="s">
        <v>72</v>
      </c>
      <c r="BB15" s="49"/>
      <c r="BC15" s="49" t="s">
        <v>73</v>
      </c>
      <c r="BD15" s="49" t="s">
        <v>74</v>
      </c>
      <c r="BE15" s="49"/>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45"/>
      <c r="EM15" s="45"/>
      <c r="EN15" s="45"/>
      <c r="EO15" s="45"/>
      <c r="EP15" s="45"/>
      <c r="EQ15" s="45"/>
      <c r="ER15" s="45"/>
      <c r="ES15" s="45"/>
      <c r="ET15" s="45"/>
      <c r="EU15" s="45"/>
      <c r="EV15" s="45"/>
      <c r="EW15" s="45"/>
      <c r="EX15" s="45"/>
      <c r="EY15" s="45"/>
      <c r="EZ15" s="45"/>
      <c r="FA15" s="45"/>
      <c r="FB15" s="45"/>
      <c r="FC15" s="45"/>
      <c r="FD15" s="45"/>
      <c r="FE15" s="45"/>
      <c r="FF15" s="45"/>
      <c r="FG15" s="45"/>
      <c r="FH15" s="45"/>
      <c r="FI15" s="45"/>
      <c r="FJ15" s="45"/>
      <c r="FK15" s="45"/>
      <c r="FL15" s="45"/>
      <c r="FM15" s="45"/>
      <c r="FN15" s="45"/>
      <c r="FO15" s="45"/>
      <c r="FP15" s="45"/>
      <c r="FQ15" s="45"/>
      <c r="FR15" s="45"/>
      <c r="FS15" s="45"/>
      <c r="FT15" s="45"/>
      <c r="FU15" s="45"/>
      <c r="FV15" s="45"/>
      <c r="FW15" s="45"/>
      <c r="FX15" s="45"/>
      <c r="FY15" s="45"/>
      <c r="FZ15" s="45"/>
      <c r="GA15" s="45"/>
      <c r="GB15" s="45"/>
      <c r="GC15" s="45"/>
    </row>
    <row r="16" spans="1:185" s="46" customFormat="1" ht="34.5" customHeight="1">
      <c r="A16" s="98" t="s">
        <v>183</v>
      </c>
      <c r="B16" s="50" t="str">
        <f>LOWER(
  IF(
    RIGHT(
      SUBSTITUTE(SUBSTITUTE(SUBSTITUTE(SUBSTITUTE(SUBSTITUTE(SUBSTITUTE(SUBSTITUTE(C16,"(","_"),")","_"),"/","_"),":","_"),"-","_")," ","_"),"__","_"),
      1
    )="_",
    LEFT(
      SUBSTITUTE(SUBSTITUTE(SUBSTITUTE(SUBSTITUTE(SUBSTITUTE(SUBSTITUTE(SUBSTITUTE(C16,"(","_"),")","_"),"/","_"),":","_"),"-","_")," ","_"),"__","_"),
      LEN(
        SUBSTITUTE(SUBSTITUTE(SUBSTITUTE(SUBSTITUTE(SUBSTITUTE(SUBSTITUTE(SUBSTITUTE(C16,"(","_"),")","_"),"/","_"),":","_"),"-","_")," ","_"),"__","_")
      )-1
    ),
    SUBSTITUTE(SUBSTITUTE(SUBSTITUTE(SUBSTITUTE(SUBSTITUTE(SUBSTITUTE(SUBSTITUTE(C16,"(","_"),")","_"),"/","_"),":","_"),"-","_")," ","_"),"__","_")
  )
)</f>
        <v>collector_name</v>
      </c>
      <c r="C16" s="48" t="s">
        <v>184</v>
      </c>
      <c r="D16" s="50" t="s">
        <v>185</v>
      </c>
      <c r="E16" s="49" t="s">
        <v>64</v>
      </c>
      <c r="F16" s="49" t="s">
        <v>65</v>
      </c>
      <c r="G16" s="49" t="s">
        <v>186</v>
      </c>
      <c r="H16" s="49"/>
      <c r="I16" s="49" t="s">
        <v>187</v>
      </c>
      <c r="J16" s="49"/>
      <c r="K16" s="49"/>
      <c r="L16" s="49"/>
      <c r="M16" s="49"/>
      <c r="N16" s="49"/>
      <c r="O16" s="49"/>
      <c r="P16" s="49" t="s">
        <v>187</v>
      </c>
      <c r="Q16" s="49" t="s">
        <v>187</v>
      </c>
      <c r="R16" s="49"/>
      <c r="S16" s="49"/>
      <c r="T16" s="49"/>
      <c r="U16" s="49"/>
      <c r="V16" s="50" t="s">
        <v>125</v>
      </c>
      <c r="W16" s="50" t="s">
        <v>126</v>
      </c>
      <c r="X16" s="48" t="s">
        <v>68</v>
      </c>
      <c r="Y16" s="48" t="s">
        <v>81</v>
      </c>
      <c r="Z16" s="48"/>
      <c r="AA16" s="49" t="str">
        <f>"[" &amp; _xlfn.TEXTJOIN(", ", TRUE,
    IF(I16&lt;&gt;"", """" &amp; I$1 &amp; """", ""),
    IF(J16&lt;&gt;"", """" &amp; J$1 &amp; """", ""),
    IF(K16&lt;&gt;"", """" &amp; K$1 &amp; """", ""),
    IF(L16&lt;&gt;"", """" &amp; L$1 &amp; """", ""),
    IF(M16&lt;&gt;"", """" &amp; M$1 &amp; """", ""),    IF(N16&lt;&gt;"", """" &amp; N$1 &amp; """", ""),    IF(O16&lt;&gt;"", """" &amp; O$1 &amp; """", ""),     IF(P16&lt;&gt;"", """" &amp; P$1 &amp; """", ""),     IF(Q16&lt;&gt;"", """" &amp; Q$1 &amp; """", ""), IF(R16&lt;&gt;"", """" &amp; R$1 &amp; """", ""), IF(S16&lt;&gt;"", """" &amp; S$1 &amp; """", ""), IF(T16&lt;&gt;"", """" &amp; T$1 &amp; """", ""), IF(U16&lt;&gt;"", """" &amp; U$1 &amp; """", ""),
    IF(X16&lt;&gt;"", """" &amp; X16 &amp; """", ""), IF(V16&lt;&gt;"", """" &amp; V16 &amp; """", ""), IF(W16&lt;&gt;"", """" &amp; W16 &amp; """", ""),
    IF(Y16&lt;&gt;"", """" &amp; Y16 &amp; """", ""),
    IF(Z16&lt;&gt;"", """" &amp; Z16 &amp; """", "")
) &amp; "]"</f>
        <v>["ENA", "ENA ERC32", "ENA ERC33", "Sample", "ENA Sample", "VJDB Sample", "Collection"]</v>
      </c>
      <c r="AB16" s="49"/>
      <c r="AC16" s="48"/>
      <c r="AD16" s="49" t="s">
        <v>118</v>
      </c>
      <c r="AE16" s="49" t="s">
        <v>82</v>
      </c>
      <c r="AF16" s="49"/>
      <c r="AG16" s="49"/>
      <c r="AH16" s="49"/>
      <c r="AI16" s="49"/>
      <c r="AJ16" s="49"/>
      <c r="AK16" s="49"/>
      <c r="AL16" s="49"/>
      <c r="AM16" s="49"/>
      <c r="AN16" s="49"/>
      <c r="AO16" s="49"/>
      <c r="AP16" s="49" t="s">
        <v>188</v>
      </c>
      <c r="AQ16" s="49"/>
      <c r="AR16" s="49"/>
      <c r="AS16" s="49" t="s">
        <v>188</v>
      </c>
      <c r="AT16" s="49"/>
      <c r="AU16" s="49" t="s">
        <v>129</v>
      </c>
      <c r="AV16" s="49" t="s">
        <v>130</v>
      </c>
      <c r="AW16" s="49" t="s">
        <v>130</v>
      </c>
      <c r="AX16" s="54" t="s">
        <v>189</v>
      </c>
      <c r="AY16" s="49" t="s">
        <v>131</v>
      </c>
      <c r="AZ16" s="48" t="s">
        <v>64</v>
      </c>
      <c r="BA16" s="48" t="s">
        <v>72</v>
      </c>
      <c r="BB16" s="49"/>
      <c r="BC16" s="49" t="s">
        <v>73</v>
      </c>
      <c r="BD16" s="49" t="s">
        <v>74</v>
      </c>
      <c r="BE16" s="49"/>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c r="FY16" s="45"/>
      <c r="FZ16" s="45"/>
      <c r="GA16" s="45"/>
      <c r="GB16" s="45"/>
      <c r="GC16" s="45"/>
    </row>
    <row r="17" spans="1:185" s="46" customFormat="1" ht="34.5" customHeight="1">
      <c r="A17" s="98" t="s">
        <v>190</v>
      </c>
      <c r="B17" s="50" t="str">
        <f>LOWER(
  IF(
    RIGHT(
      SUBSTITUTE(SUBSTITUTE(SUBSTITUTE(SUBSTITUTE(SUBSTITUTE(SUBSTITUTE(SUBSTITUTE(C17,"(","_"),")","_"),"/","_"),":","_"),"-","_")," ","_"),"__","_"),
      1
    )="_",
    LEFT(
      SUBSTITUTE(SUBSTITUTE(SUBSTITUTE(SUBSTITUTE(SUBSTITUTE(SUBSTITUTE(SUBSTITUTE(C17,"(","_"),")","_"),"/","_"),":","_"),"-","_")," ","_"),"__","_"),
      LEN(
        SUBSTITUTE(SUBSTITUTE(SUBSTITUTE(SUBSTITUTE(SUBSTITUTE(SUBSTITUTE(SUBSTITUTE(C17,"(","_"),")","_"),"/","_"),":","_"),"-","_")," ","_"),"__","_")
      )-1
    ),
    SUBSTITUTE(SUBSTITUTE(SUBSTITUTE(SUBSTITUTE(SUBSTITUTE(SUBSTITUTE(SUBSTITUTE(C17,"(","_"),")","_"),"/","_"),":","_"),"-","_")," ","_"),"__","_")
  )
)</f>
        <v>cutoff_for_seropositive_sample</v>
      </c>
      <c r="C17" s="48" t="s">
        <v>191</v>
      </c>
      <c r="D17" s="50" t="s">
        <v>192</v>
      </c>
      <c r="E17" s="49" t="s">
        <v>98</v>
      </c>
      <c r="F17" s="49" t="s">
        <v>65</v>
      </c>
      <c r="G17" s="49" t="s">
        <v>193</v>
      </c>
      <c r="H17" s="49"/>
      <c r="I17" s="49" t="s">
        <v>194</v>
      </c>
      <c r="J17" s="49"/>
      <c r="K17" s="49"/>
      <c r="L17" s="49"/>
      <c r="M17" s="49"/>
      <c r="N17" s="49"/>
      <c r="O17" s="49"/>
      <c r="P17" s="49" t="s">
        <v>194</v>
      </c>
      <c r="Q17" s="49" t="s">
        <v>194</v>
      </c>
      <c r="R17" s="49"/>
      <c r="S17" s="49"/>
      <c r="T17" s="49"/>
      <c r="U17" s="49"/>
      <c r="V17" s="50" t="s">
        <v>125</v>
      </c>
      <c r="W17" s="50" t="s">
        <v>126</v>
      </c>
      <c r="X17" s="48" t="s">
        <v>68</v>
      </c>
      <c r="Y17" s="48" t="s">
        <v>195</v>
      </c>
      <c r="Z17" s="48"/>
      <c r="AA17" s="49" t="str">
        <f>"[" &amp; _xlfn.TEXTJOIN(", ", TRUE,
    IF(I17&lt;&gt;"", """" &amp; I$1 &amp; """", ""),
    IF(J17&lt;&gt;"", """" &amp; J$1 &amp; """", ""),
    IF(K17&lt;&gt;"", """" &amp; K$1 &amp; """", ""),
    IF(L17&lt;&gt;"", """" &amp; L$1 &amp; """", ""),
    IF(M17&lt;&gt;"", """" &amp; M$1 &amp; """", ""),    IF(N17&lt;&gt;"", """" &amp; N$1 &amp; """", ""),    IF(O17&lt;&gt;"", """" &amp; O$1 &amp; """", ""),     IF(P17&lt;&gt;"", """" &amp; P$1 &amp; """", ""),     IF(Q17&lt;&gt;"", """" &amp; Q$1 &amp; """", ""), IF(R17&lt;&gt;"", """" &amp; R$1 &amp; """", ""), IF(S17&lt;&gt;"", """" &amp; S$1 &amp; """", ""), IF(T17&lt;&gt;"", """" &amp; T$1 &amp; """", ""), IF(U17&lt;&gt;"", """" &amp; U$1 &amp; """", ""),
    IF(X17&lt;&gt;"", """" &amp; X17 &amp; """", ""), IF(V17&lt;&gt;"", """" &amp; V17 &amp; """", ""), IF(W17&lt;&gt;"", """" &amp; W17 &amp; """", ""),
    IF(Y17&lt;&gt;"", """" &amp; Y17 &amp; """", ""),
    IF(Z17&lt;&gt;"", """" &amp; Z17 &amp; """", "")
) &amp; "]"</f>
        <v>["ENA", "ENA ERC32", "ENA ERC33", "Sample", "ENA Sample", "VJDB Sample", "Clinical"]</v>
      </c>
      <c r="AB17" s="49"/>
      <c r="AC17" s="48" t="s">
        <v>196</v>
      </c>
      <c r="AD17" s="49" t="s">
        <v>118</v>
      </c>
      <c r="AE17" s="49" t="s">
        <v>82</v>
      </c>
      <c r="AF17" s="49"/>
      <c r="AG17" s="49"/>
      <c r="AH17" s="49"/>
      <c r="AI17" s="49"/>
      <c r="AJ17" s="49"/>
      <c r="AK17" s="49"/>
      <c r="AL17" s="49"/>
      <c r="AM17" s="49"/>
      <c r="AN17" s="49"/>
      <c r="AO17" s="49"/>
      <c r="AP17" s="49" t="s">
        <v>197</v>
      </c>
      <c r="AQ17" s="49"/>
      <c r="AR17" s="49"/>
      <c r="AS17" s="49" t="s">
        <v>197</v>
      </c>
      <c r="AT17" s="49"/>
      <c r="AU17" s="49" t="s">
        <v>151</v>
      </c>
      <c r="AV17" s="49" t="s">
        <v>86</v>
      </c>
      <c r="AW17" s="49" t="s">
        <v>86</v>
      </c>
      <c r="AX17" s="54"/>
      <c r="AY17" s="49"/>
      <c r="AZ17" s="48" t="s">
        <v>64</v>
      </c>
      <c r="BA17" s="48" t="s">
        <v>72</v>
      </c>
      <c r="BB17" s="49"/>
      <c r="BC17" s="49" t="s">
        <v>73</v>
      </c>
      <c r="BD17" s="49" t="s">
        <v>108</v>
      </c>
      <c r="BE17" s="49"/>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c r="FY17" s="45"/>
      <c r="FZ17" s="45"/>
      <c r="GA17" s="45"/>
      <c r="GB17" s="45"/>
      <c r="GC17" s="45"/>
    </row>
    <row r="18" spans="1:185" s="46" customFormat="1" ht="34.5" customHeight="1">
      <c r="A18" s="98" t="s">
        <v>198</v>
      </c>
      <c r="B18" s="50" t="str">
        <f>LOWER(
  IF(
    RIGHT(
      SUBSTITUTE(SUBSTITUTE(SUBSTITUTE(SUBSTITUTE(SUBSTITUTE(SUBSTITUTE(SUBSTITUTE(C18,"(","_"),")","_"),"/","_"),":","_"),"-","_")," ","_"),"__","_"),
      1
    )="_",
    LEFT(
      SUBSTITUTE(SUBSTITUTE(SUBSTITUTE(SUBSTITUTE(SUBSTITUTE(SUBSTITUTE(SUBSTITUTE(C18,"(","_"),")","_"),"/","_"),":","_"),"-","_")," ","_"),"__","_"),
      LEN(
        SUBSTITUTE(SUBSTITUTE(SUBSTITUTE(SUBSTITUTE(SUBSTITUTE(SUBSTITUTE(SUBSTITUTE(C18,"(","_"),")","_"),"/","_"),":","_"),"-","_")," ","_"),"__","_")
      )-1
    ),
    SUBSTITUTE(SUBSTITUTE(SUBSTITUTE(SUBSTITUTE(SUBSTITUTE(SUBSTITUTE(SUBSTITUTE(C18,"(","_"),")","_"),"/","_"),":","_"),"-","_")," ","_"),"__","_")
  )
)</f>
        <v>experiment_accession</v>
      </c>
      <c r="C18" s="48" t="s">
        <v>199</v>
      </c>
      <c r="D18" s="50" t="s">
        <v>200</v>
      </c>
      <c r="E18" s="49" t="s">
        <v>98</v>
      </c>
      <c r="F18" s="49" t="s">
        <v>65</v>
      </c>
      <c r="G18" s="49" t="s">
        <v>201</v>
      </c>
      <c r="H18" s="49"/>
      <c r="I18" s="49" t="s">
        <v>202</v>
      </c>
      <c r="J18" s="49"/>
      <c r="K18" s="49"/>
      <c r="L18" s="49"/>
      <c r="M18" s="49"/>
      <c r="N18" s="49"/>
      <c r="O18" s="49"/>
      <c r="P18" s="49"/>
      <c r="Q18" s="49"/>
      <c r="R18" s="49"/>
      <c r="S18" s="49"/>
      <c r="T18" s="49"/>
      <c r="U18" s="49"/>
      <c r="V18" s="50"/>
      <c r="W18" s="50"/>
      <c r="X18" s="48" t="s">
        <v>116</v>
      </c>
      <c r="Y18" s="48" t="s">
        <v>117</v>
      </c>
      <c r="Z18" s="48"/>
      <c r="AA18" s="49" t="str">
        <f>"[" &amp; _xlfn.TEXTJOIN(", ", TRUE,
    IF(I18&lt;&gt;"", """" &amp; I$1 &amp; """", ""),
    IF(J18&lt;&gt;"", """" &amp; J$1 &amp; """", ""),
    IF(K18&lt;&gt;"", """" &amp; K$1 &amp; """", ""),
    IF(L18&lt;&gt;"", """" &amp; L$1 &amp; """", ""),
    IF(M18&lt;&gt;"", """" &amp; M$1 &amp; """", ""),    IF(N18&lt;&gt;"", """" &amp; N$1 &amp; """", ""),    IF(O18&lt;&gt;"", """" &amp; O$1 &amp; """", ""),     IF(P18&lt;&gt;"", """" &amp; P$1 &amp; """", ""),     IF(Q18&lt;&gt;"", """" &amp; Q$1 &amp; """", ""), IF(R18&lt;&gt;"", """" &amp; R$1 &amp; """", ""), IF(S18&lt;&gt;"", """" &amp; S$1 &amp; """", ""), IF(T18&lt;&gt;"", """" &amp; T$1 &amp; """", ""), IF(U18&lt;&gt;"", """" &amp; U$1 &amp; """", ""),
    IF(X18&lt;&gt;"", """" &amp; X18 &amp; """", ""), IF(V18&lt;&gt;"", """" &amp; V18 &amp; """", ""), IF(W18&lt;&gt;"", """" &amp; W18 &amp; """", ""),
    IF(Y18&lt;&gt;"", """" &amp; Y18 &amp; """", ""),
    IF(Z18&lt;&gt;"", """" &amp; Z18 &amp; """", "")
) &amp; "]"</f>
        <v>["ENA", "Organizational", "Identifiers"]</v>
      </c>
      <c r="AB18" s="49"/>
      <c r="AC18" s="48" t="s">
        <v>70</v>
      </c>
      <c r="AD18" s="49" t="s">
        <v>118</v>
      </c>
      <c r="AE18" s="49" t="s">
        <v>82</v>
      </c>
      <c r="AF18" s="49"/>
      <c r="AG18" s="49"/>
      <c r="AH18" s="49"/>
      <c r="AI18" s="49"/>
      <c r="AJ18" s="49"/>
      <c r="AK18" s="49"/>
      <c r="AL18" s="49"/>
      <c r="AM18" s="49"/>
      <c r="AN18" s="49"/>
      <c r="AO18" s="49"/>
      <c r="AP18" s="49"/>
      <c r="AQ18" s="49"/>
      <c r="AR18" s="49"/>
      <c r="AS18" s="49"/>
      <c r="AT18" s="49"/>
      <c r="AU18" s="49"/>
      <c r="AV18" s="49"/>
      <c r="AW18" s="49"/>
      <c r="AX18" s="54"/>
      <c r="AY18" s="49"/>
      <c r="AZ18" s="48" t="s">
        <v>64</v>
      </c>
      <c r="BA18" s="48" t="s">
        <v>119</v>
      </c>
      <c r="BB18" s="49"/>
      <c r="BC18" s="49" t="s">
        <v>73</v>
      </c>
      <c r="BD18" s="49" t="s">
        <v>108</v>
      </c>
      <c r="BE18" s="48"/>
      <c r="BF18" s="45"/>
      <c r="BG18" s="45"/>
      <c r="BH18" s="45"/>
      <c r="BI18" s="45"/>
    </row>
    <row r="19" spans="1:185" s="46" customFormat="1" ht="34.5" customHeight="1">
      <c r="A19" s="98" t="s">
        <v>203</v>
      </c>
      <c r="B19" s="50" t="str">
        <f>LOWER(
  IF(
    RIGHT(
      SUBSTITUTE(SUBSTITUTE(SUBSTITUTE(SUBSTITUTE(SUBSTITUTE(SUBSTITUTE(SUBSTITUTE(C19,"(","_"),")","_"),"/","_"),":","_"),"-","_")," ","_"),"__","_"),
      1
    )="_",
    LEFT(
      SUBSTITUTE(SUBSTITUTE(SUBSTITUTE(SUBSTITUTE(SUBSTITUTE(SUBSTITUTE(SUBSTITUTE(C19,"(","_"),")","_"),"/","_"),":","_"),"-","_")," ","_"),"__","_"),
      LEN(
        SUBSTITUTE(SUBSTITUTE(SUBSTITUTE(SUBSTITUTE(SUBSTITUTE(SUBSTITUTE(SUBSTITUTE(C19,"(","_"),")","_"),"/","_"),":","_"),"-","_")," ","_"),"__","_")
      )-1
    ),
    SUBSTITUTE(SUBSTITUTE(SUBSTITUTE(SUBSTITUTE(SUBSTITUTE(SUBSTITUTE(SUBSTITUTE(C19,"(","_"),")","_"),"/","_"),":","_"),"-","_")," ","_"),"__","_")
  )
)</f>
        <v>host_behaviour</v>
      </c>
      <c r="C19" s="48" t="s">
        <v>204</v>
      </c>
      <c r="D19" s="50" t="s">
        <v>205</v>
      </c>
      <c r="E19" s="49" t="s">
        <v>64</v>
      </c>
      <c r="F19" s="49" t="s">
        <v>65</v>
      </c>
      <c r="G19" s="49" t="s">
        <v>206</v>
      </c>
      <c r="H19" s="49"/>
      <c r="I19" s="49" t="s">
        <v>207</v>
      </c>
      <c r="J19" s="49"/>
      <c r="K19" s="49"/>
      <c r="L19" s="49"/>
      <c r="M19" s="49"/>
      <c r="N19" s="49"/>
      <c r="O19" s="49"/>
      <c r="P19" s="49" t="s">
        <v>207</v>
      </c>
      <c r="Q19" s="49" t="s">
        <v>207</v>
      </c>
      <c r="R19" s="49"/>
      <c r="S19" s="49"/>
      <c r="T19" s="49"/>
      <c r="U19" s="49"/>
      <c r="V19" s="50" t="s">
        <v>125</v>
      </c>
      <c r="W19" s="50" t="s">
        <v>126</v>
      </c>
      <c r="X19" s="48" t="s">
        <v>137</v>
      </c>
      <c r="Y19" s="48" t="s">
        <v>195</v>
      </c>
      <c r="Z19" s="48"/>
      <c r="AA19" s="49" t="str">
        <f>"[" &amp; _xlfn.TEXTJOIN(", ", TRUE,
    IF(I19&lt;&gt;"", """" &amp; I$1 &amp; """", ""),
    IF(J19&lt;&gt;"", """" &amp; J$1 &amp; """", ""),
    IF(K19&lt;&gt;"", """" &amp; K$1 &amp; """", ""),
    IF(L19&lt;&gt;"", """" &amp; L$1 &amp; """", ""),
    IF(M19&lt;&gt;"", """" &amp; M$1 &amp; """", ""),    IF(N19&lt;&gt;"", """" &amp; N$1 &amp; """", ""),    IF(O19&lt;&gt;"", """" &amp; O$1 &amp; """", ""),     IF(P19&lt;&gt;"", """" &amp; P$1 &amp; """", ""),     IF(Q19&lt;&gt;"", """" &amp; Q$1 &amp; """", ""), IF(R19&lt;&gt;"", """" &amp; R$1 &amp; """", ""), IF(S19&lt;&gt;"", """" &amp; S$1 &amp; """", ""), IF(T19&lt;&gt;"", """" &amp; T$1 &amp; """", ""), IF(U19&lt;&gt;"", """" &amp; U$1 &amp; """", ""),
    IF(X19&lt;&gt;"", """" &amp; X19 &amp; """", ""), IF(V19&lt;&gt;"", """" &amp; V19 &amp; """", ""), IF(W19&lt;&gt;"", """" &amp; W19 &amp; """", ""),
    IF(Y19&lt;&gt;"", """" &amp; Y19 &amp; """", ""),
    IF(Z19&lt;&gt;"", """" &amp; Z19 &amp; """", "")
) &amp; "]"</f>
        <v>["ENA", "ENA ERC32", "ENA ERC33", "Host", "ENA Sample", "VJDB Sample", "Clinical"]</v>
      </c>
      <c r="AB19" s="49"/>
      <c r="AC19" s="48"/>
      <c r="AD19" s="49" t="s">
        <v>118</v>
      </c>
      <c r="AE19" s="49" t="s">
        <v>82</v>
      </c>
      <c r="AF19" s="49"/>
      <c r="AG19" s="49"/>
      <c r="AH19" s="49"/>
      <c r="AI19" s="49"/>
      <c r="AJ19" s="49"/>
      <c r="AK19" s="49"/>
      <c r="AL19" s="49"/>
      <c r="AM19" s="49"/>
      <c r="AN19" s="49"/>
      <c r="AO19" s="49"/>
      <c r="AP19" s="49" t="s">
        <v>208</v>
      </c>
      <c r="AQ19" s="49"/>
      <c r="AR19" s="49"/>
      <c r="AS19" s="49" t="s">
        <v>208</v>
      </c>
      <c r="AT19" s="49"/>
      <c r="AU19" s="49" t="s">
        <v>139</v>
      </c>
      <c r="AV19" s="49" t="s">
        <v>86</v>
      </c>
      <c r="AW19" s="49" t="s">
        <v>86</v>
      </c>
      <c r="AX19" s="54" t="s">
        <v>209</v>
      </c>
      <c r="AY19" s="49" t="s">
        <v>141</v>
      </c>
      <c r="AZ19" s="48" t="s">
        <v>106</v>
      </c>
      <c r="BA19" s="48" t="s">
        <v>107</v>
      </c>
      <c r="BB19" s="49"/>
      <c r="BC19" s="49" t="s">
        <v>73</v>
      </c>
      <c r="BD19" s="49" t="s">
        <v>142</v>
      </c>
      <c r="BE19" s="49"/>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row>
    <row r="20" spans="1:185" s="46" customFormat="1" ht="34.5" customHeight="1">
      <c r="A20" s="98" t="s">
        <v>210</v>
      </c>
      <c r="B20" s="50" t="str">
        <f>LOWER(
  IF(
    RIGHT(
      SUBSTITUTE(SUBSTITUTE(SUBSTITUTE(SUBSTITUTE(SUBSTITUTE(SUBSTITUTE(SUBSTITUTE(C20,"(","_"),")","_"),"/","_"),":","_"),"-","_")," ","_"),"__","_"),
      1
    )="_",
    LEFT(
      SUBSTITUTE(SUBSTITUTE(SUBSTITUTE(SUBSTITUTE(SUBSTITUTE(SUBSTITUTE(SUBSTITUTE(C20,"(","_"),")","_"),"/","_"),":","_"),"-","_")," ","_"),"__","_"),
      LEN(
        SUBSTITUTE(SUBSTITUTE(SUBSTITUTE(SUBSTITUTE(SUBSTITUTE(SUBSTITUTE(SUBSTITUTE(C20,"(","_"),")","_"),"/","_"),":","_"),"-","_")," ","_"),"__","_")
      )-1
    ),
    SUBSTITUTE(SUBSTITUTE(SUBSTITUTE(SUBSTITUTE(SUBSTITUTE(SUBSTITUTE(SUBSTITUTE(C20,"(","_"),")","_"),"/","_"),":","_"),"-","_")," ","_"),"__","_")
  )
)</f>
        <v>host_disease</v>
      </c>
      <c r="C20" s="48" t="s">
        <v>211</v>
      </c>
      <c r="D20" s="50" t="s">
        <v>212</v>
      </c>
      <c r="E20" s="49" t="s">
        <v>64</v>
      </c>
      <c r="F20" s="49" t="s">
        <v>65</v>
      </c>
      <c r="G20" s="49" t="s">
        <v>213</v>
      </c>
      <c r="H20" s="49" t="s">
        <v>214</v>
      </c>
      <c r="I20" s="49"/>
      <c r="J20" s="49"/>
      <c r="K20" s="49"/>
      <c r="L20" s="49"/>
      <c r="M20" s="49"/>
      <c r="N20" s="49"/>
      <c r="O20" s="49"/>
      <c r="P20" s="49"/>
      <c r="Q20" s="49"/>
      <c r="R20" s="49"/>
      <c r="S20" s="49"/>
      <c r="T20" s="49"/>
      <c r="U20" s="49"/>
      <c r="V20" s="50"/>
      <c r="W20" s="50"/>
      <c r="X20" s="48" t="s">
        <v>137</v>
      </c>
      <c r="Y20" s="48" t="s">
        <v>195</v>
      </c>
      <c r="Z20" s="48"/>
      <c r="AA20" s="49" t="str">
        <f>"[" &amp; _xlfn.TEXTJOIN(", ", TRUE,
    IF(I20&lt;&gt;"", """" &amp; I$1 &amp; """", ""),
    IF(J20&lt;&gt;"", """" &amp; J$1 &amp; """", ""),
    IF(K20&lt;&gt;"", """" &amp; K$1 &amp; """", ""),
    IF(L20&lt;&gt;"", """" &amp; L$1 &amp; """", ""),
    IF(M20&lt;&gt;"", """" &amp; M$1 &amp; """", ""),    IF(N20&lt;&gt;"", """" &amp; N$1 &amp; """", ""),    IF(O20&lt;&gt;"", """" &amp; O$1 &amp; """", ""),     IF(P20&lt;&gt;"", """" &amp; P$1 &amp; """", ""),     IF(Q20&lt;&gt;"", """" &amp; Q$1 &amp; """", ""), IF(R20&lt;&gt;"", """" &amp; R$1 &amp; """", ""), IF(S20&lt;&gt;"", """" &amp; S$1 &amp; """", ""), IF(T20&lt;&gt;"", """" &amp; T$1 &amp; """", ""), IF(U20&lt;&gt;"", """" &amp; U$1 &amp; """", ""),
    IF(X20&lt;&gt;"", """" &amp; X20 &amp; """", ""), IF(V20&lt;&gt;"", """" &amp; V20 &amp; """", ""), IF(W20&lt;&gt;"", """" &amp; W20 &amp; """", ""),
    IF(Y20&lt;&gt;"", """" &amp; Y20 &amp; """", ""),
    IF(Z20&lt;&gt;"", """" &amp; Z20 &amp; """", "")
) &amp; "]"</f>
        <v>["Host", "Clinical"]</v>
      </c>
      <c r="AB20" s="49"/>
      <c r="AC20" s="48" t="s">
        <v>196</v>
      </c>
      <c r="AD20" s="49" t="s">
        <v>118</v>
      </c>
      <c r="AE20" s="49" t="s">
        <v>82</v>
      </c>
      <c r="AF20" s="49"/>
      <c r="AG20" s="49"/>
      <c r="AH20" s="49"/>
      <c r="AI20" s="49"/>
      <c r="AJ20" s="49"/>
      <c r="AK20" s="49"/>
      <c r="AL20" s="49"/>
      <c r="AM20" s="49"/>
      <c r="AN20" s="49"/>
      <c r="AO20" s="49"/>
      <c r="AP20" s="49"/>
      <c r="AQ20" s="49"/>
      <c r="AR20" s="49"/>
      <c r="AS20" s="49"/>
      <c r="AT20" s="49"/>
      <c r="AU20" s="49"/>
      <c r="AV20" s="49"/>
      <c r="AW20" s="49"/>
      <c r="AX20" s="54"/>
      <c r="AY20" s="49"/>
      <c r="AZ20" s="48" t="s">
        <v>64</v>
      </c>
      <c r="BA20" s="48" t="s">
        <v>72</v>
      </c>
      <c r="BB20" s="49"/>
      <c r="BC20" s="49" t="s">
        <v>73</v>
      </c>
      <c r="BD20" s="49" t="s">
        <v>142</v>
      </c>
      <c r="BE20" s="49"/>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c r="FY20" s="45"/>
      <c r="FZ20" s="45"/>
      <c r="GA20" s="45"/>
      <c r="GB20" s="45"/>
      <c r="GC20" s="45"/>
    </row>
    <row r="21" spans="1:185" s="46" customFormat="1" ht="34.5" customHeight="1">
      <c r="A21" s="98" t="s">
        <v>215</v>
      </c>
      <c r="B21" s="50" t="str">
        <f>LOWER(
  IF(
    RIGHT(
      SUBSTITUTE(SUBSTITUTE(SUBSTITUTE(SUBSTITUTE(SUBSTITUTE(SUBSTITUTE(SUBSTITUTE(C21,"(","_"),")","_"),"/","_"),":","_"),"-","_")," ","_"),"__","_"),
      1
    )="_",
    LEFT(
      SUBSTITUTE(SUBSTITUTE(SUBSTITUTE(SUBSTITUTE(SUBSTITUTE(SUBSTITUTE(SUBSTITUTE(C21,"(","_"),")","_"),"/","_"),":","_"),"-","_")," ","_"),"__","_"),
      LEN(
        SUBSTITUTE(SUBSTITUTE(SUBSTITUTE(SUBSTITUTE(SUBSTITUTE(SUBSTITUTE(SUBSTITUTE(C21,"(","_"),")","_"),"/","_"),":","_"),"-","_")," ","_"),"__","_")
      )-1
    ),
    SUBSTITUTE(SUBSTITUTE(SUBSTITUTE(SUBSTITUTE(SUBSTITUTE(SUBSTITUTE(SUBSTITUTE(C21,"(","_"),")","_"),"/","_"),":","_"),"-","_")," ","_"),"__","_")
  )
)</f>
        <v>host_disease_outcome</v>
      </c>
      <c r="C21" s="48" t="s">
        <v>216</v>
      </c>
      <c r="D21" s="50" t="s">
        <v>217</v>
      </c>
      <c r="E21" s="49" t="s">
        <v>64</v>
      </c>
      <c r="F21" s="49" t="s">
        <v>65</v>
      </c>
      <c r="G21" s="49" t="s">
        <v>218</v>
      </c>
      <c r="H21" s="49"/>
      <c r="I21" s="49" t="s">
        <v>219</v>
      </c>
      <c r="J21" s="49"/>
      <c r="K21" s="49"/>
      <c r="L21" s="49"/>
      <c r="M21" s="49"/>
      <c r="N21" s="49"/>
      <c r="O21" s="49"/>
      <c r="P21" s="49" t="s">
        <v>219</v>
      </c>
      <c r="Q21" s="49" t="s">
        <v>219</v>
      </c>
      <c r="R21" s="49"/>
      <c r="S21" s="49"/>
      <c r="T21" s="49"/>
      <c r="U21" s="49"/>
      <c r="V21" s="50" t="s">
        <v>125</v>
      </c>
      <c r="W21" s="50" t="s">
        <v>126</v>
      </c>
      <c r="X21" s="48" t="s">
        <v>137</v>
      </c>
      <c r="Y21" s="48" t="s">
        <v>195</v>
      </c>
      <c r="Z21" s="48"/>
      <c r="AA21" s="49" t="str">
        <f>"[" &amp; _xlfn.TEXTJOIN(", ", TRUE,
    IF(I21&lt;&gt;"", """" &amp; I$1 &amp; """", ""),
    IF(J21&lt;&gt;"", """" &amp; J$1 &amp; """", ""),
    IF(K21&lt;&gt;"", """" &amp; K$1 &amp; """", ""),
    IF(L21&lt;&gt;"", """" &amp; L$1 &amp; """", ""),
    IF(M21&lt;&gt;"", """" &amp; M$1 &amp; """", ""),    IF(N21&lt;&gt;"", """" &amp; N$1 &amp; """", ""),    IF(O21&lt;&gt;"", """" &amp; O$1 &amp; """", ""),     IF(P21&lt;&gt;"", """" &amp; P$1 &amp; """", ""),     IF(Q21&lt;&gt;"", """" &amp; Q$1 &amp; """", ""), IF(R21&lt;&gt;"", """" &amp; R$1 &amp; """", ""), IF(S21&lt;&gt;"", """" &amp; S$1 &amp; """", ""), IF(T21&lt;&gt;"", """" &amp; T$1 &amp; """", ""), IF(U21&lt;&gt;"", """" &amp; U$1 &amp; """", ""),
    IF(X21&lt;&gt;"", """" &amp; X21 &amp; """", ""), IF(V21&lt;&gt;"", """" &amp; V21 &amp; """", ""), IF(W21&lt;&gt;"", """" &amp; W21 &amp; """", ""),
    IF(Y21&lt;&gt;"", """" &amp; Y21 &amp; """", ""),
    IF(Z21&lt;&gt;"", """" &amp; Z21 &amp; """", "")
) &amp; "]"</f>
        <v>["ENA", "ENA ERC32", "ENA ERC33", "Host", "ENA Sample", "VJDB Sample", "Clinical"]</v>
      </c>
      <c r="AB21" s="49"/>
      <c r="AC21" s="48"/>
      <c r="AD21" s="49" t="s">
        <v>118</v>
      </c>
      <c r="AE21" s="49" t="s">
        <v>82</v>
      </c>
      <c r="AF21" s="49"/>
      <c r="AG21" s="49"/>
      <c r="AH21" s="49"/>
      <c r="AI21" s="49"/>
      <c r="AJ21" s="49"/>
      <c r="AK21" s="49"/>
      <c r="AL21" s="49"/>
      <c r="AM21" s="49"/>
      <c r="AN21" s="49"/>
      <c r="AO21" s="49"/>
      <c r="AP21" s="49" t="s">
        <v>220</v>
      </c>
      <c r="AQ21" s="49"/>
      <c r="AR21" s="49"/>
      <c r="AS21" s="49" t="s">
        <v>220</v>
      </c>
      <c r="AT21" s="49"/>
      <c r="AU21" s="49" t="s">
        <v>139</v>
      </c>
      <c r="AV21" s="49" t="s">
        <v>86</v>
      </c>
      <c r="AW21" s="49" t="s">
        <v>86</v>
      </c>
      <c r="AX21" s="54" t="s">
        <v>221</v>
      </c>
      <c r="AY21" s="49" t="s">
        <v>141</v>
      </c>
      <c r="AZ21" s="48" t="s">
        <v>106</v>
      </c>
      <c r="BA21" s="48" t="s">
        <v>107</v>
      </c>
      <c r="BB21" s="49"/>
      <c r="BC21" s="49" t="s">
        <v>73</v>
      </c>
      <c r="BD21" s="49" t="s">
        <v>142</v>
      </c>
      <c r="BE21" s="49"/>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c r="FY21" s="45"/>
      <c r="FZ21" s="45"/>
      <c r="GA21" s="45"/>
      <c r="GB21" s="45"/>
      <c r="GC21" s="45"/>
    </row>
    <row r="22" spans="1:185" s="46" customFormat="1" ht="34.5" customHeight="1">
      <c r="A22" s="98" t="s">
        <v>222</v>
      </c>
      <c r="B22" s="50" t="str">
        <f>LOWER(
  IF(
    RIGHT(
      SUBSTITUTE(SUBSTITUTE(SUBSTITUTE(SUBSTITUTE(SUBSTITUTE(SUBSTITUTE(SUBSTITUTE(C22,"(","_"),")","_"),"/","_"),":","_"),"-","_")," ","_"),"__","_"),
      1
    )="_",
    LEFT(
      SUBSTITUTE(SUBSTITUTE(SUBSTITUTE(SUBSTITUTE(SUBSTITUTE(SUBSTITUTE(SUBSTITUTE(C22,"(","_"),")","_"),"/","_"),":","_"),"-","_")," ","_"),"__","_"),
      LEN(
        SUBSTITUTE(SUBSTITUTE(SUBSTITUTE(SUBSTITUTE(SUBSTITUTE(SUBSTITUTE(SUBSTITUTE(C22,"(","_"),")","_"),"/","_"),":","_"),"-","_")," ","_"),"__","_")
      )-1
    ),
    SUBSTITUTE(SUBSTITUTE(SUBSTITUTE(SUBSTITUTE(SUBSTITUTE(SUBSTITUTE(SUBSTITUTE(C22,"(","_"),")","_"),"/","_"),":","_"),"-","_")," ","_"),"__","_")
  )
)</f>
        <v>host_disease_symptoms</v>
      </c>
      <c r="C22" s="48" t="s">
        <v>223</v>
      </c>
      <c r="D22" s="50" t="s">
        <v>224</v>
      </c>
      <c r="E22" s="49" t="s">
        <v>64</v>
      </c>
      <c r="F22" s="49" t="s">
        <v>65</v>
      </c>
      <c r="G22" s="49" t="s">
        <v>225</v>
      </c>
      <c r="H22" s="49"/>
      <c r="I22" s="49" t="s">
        <v>226</v>
      </c>
      <c r="J22" s="49"/>
      <c r="K22" s="49"/>
      <c r="L22" s="49"/>
      <c r="M22" s="49"/>
      <c r="N22" s="49"/>
      <c r="O22" s="49"/>
      <c r="P22" s="49"/>
      <c r="Q22" s="49"/>
      <c r="R22" s="49"/>
      <c r="S22" s="49"/>
      <c r="T22" s="49"/>
      <c r="U22" s="49"/>
      <c r="V22" s="50"/>
      <c r="W22" s="50"/>
      <c r="X22" s="48" t="s">
        <v>137</v>
      </c>
      <c r="Y22" s="48" t="s">
        <v>195</v>
      </c>
      <c r="Z22" s="48"/>
      <c r="AA22" s="49" t="str">
        <f>"[" &amp; _xlfn.TEXTJOIN(", ", TRUE,
    IF(I22&lt;&gt;"", """" &amp; I$1 &amp; """", ""),
    IF(J22&lt;&gt;"", """" &amp; J$1 &amp; """", ""),
    IF(K22&lt;&gt;"", """" &amp; K$1 &amp; """", ""),
    IF(L22&lt;&gt;"", """" &amp; L$1 &amp; """", ""),
    IF(M22&lt;&gt;"", """" &amp; M$1 &amp; """", ""),    IF(N22&lt;&gt;"", """" &amp; N$1 &amp; """", ""),    IF(O22&lt;&gt;"", """" &amp; O$1 &amp; """", ""),     IF(P22&lt;&gt;"", """" &amp; P$1 &amp; """", ""),     IF(Q22&lt;&gt;"", """" &amp; Q$1 &amp; """", ""), IF(R22&lt;&gt;"", """" &amp; R$1 &amp; """", ""), IF(S22&lt;&gt;"", """" &amp; S$1 &amp; """", ""), IF(T22&lt;&gt;"", """" &amp; T$1 &amp; """", ""), IF(U22&lt;&gt;"", """" &amp; U$1 &amp; """", ""),
    IF(X22&lt;&gt;"", """" &amp; X22 &amp; """", ""), IF(V22&lt;&gt;"", """" &amp; V22 &amp; """", ""), IF(W22&lt;&gt;"", """" &amp; W22 &amp; """", ""),
    IF(Y22&lt;&gt;"", """" &amp; Y22 &amp; """", ""),
    IF(Z22&lt;&gt;"", """" &amp; Z22 &amp; """", "")
) &amp; "]"</f>
        <v>["ENA", "Host", "Clinical"]</v>
      </c>
      <c r="AB22" s="49"/>
      <c r="AC22" s="48"/>
      <c r="AD22" s="49" t="s">
        <v>118</v>
      </c>
      <c r="AE22" s="49" t="s">
        <v>82</v>
      </c>
      <c r="AF22" s="49"/>
      <c r="AG22" s="49"/>
      <c r="AH22" s="49"/>
      <c r="AI22" s="49"/>
      <c r="AJ22" s="49"/>
      <c r="AK22" s="49"/>
      <c r="AL22" s="49"/>
      <c r="AM22" s="49"/>
      <c r="AN22" s="49"/>
      <c r="AO22" s="49"/>
      <c r="AP22" s="49"/>
      <c r="AQ22" s="49"/>
      <c r="AR22" s="49"/>
      <c r="AS22" s="49"/>
      <c r="AT22" s="49"/>
      <c r="AU22" s="49"/>
      <c r="AV22" s="49" t="s">
        <v>227</v>
      </c>
      <c r="AW22" s="49" t="s">
        <v>227</v>
      </c>
      <c r="AX22" s="54" t="s">
        <v>228</v>
      </c>
      <c r="AY22" s="49" t="s">
        <v>131</v>
      </c>
      <c r="AZ22" s="48" t="s">
        <v>182</v>
      </c>
      <c r="BA22" s="48" t="s">
        <v>119</v>
      </c>
      <c r="BB22" s="49"/>
      <c r="BC22" s="49" t="s">
        <v>73</v>
      </c>
      <c r="BD22" s="49" t="s">
        <v>142</v>
      </c>
      <c r="BE22" s="49"/>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c r="ER22" s="45"/>
      <c r="ES22" s="45"/>
      <c r="ET22" s="45"/>
      <c r="EU22" s="45"/>
      <c r="EV22" s="45"/>
      <c r="EW22" s="45"/>
      <c r="EX22" s="45"/>
      <c r="EY22" s="45"/>
      <c r="EZ22" s="45"/>
      <c r="FA22" s="45"/>
      <c r="FB22" s="45"/>
      <c r="FC22" s="45"/>
      <c r="FD22" s="45"/>
      <c r="FE22" s="45"/>
      <c r="FF22" s="45"/>
      <c r="FG22" s="45"/>
      <c r="FH22" s="45"/>
      <c r="FI22" s="45"/>
      <c r="FJ22" s="45"/>
      <c r="FK22" s="45"/>
      <c r="FL22" s="45"/>
      <c r="FM22" s="45"/>
      <c r="FN22" s="45"/>
      <c r="FO22" s="45"/>
      <c r="FP22" s="45"/>
      <c r="FQ22" s="45"/>
      <c r="FR22" s="45"/>
      <c r="FS22" s="45"/>
      <c r="FT22" s="45"/>
      <c r="FU22" s="45"/>
      <c r="FV22" s="45"/>
      <c r="FW22" s="45"/>
      <c r="FX22" s="45"/>
      <c r="FY22" s="45"/>
      <c r="FZ22" s="45"/>
      <c r="GA22" s="45"/>
      <c r="GB22" s="45"/>
      <c r="GC22" s="45"/>
    </row>
    <row r="23" spans="1:185" s="46" customFormat="1" ht="34.5" customHeight="1">
      <c r="A23" s="98" t="s">
        <v>229</v>
      </c>
      <c r="B23" s="50" t="str">
        <f>LOWER(
  IF(
    RIGHT(
      SUBSTITUTE(SUBSTITUTE(SUBSTITUTE(SUBSTITUTE(SUBSTITUTE(SUBSTITUTE(SUBSTITUTE(C23,"(","_"),")","_"),"/","_"),":","_"),"-","_")," ","_"),"__","_"),
      1
    )="_",
    LEFT(
      SUBSTITUTE(SUBSTITUTE(SUBSTITUTE(SUBSTITUTE(SUBSTITUTE(SUBSTITUTE(SUBSTITUTE(C23,"(","_"),")","_"),"/","_"),":","_"),"-","_")," ","_"),"__","_"),
      LEN(
        SUBSTITUTE(SUBSTITUTE(SUBSTITUTE(SUBSTITUTE(SUBSTITUTE(SUBSTITUTE(SUBSTITUTE(C23,"(","_"),")","_"),"/","_"),":","_"),"-","_")," ","_"),"__","_")
      )-1
    ),
    SUBSTITUTE(SUBSTITUTE(SUBSTITUTE(SUBSTITUTE(SUBSTITUTE(SUBSTITUTE(SUBSTITUTE(C23,"(","_"),")","_"),"/","_"),":","_"),"-","_")," ","_"),"__","_")
  )
)</f>
        <v>host_habitat</v>
      </c>
      <c r="C23" s="48" t="s">
        <v>230</v>
      </c>
      <c r="D23" s="50" t="s">
        <v>231</v>
      </c>
      <c r="E23" s="49" t="s">
        <v>64</v>
      </c>
      <c r="F23" s="49" t="s">
        <v>65</v>
      </c>
      <c r="G23" s="49" t="s">
        <v>232</v>
      </c>
      <c r="H23" s="49"/>
      <c r="I23" s="49" t="s">
        <v>233</v>
      </c>
      <c r="J23" s="49"/>
      <c r="K23" s="49"/>
      <c r="L23" s="49"/>
      <c r="M23" s="49"/>
      <c r="N23" s="49"/>
      <c r="O23" s="49"/>
      <c r="P23" s="49" t="s">
        <v>233</v>
      </c>
      <c r="Q23" s="49" t="s">
        <v>233</v>
      </c>
      <c r="R23" s="49"/>
      <c r="S23" s="49"/>
      <c r="T23" s="49"/>
      <c r="U23" s="49"/>
      <c r="V23" s="50" t="s">
        <v>125</v>
      </c>
      <c r="W23" s="50" t="s">
        <v>126</v>
      </c>
      <c r="X23" s="48" t="s">
        <v>137</v>
      </c>
      <c r="Y23" s="48" t="s">
        <v>81</v>
      </c>
      <c r="Z23" s="48"/>
      <c r="AA23" s="49" t="str">
        <f>"[" &amp; _xlfn.TEXTJOIN(", ", TRUE,
    IF(I23&lt;&gt;"", """" &amp; I$1 &amp; """", ""),
    IF(J23&lt;&gt;"", """" &amp; J$1 &amp; """", ""),
    IF(K23&lt;&gt;"", """" &amp; K$1 &amp; """", ""),
    IF(L23&lt;&gt;"", """" &amp; L$1 &amp; """", ""),
    IF(M23&lt;&gt;"", """" &amp; M$1 &amp; """", ""),    IF(N23&lt;&gt;"", """" &amp; N$1 &amp; """", ""),    IF(O23&lt;&gt;"", """" &amp; O$1 &amp; """", ""),     IF(P23&lt;&gt;"", """" &amp; P$1 &amp; """", ""),     IF(Q23&lt;&gt;"", """" &amp; Q$1 &amp; """", ""), IF(R23&lt;&gt;"", """" &amp; R$1 &amp; """", ""), IF(S23&lt;&gt;"", """" &amp; S$1 &amp; """", ""), IF(T23&lt;&gt;"", """" &amp; T$1 &amp; """", ""), IF(U23&lt;&gt;"", """" &amp; U$1 &amp; """", ""),
    IF(X23&lt;&gt;"", """" &amp; X23 &amp; """", ""), IF(V23&lt;&gt;"", """" &amp; V23 &amp; """", ""), IF(W23&lt;&gt;"", """" &amp; W23 &amp; """", ""),
    IF(Y23&lt;&gt;"", """" &amp; Y23 &amp; """", ""),
    IF(Z23&lt;&gt;"", """" &amp; Z23 &amp; """", "")
) &amp; "]"</f>
        <v>["ENA", "ENA ERC32", "ENA ERC33", "Host", "ENA Sample", "VJDB Sample", "Collection"]</v>
      </c>
      <c r="AB23" s="49"/>
      <c r="AC23" s="48"/>
      <c r="AD23" s="49" t="s">
        <v>118</v>
      </c>
      <c r="AE23" s="49" t="s">
        <v>82</v>
      </c>
      <c r="AF23" s="49"/>
      <c r="AG23" s="49"/>
      <c r="AH23" s="49"/>
      <c r="AI23" s="49"/>
      <c r="AJ23" s="49"/>
      <c r="AK23" s="49"/>
      <c r="AL23" s="49"/>
      <c r="AM23" s="49"/>
      <c r="AN23" s="49"/>
      <c r="AO23" s="49"/>
      <c r="AP23" s="49" t="s">
        <v>234</v>
      </c>
      <c r="AQ23" s="49"/>
      <c r="AR23" s="49"/>
      <c r="AS23" s="49" t="s">
        <v>234</v>
      </c>
      <c r="AT23" s="49"/>
      <c r="AU23" s="49" t="s">
        <v>139</v>
      </c>
      <c r="AV23" s="49" t="s">
        <v>86</v>
      </c>
      <c r="AW23" s="49" t="s">
        <v>86</v>
      </c>
      <c r="AX23" s="54" t="s">
        <v>235</v>
      </c>
      <c r="AY23" s="49" t="s">
        <v>141</v>
      </c>
      <c r="AZ23" s="48" t="s">
        <v>106</v>
      </c>
      <c r="BA23" s="48" t="s">
        <v>107</v>
      </c>
      <c r="BB23" s="49"/>
      <c r="BC23" s="49" t="s">
        <v>73</v>
      </c>
      <c r="BD23" s="49" t="s">
        <v>142</v>
      </c>
      <c r="BE23" s="49"/>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T23" s="45"/>
      <c r="EU23" s="45"/>
      <c r="EV23" s="45"/>
      <c r="EW23" s="45"/>
      <c r="EX23" s="45"/>
      <c r="EY23" s="45"/>
      <c r="EZ23" s="45"/>
      <c r="FA23" s="45"/>
      <c r="FB23" s="45"/>
      <c r="FC23" s="45"/>
      <c r="FD23" s="45"/>
      <c r="FE23" s="45"/>
      <c r="FF23" s="45"/>
      <c r="FG23" s="45"/>
      <c r="FH23" s="45"/>
      <c r="FI23" s="45"/>
      <c r="FJ23" s="45"/>
      <c r="FK23" s="45"/>
      <c r="FL23" s="45"/>
      <c r="FM23" s="45"/>
      <c r="FN23" s="45"/>
      <c r="FO23" s="45"/>
      <c r="FP23" s="45"/>
      <c r="FQ23" s="45"/>
      <c r="FR23" s="45"/>
      <c r="FS23" s="45"/>
      <c r="FT23" s="45"/>
      <c r="FU23" s="45"/>
      <c r="FV23" s="45"/>
      <c r="FW23" s="45"/>
      <c r="FX23" s="45"/>
      <c r="FY23" s="45"/>
      <c r="FZ23" s="45"/>
      <c r="GA23" s="45"/>
      <c r="GB23" s="45"/>
      <c r="GC23" s="45"/>
    </row>
    <row r="24" spans="1:185" s="46" customFormat="1" ht="34.5" customHeight="1">
      <c r="A24" s="98" t="s">
        <v>236</v>
      </c>
      <c r="B24" s="50" t="str">
        <f>LOWER(
  IF(
    RIGHT(
      SUBSTITUTE(SUBSTITUTE(SUBSTITUTE(SUBSTITUTE(SUBSTITUTE(SUBSTITUTE(SUBSTITUTE(C24,"(","_"),")","_"),"/","_"),":","_"),"-","_")," ","_"),"__","_"),
      1
    )="_",
    LEFT(
      SUBSTITUTE(SUBSTITUTE(SUBSTITUTE(SUBSTITUTE(SUBSTITUTE(SUBSTITUTE(SUBSTITUTE(C24,"(","_"),")","_"),"/","_"),":","_"),"-","_")," ","_"),"__","_"),
      LEN(
        SUBSTITUTE(SUBSTITUTE(SUBSTITUTE(SUBSTITUTE(SUBSTITUTE(SUBSTITUTE(SUBSTITUTE(C24,"(","_"),")","_"),"/","_"),":","_"),"-","_")," ","_"),"__","_")
      )-1
    ),
    SUBSTITUTE(SUBSTITUTE(SUBSTITUTE(SUBSTITUTE(SUBSTITUTE(SUBSTITUTE(SUBSTITUTE(C24,"(","_"),")","_"),"/","_"),":","_"),"-","_")," ","_"),"__","_")
  )
)</f>
        <v>host_subject_id</v>
      </c>
      <c r="C24" s="48" t="s">
        <v>237</v>
      </c>
      <c r="D24" s="50" t="s">
        <v>238</v>
      </c>
      <c r="E24" s="49" t="s">
        <v>98</v>
      </c>
      <c r="F24" s="49" t="s">
        <v>65</v>
      </c>
      <c r="G24" s="49" t="s">
        <v>239</v>
      </c>
      <c r="H24" s="49"/>
      <c r="I24" s="49" t="s">
        <v>240</v>
      </c>
      <c r="J24" s="49"/>
      <c r="K24" s="49"/>
      <c r="L24" s="49"/>
      <c r="M24" s="49"/>
      <c r="N24" s="49"/>
      <c r="O24" s="49"/>
      <c r="P24" s="49" t="s">
        <v>240</v>
      </c>
      <c r="Q24" s="49" t="s">
        <v>240</v>
      </c>
      <c r="R24" s="49"/>
      <c r="S24" s="49"/>
      <c r="T24" s="49"/>
      <c r="U24" s="49"/>
      <c r="V24" s="50" t="s">
        <v>125</v>
      </c>
      <c r="W24" s="50" t="s">
        <v>126</v>
      </c>
      <c r="X24" s="48" t="s">
        <v>137</v>
      </c>
      <c r="Y24" s="48" t="s">
        <v>241</v>
      </c>
      <c r="Z24" s="48"/>
      <c r="AA24" s="49" t="str">
        <f>"[" &amp; _xlfn.TEXTJOIN(", ", TRUE,
    IF(I24&lt;&gt;"", """" &amp; I$1 &amp; """", ""),
    IF(J24&lt;&gt;"", """" &amp; J$1 &amp; """", ""),
    IF(K24&lt;&gt;"", """" &amp; K$1 &amp; """", ""),
    IF(L24&lt;&gt;"", """" &amp; L$1 &amp; """", ""),
    IF(M24&lt;&gt;"", """" &amp; M$1 &amp; """", ""),    IF(N24&lt;&gt;"", """" &amp; N$1 &amp; """", ""),    IF(O24&lt;&gt;"", """" &amp; O$1 &amp; """", ""),     IF(P24&lt;&gt;"", """" &amp; P$1 &amp; """", ""),     IF(Q24&lt;&gt;"", """" &amp; Q$1 &amp; """", ""), IF(R24&lt;&gt;"", """" &amp; R$1 &amp; """", ""), IF(S24&lt;&gt;"", """" &amp; S$1 &amp; """", ""), IF(T24&lt;&gt;"", """" &amp; T$1 &amp; """", ""), IF(U24&lt;&gt;"", """" &amp; U$1 &amp; """", ""),
    IF(X24&lt;&gt;"", """" &amp; X24 &amp; """", ""), IF(V24&lt;&gt;"", """" &amp; V24 &amp; """", ""), IF(W24&lt;&gt;"", """" &amp; W24 &amp; """", ""),
    IF(Y24&lt;&gt;"", """" &amp; Y24 &amp; """", ""),
    IF(Z24&lt;&gt;"", """" &amp; Z24 &amp; """", "")
) &amp; "]"</f>
        <v>["ENA", "ENA ERC32", "ENA ERC33", "Host", "ENA Sample", "VJDB Sample", "Clinical "]</v>
      </c>
      <c r="AB24" s="49"/>
      <c r="AC24" s="48" t="s">
        <v>196</v>
      </c>
      <c r="AD24" s="49" t="s">
        <v>118</v>
      </c>
      <c r="AE24" s="49" t="s">
        <v>82</v>
      </c>
      <c r="AF24" s="49"/>
      <c r="AG24" s="49"/>
      <c r="AH24" s="49"/>
      <c r="AI24" s="49"/>
      <c r="AJ24" s="49"/>
      <c r="AK24" s="49"/>
      <c r="AL24" s="49"/>
      <c r="AM24" s="49"/>
      <c r="AN24" s="49"/>
      <c r="AO24" s="49"/>
      <c r="AP24" s="49" t="s">
        <v>242</v>
      </c>
      <c r="AQ24" s="49"/>
      <c r="AR24" s="49"/>
      <c r="AS24" s="49" t="s">
        <v>242</v>
      </c>
      <c r="AT24" s="49"/>
      <c r="AU24" s="49" t="s">
        <v>151</v>
      </c>
      <c r="AV24" s="49" t="s">
        <v>130</v>
      </c>
      <c r="AW24" s="49" t="s">
        <v>130</v>
      </c>
      <c r="AX24" s="54"/>
      <c r="AY24" s="49"/>
      <c r="AZ24" s="48" t="s">
        <v>182</v>
      </c>
      <c r="BA24" s="48" t="s">
        <v>72</v>
      </c>
      <c r="BB24" s="49"/>
      <c r="BC24" s="49" t="s">
        <v>73</v>
      </c>
      <c r="BD24" s="49" t="s">
        <v>108</v>
      </c>
      <c r="BE24" s="48"/>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c r="FJ24" s="45"/>
      <c r="FK24" s="45"/>
      <c r="FL24" s="45"/>
      <c r="FM24" s="45"/>
      <c r="FN24" s="45"/>
      <c r="FO24" s="45"/>
      <c r="FP24" s="45"/>
      <c r="FQ24" s="45"/>
      <c r="FR24" s="45"/>
      <c r="FS24" s="45"/>
      <c r="FT24" s="45"/>
      <c r="FU24" s="45"/>
      <c r="FV24" s="45"/>
      <c r="FW24" s="45"/>
      <c r="FX24" s="45"/>
      <c r="FY24" s="45"/>
      <c r="FZ24" s="45"/>
      <c r="GA24" s="45"/>
      <c r="GB24" s="45"/>
      <c r="GC24" s="45"/>
    </row>
    <row r="25" spans="1:185" s="46" customFormat="1" ht="34.5" customHeight="1">
      <c r="A25" s="98" t="s">
        <v>243</v>
      </c>
      <c r="B25" s="50" t="str">
        <f>LOWER(
  IF(
    RIGHT(
      SUBSTITUTE(SUBSTITUTE(SUBSTITUTE(SUBSTITUTE(SUBSTITUTE(SUBSTITUTE(SUBSTITUTE(C25,"(","_"),")","_"),"/","_"),":","_"),"-","_")," ","_"),"__","_"),
      1
    )="_",
    LEFT(
      SUBSTITUTE(SUBSTITUTE(SUBSTITUTE(SUBSTITUTE(SUBSTITUTE(SUBSTITUTE(SUBSTITUTE(C25,"(","_"),")","_"),"/","_"),":","_"),"-","_")," ","_"),"__","_"),
      LEN(
        SUBSTITUTE(SUBSTITUTE(SUBSTITUTE(SUBSTITUTE(SUBSTITUTE(SUBSTITUTE(SUBSTITUTE(C25,"(","_"),")","_"),"/","_"),":","_"),"-","_")," ","_"),"__","_")
      )-1
    ),
    SUBSTITUTE(SUBSTITUTE(SUBSTITUTE(SUBSTITUTE(SUBSTITUTE(SUBSTITUTE(SUBSTITUTE(C25,"(","_"),")","_"),"/","_"),":","_"),"-","_")," ","_"),"__","_")
  )
)</f>
        <v>influenza_test_method</v>
      </c>
      <c r="C25" s="48" t="s">
        <v>244</v>
      </c>
      <c r="D25" s="50" t="s">
        <v>245</v>
      </c>
      <c r="E25" s="49" t="s">
        <v>64</v>
      </c>
      <c r="F25" s="49" t="s">
        <v>65</v>
      </c>
      <c r="G25" s="49" t="s">
        <v>246</v>
      </c>
      <c r="H25" s="49"/>
      <c r="I25" s="49" t="s">
        <v>247</v>
      </c>
      <c r="J25" s="49"/>
      <c r="K25" s="49"/>
      <c r="L25" s="49"/>
      <c r="M25" s="49"/>
      <c r="N25" s="49"/>
      <c r="O25" s="49"/>
      <c r="P25" s="49" t="s">
        <v>247</v>
      </c>
      <c r="Q25" s="49"/>
      <c r="R25" s="49"/>
      <c r="S25" s="49"/>
      <c r="T25" s="49"/>
      <c r="U25" s="49"/>
      <c r="V25" s="50" t="s">
        <v>125</v>
      </c>
      <c r="W25" s="50" t="s">
        <v>126</v>
      </c>
      <c r="X25" s="48" t="s">
        <v>68</v>
      </c>
      <c r="Y25" s="48" t="s">
        <v>241</v>
      </c>
      <c r="Z25" s="48"/>
      <c r="AA25" s="49" t="str">
        <f>"[" &amp; _xlfn.TEXTJOIN(", ", TRUE,
    IF(I25&lt;&gt;"", """" &amp; I$1 &amp; """", ""),
    IF(J25&lt;&gt;"", """" &amp; J$1 &amp; """", ""),
    IF(K25&lt;&gt;"", """" &amp; K$1 &amp; """", ""),
    IF(L25&lt;&gt;"", """" &amp; L$1 &amp; """", ""),
    IF(M25&lt;&gt;"", """" &amp; M$1 &amp; """", ""),    IF(N25&lt;&gt;"", """" &amp; N$1 &amp; """", ""),    IF(O25&lt;&gt;"", """" &amp; O$1 &amp; """", ""),     IF(P25&lt;&gt;"", """" &amp; P$1 &amp; """", ""),     IF(Q25&lt;&gt;"", """" &amp; Q$1 &amp; """", ""), IF(R25&lt;&gt;"", """" &amp; R$1 &amp; """", ""), IF(S25&lt;&gt;"", """" &amp; S$1 &amp; """", ""), IF(T25&lt;&gt;"", """" &amp; T$1 &amp; """", ""), IF(U25&lt;&gt;"", """" &amp; U$1 &amp; """", ""),
    IF(X25&lt;&gt;"", """" &amp; X25 &amp; """", ""), IF(V25&lt;&gt;"", """" &amp; V25 &amp; """", ""), IF(W25&lt;&gt;"", """" &amp; W25 &amp; """", ""),
    IF(Y25&lt;&gt;"", """" &amp; Y25 &amp; """", ""),
    IF(Z25&lt;&gt;"", """" &amp; Z25 &amp; """", "")
) &amp; "]"</f>
        <v>["ENA", "ENA ERC32", "Sample", "ENA Sample", "VJDB Sample", "Clinical "]</v>
      </c>
      <c r="AB25" s="49"/>
      <c r="AC25" s="48"/>
      <c r="AD25" s="49" t="s">
        <v>118</v>
      </c>
      <c r="AE25" s="49" t="s">
        <v>82</v>
      </c>
      <c r="AF25" s="49"/>
      <c r="AG25" s="49"/>
      <c r="AH25" s="49"/>
      <c r="AI25" s="49"/>
      <c r="AJ25" s="49"/>
      <c r="AK25" s="49"/>
      <c r="AL25" s="49"/>
      <c r="AM25" s="49"/>
      <c r="AN25" s="49"/>
      <c r="AO25" s="49"/>
      <c r="AP25" s="49" t="s">
        <v>248</v>
      </c>
      <c r="AQ25" s="49"/>
      <c r="AR25" s="49"/>
      <c r="AS25" s="49"/>
      <c r="AT25" s="49"/>
      <c r="AU25" s="49"/>
      <c r="AV25" s="49" t="s">
        <v>130</v>
      </c>
      <c r="AW25" s="49" t="s">
        <v>130</v>
      </c>
      <c r="AX25" s="54" t="s">
        <v>249</v>
      </c>
      <c r="AY25" s="49" t="s">
        <v>250</v>
      </c>
      <c r="AZ25" s="48" t="s">
        <v>182</v>
      </c>
      <c r="BA25" s="48" t="s">
        <v>119</v>
      </c>
      <c r="BB25" s="49"/>
      <c r="BC25" s="49" t="s">
        <v>73</v>
      </c>
      <c r="BD25" s="49" t="s">
        <v>74</v>
      </c>
      <c r="BE25" s="49"/>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c r="EZ25" s="45"/>
      <c r="FA25" s="45"/>
      <c r="FB25" s="45"/>
      <c r="FC25" s="45"/>
      <c r="FD25" s="45"/>
      <c r="FE25" s="45"/>
      <c r="FF25" s="45"/>
      <c r="FG25" s="45"/>
      <c r="FH25" s="45"/>
      <c r="FI25" s="45"/>
      <c r="FJ25" s="45"/>
      <c r="FK25" s="45"/>
      <c r="FL25" s="45"/>
      <c r="FM25" s="45"/>
      <c r="FN25" s="45"/>
      <c r="FO25" s="45"/>
      <c r="FP25" s="45"/>
      <c r="FQ25" s="45"/>
      <c r="FR25" s="45"/>
      <c r="FS25" s="45"/>
      <c r="FT25" s="45"/>
      <c r="FU25" s="45"/>
      <c r="FV25" s="45"/>
      <c r="FW25" s="45"/>
      <c r="FX25" s="45"/>
      <c r="FY25" s="45"/>
      <c r="FZ25" s="45"/>
      <c r="GA25" s="45"/>
      <c r="GB25" s="45"/>
      <c r="GC25" s="45"/>
    </row>
    <row r="26" spans="1:185" s="46" customFormat="1" ht="34.5" customHeight="1">
      <c r="A26" s="98" t="s">
        <v>251</v>
      </c>
      <c r="B26" s="50" t="str">
        <f>LOWER(
  IF(
    RIGHT(
      SUBSTITUTE(SUBSTITUTE(SUBSTITUTE(SUBSTITUTE(SUBSTITUTE(SUBSTITUTE(SUBSTITUTE(C26,"(","_"),")","_"),"/","_"),":","_"),"-","_")," ","_"),"__","_"),
      1
    )="_",
    LEFT(
      SUBSTITUTE(SUBSTITUTE(SUBSTITUTE(SUBSTITUTE(SUBSTITUTE(SUBSTITUTE(SUBSTITUTE(C26,"(","_"),")","_"),"/","_"),":","_"),"-","_")," ","_"),"__","_"),
      LEN(
        SUBSTITUTE(SUBSTITUTE(SUBSTITUTE(SUBSTITUTE(SUBSTITUTE(SUBSTITUTE(SUBSTITUTE(C26,"(","_"),")","_"),"/","_"),":","_"),"-","_")," ","_"),"__","_")
      )-1
    ),
    SUBSTITUTE(SUBSTITUTE(SUBSTITUTE(SUBSTITUTE(SUBSTITUTE(SUBSTITUTE(SUBSTITUTE(C26,"(","_"),")","_"),"/","_"),":","_"),"-","_")," ","_"),"__","_")
  )
)</f>
        <v>influenza_test_result</v>
      </c>
      <c r="C26" s="48" t="s">
        <v>252</v>
      </c>
      <c r="D26" s="50" t="s">
        <v>253</v>
      </c>
      <c r="E26" s="49" t="s">
        <v>98</v>
      </c>
      <c r="F26" s="49" t="s">
        <v>65</v>
      </c>
      <c r="G26" s="49" t="s">
        <v>254</v>
      </c>
      <c r="H26" s="49"/>
      <c r="I26" s="49" t="s">
        <v>255</v>
      </c>
      <c r="J26" s="49"/>
      <c r="K26" s="49"/>
      <c r="L26" s="49"/>
      <c r="M26" s="49"/>
      <c r="N26" s="49"/>
      <c r="O26" s="49"/>
      <c r="P26" s="49" t="s">
        <v>255</v>
      </c>
      <c r="Q26" s="49"/>
      <c r="R26" s="49"/>
      <c r="S26" s="49"/>
      <c r="T26" s="49"/>
      <c r="U26" s="49"/>
      <c r="V26" s="50" t="s">
        <v>125</v>
      </c>
      <c r="W26" s="50" t="s">
        <v>126</v>
      </c>
      <c r="X26" s="48" t="s">
        <v>68</v>
      </c>
      <c r="Y26" s="48" t="s">
        <v>241</v>
      </c>
      <c r="Z26" s="48"/>
      <c r="AA26" s="49" t="str">
        <f>"[" &amp; _xlfn.TEXTJOIN(", ", TRUE,
    IF(I26&lt;&gt;"", """" &amp; I$1 &amp; """", ""),
    IF(J26&lt;&gt;"", """" &amp; J$1 &amp; """", ""),
    IF(K26&lt;&gt;"", """" &amp; K$1 &amp; """", ""),
    IF(L26&lt;&gt;"", """" &amp; L$1 &amp; """", ""),
    IF(M26&lt;&gt;"", """" &amp; M$1 &amp; """", ""),    IF(N26&lt;&gt;"", """" &amp; N$1 &amp; """", ""),    IF(O26&lt;&gt;"", """" &amp; O$1 &amp; """", ""),     IF(P26&lt;&gt;"", """" &amp; P$1 &amp; """", ""),     IF(Q26&lt;&gt;"", """" &amp; Q$1 &amp; """", ""), IF(R26&lt;&gt;"", """" &amp; R$1 &amp; """", ""), IF(S26&lt;&gt;"", """" &amp; S$1 &amp; """", ""), IF(T26&lt;&gt;"", """" &amp; T$1 &amp; """", ""), IF(U26&lt;&gt;"", """" &amp; U$1 &amp; """", ""),
    IF(X26&lt;&gt;"", """" &amp; X26 &amp; """", ""), IF(V26&lt;&gt;"", """" &amp; V26 &amp; """", ""), IF(W26&lt;&gt;"", """" &amp; W26 &amp; """", ""),
    IF(Y26&lt;&gt;"", """" &amp; Y26 &amp; """", ""),
    IF(Z26&lt;&gt;"", """" &amp; Z26 &amp; """", "")
) &amp; "]"</f>
        <v>["ENA", "ENA ERC32", "Sample", "ENA Sample", "VJDB Sample", "Clinical "]</v>
      </c>
      <c r="AB26" s="49"/>
      <c r="AC26" s="48"/>
      <c r="AD26" s="49" t="s">
        <v>118</v>
      </c>
      <c r="AE26" s="49" t="s">
        <v>82</v>
      </c>
      <c r="AF26" s="49"/>
      <c r="AG26" s="49"/>
      <c r="AH26" s="49"/>
      <c r="AI26" s="49"/>
      <c r="AJ26" s="49"/>
      <c r="AK26" s="49"/>
      <c r="AL26" s="49"/>
      <c r="AM26" s="49"/>
      <c r="AN26" s="49"/>
      <c r="AO26" s="49"/>
      <c r="AP26" s="49" t="s">
        <v>256</v>
      </c>
      <c r="AQ26" s="49"/>
      <c r="AR26" s="49"/>
      <c r="AS26" s="49"/>
      <c r="AT26" s="49"/>
      <c r="AU26" s="49"/>
      <c r="AV26" s="49" t="s">
        <v>130</v>
      </c>
      <c r="AW26" s="49" t="s">
        <v>130</v>
      </c>
      <c r="AX26" s="54" t="s">
        <v>257</v>
      </c>
      <c r="AY26" s="49" t="s">
        <v>258</v>
      </c>
      <c r="AZ26" s="48" t="s">
        <v>182</v>
      </c>
      <c r="BA26" s="48" t="s">
        <v>119</v>
      </c>
      <c r="BB26" s="49"/>
      <c r="BC26" s="49" t="s">
        <v>73</v>
      </c>
      <c r="BD26" s="49" t="s">
        <v>108</v>
      </c>
      <c r="BE26" s="49"/>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c r="DM26" s="45"/>
      <c r="DN26" s="45"/>
      <c r="DO26" s="45"/>
      <c r="DP26" s="45"/>
      <c r="DQ26" s="45"/>
      <c r="DR26" s="45"/>
      <c r="DS26" s="45"/>
      <c r="DT26" s="45"/>
      <c r="DU26" s="45"/>
      <c r="DV26" s="45"/>
      <c r="DW26" s="45"/>
      <c r="DX26" s="45"/>
      <c r="DY26" s="45"/>
      <c r="DZ26" s="45"/>
      <c r="EA26" s="45"/>
      <c r="EB26" s="45"/>
      <c r="EC26" s="45"/>
      <c r="ED26" s="45"/>
      <c r="EE26" s="45"/>
      <c r="EF26" s="45"/>
      <c r="EG26" s="45"/>
      <c r="EH26" s="45"/>
      <c r="EI26" s="45"/>
      <c r="EJ26" s="45"/>
      <c r="EK26" s="45"/>
      <c r="EL26" s="45"/>
      <c r="EM26" s="45"/>
      <c r="EN26" s="45"/>
      <c r="EO26" s="45"/>
      <c r="EP26" s="45"/>
      <c r="EQ26" s="45"/>
      <c r="ER26" s="45"/>
      <c r="ES26" s="45"/>
      <c r="ET26" s="45"/>
      <c r="EU26" s="45"/>
      <c r="EV26" s="45"/>
      <c r="EW26" s="45"/>
      <c r="EX26" s="45"/>
      <c r="EY26" s="45"/>
      <c r="EZ26" s="45"/>
      <c r="FA26" s="45"/>
      <c r="FB26" s="45"/>
      <c r="FC26" s="45"/>
      <c r="FD26" s="45"/>
      <c r="FE26" s="45"/>
      <c r="FF26" s="45"/>
      <c r="FG26" s="45"/>
      <c r="FH26" s="45"/>
      <c r="FI26" s="45"/>
      <c r="FJ26" s="45"/>
      <c r="FK26" s="45"/>
      <c r="FL26" s="45"/>
      <c r="FM26" s="45"/>
      <c r="FN26" s="45"/>
      <c r="FO26" s="45"/>
      <c r="FP26" s="45"/>
      <c r="FQ26" s="45"/>
      <c r="FR26" s="45"/>
      <c r="FS26" s="45"/>
      <c r="FT26" s="45"/>
      <c r="FU26" s="45"/>
      <c r="FV26" s="45"/>
      <c r="FW26" s="45"/>
      <c r="FX26" s="45"/>
      <c r="FY26" s="45"/>
      <c r="FZ26" s="45"/>
      <c r="GA26" s="45"/>
      <c r="GB26" s="45"/>
      <c r="GC26" s="45"/>
    </row>
    <row r="27" spans="1:185" s="46" customFormat="1" ht="34.5" customHeight="1">
      <c r="A27" s="98" t="s">
        <v>259</v>
      </c>
      <c r="B27" s="50" t="str">
        <f>LOWER(
  IF(
    RIGHT(
      SUBSTITUTE(SUBSTITUTE(SUBSTITUTE(SUBSTITUTE(SUBSTITUTE(SUBSTITUTE(SUBSTITUTE(C27,"(","_"),")","_"),"/","_"),":","_"),"-","_")," ","_"),"__","_"),
      1
    )="_",
    LEFT(
      SUBSTITUTE(SUBSTITUTE(SUBSTITUTE(SUBSTITUTE(SUBSTITUTE(SUBSTITUTE(SUBSTITUTE(C27,"(","_"),")","_"),"/","_"),":","_"),"-","_")," ","_"),"__","_"),
      LEN(
        SUBSTITUTE(SUBSTITUTE(SUBSTITUTE(SUBSTITUTE(SUBSTITUTE(SUBSTITUTE(SUBSTITUTE(C27,"(","_"),")","_"),"/","_"),":","_"),"-","_")," ","_"),"__","_")
      )-1
    ),
    SUBSTITUTE(SUBSTITUTE(SUBSTITUTE(SUBSTITUTE(SUBSTITUTE(SUBSTITUTE(SUBSTITUTE(C27,"(","_"),")","_"),"/","_"),":","_"),"-","_")," ","_"),"__","_")
  )
)</f>
        <v>influenza_virus_type</v>
      </c>
      <c r="C27" s="48" t="s">
        <v>260</v>
      </c>
      <c r="D27" s="50" t="s">
        <v>261</v>
      </c>
      <c r="E27" s="49" t="s">
        <v>98</v>
      </c>
      <c r="F27" s="49" t="s">
        <v>65</v>
      </c>
      <c r="G27" s="49" t="s">
        <v>262</v>
      </c>
      <c r="H27" s="49" t="s">
        <v>263</v>
      </c>
      <c r="I27" s="49" t="s">
        <v>264</v>
      </c>
      <c r="J27" s="49"/>
      <c r="K27" s="49"/>
      <c r="L27" s="49"/>
      <c r="M27" s="49"/>
      <c r="N27" s="49"/>
      <c r="O27" s="49"/>
      <c r="P27" s="49" t="s">
        <v>264</v>
      </c>
      <c r="Q27" s="49"/>
      <c r="R27" s="49"/>
      <c r="S27" s="49"/>
      <c r="T27" s="49"/>
      <c r="U27" s="49"/>
      <c r="V27" s="50" t="s">
        <v>125</v>
      </c>
      <c r="W27" s="50" t="s">
        <v>126</v>
      </c>
      <c r="X27" s="48" t="s">
        <v>68</v>
      </c>
      <c r="Y27" s="48" t="s">
        <v>241</v>
      </c>
      <c r="Z27" s="48"/>
      <c r="AA27" s="49" t="str">
        <f>"[" &amp; _xlfn.TEXTJOIN(", ", TRUE,
    IF(I27&lt;&gt;"", """" &amp; I$1 &amp; """", ""),
    IF(J27&lt;&gt;"", """" &amp; J$1 &amp; """", ""),
    IF(K27&lt;&gt;"", """" &amp; K$1 &amp; """", ""),
    IF(L27&lt;&gt;"", """" &amp; L$1 &amp; """", ""),
    IF(M27&lt;&gt;"", """" &amp; M$1 &amp; """", ""),    IF(N27&lt;&gt;"", """" &amp; N$1 &amp; """", ""),    IF(O27&lt;&gt;"", """" &amp; O$1 &amp; """", ""),     IF(P27&lt;&gt;"", """" &amp; P$1 &amp; """", ""),     IF(Q27&lt;&gt;"", """" &amp; Q$1 &amp; """", ""), IF(R27&lt;&gt;"", """" &amp; R$1 &amp; """", ""), IF(S27&lt;&gt;"", """" &amp; S$1 &amp; """", ""), IF(T27&lt;&gt;"", """" &amp; T$1 &amp; """", ""), IF(U27&lt;&gt;"", """" &amp; U$1 &amp; """", ""),
    IF(X27&lt;&gt;"", """" &amp; X27 &amp; """", ""), IF(V27&lt;&gt;"", """" &amp; V27 &amp; """", ""), IF(W27&lt;&gt;"", """" &amp; W27 &amp; """", ""),
    IF(Y27&lt;&gt;"", """" &amp; Y27 &amp; """", ""),
    IF(Z27&lt;&gt;"", """" &amp; Z27 &amp; """", "")
) &amp; "]"</f>
        <v>["ENA", "ENA ERC32", "Sample", "ENA Sample", "VJDB Sample", "Clinical "]</v>
      </c>
      <c r="AB27" s="49"/>
      <c r="AC27" s="48"/>
      <c r="AD27" s="49" t="s">
        <v>118</v>
      </c>
      <c r="AE27" s="49" t="s">
        <v>82</v>
      </c>
      <c r="AF27" s="49"/>
      <c r="AG27" s="49"/>
      <c r="AH27" s="49"/>
      <c r="AI27" s="49"/>
      <c r="AJ27" s="49"/>
      <c r="AK27" s="49"/>
      <c r="AL27" s="49"/>
      <c r="AM27" s="49"/>
      <c r="AN27" s="49"/>
      <c r="AO27" s="49"/>
      <c r="AP27" s="49" t="s">
        <v>265</v>
      </c>
      <c r="AQ27" s="49"/>
      <c r="AR27" s="49"/>
      <c r="AS27" s="49"/>
      <c r="AT27" s="49"/>
      <c r="AU27" s="49"/>
      <c r="AV27" s="49" t="s">
        <v>86</v>
      </c>
      <c r="AW27" s="49" t="s">
        <v>86</v>
      </c>
      <c r="AX27" s="54" t="s">
        <v>266</v>
      </c>
      <c r="AY27" s="49" t="s">
        <v>141</v>
      </c>
      <c r="AZ27" s="48" t="s">
        <v>106</v>
      </c>
      <c r="BA27" s="48" t="s">
        <v>107</v>
      </c>
      <c r="BB27" s="49"/>
      <c r="BC27" s="49" t="s">
        <v>73</v>
      </c>
      <c r="BD27" s="49" t="s">
        <v>142</v>
      </c>
      <c r="BE27" s="49"/>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M27" s="45"/>
      <c r="CN27" s="45"/>
      <c r="CO27" s="45"/>
      <c r="CP27" s="45"/>
      <c r="CQ27" s="45"/>
      <c r="CR27" s="45"/>
      <c r="CS27" s="45"/>
      <c r="CT27" s="45"/>
      <c r="CU27" s="45"/>
      <c r="CV27" s="45"/>
      <c r="CW27" s="45"/>
      <c r="CX27" s="45"/>
      <c r="CY27" s="45"/>
      <c r="CZ27" s="45"/>
      <c r="DA27" s="45"/>
      <c r="DB27" s="45"/>
      <c r="DC27" s="45"/>
      <c r="DD27" s="45"/>
      <c r="DE27" s="45"/>
      <c r="DF27" s="45"/>
      <c r="DG27" s="45"/>
      <c r="DH27" s="45"/>
      <c r="DI27" s="45"/>
      <c r="DJ27" s="45"/>
      <c r="DK27" s="45"/>
      <c r="DL27" s="45"/>
      <c r="DM27" s="45"/>
      <c r="DN27" s="45"/>
      <c r="DO27" s="45"/>
      <c r="DP27" s="45"/>
      <c r="DQ27" s="45"/>
      <c r="DR27" s="45"/>
      <c r="DS27" s="45"/>
      <c r="DT27" s="45"/>
      <c r="DU27" s="45"/>
      <c r="DV27" s="45"/>
      <c r="DW27" s="45"/>
      <c r="DX27" s="45"/>
      <c r="DY27" s="45"/>
      <c r="DZ27" s="45"/>
      <c r="EA27" s="45"/>
      <c r="EB27" s="45"/>
      <c r="EC27" s="45"/>
      <c r="ED27" s="45"/>
      <c r="EE27" s="45"/>
      <c r="EF27" s="45"/>
      <c r="EG27" s="45"/>
      <c r="EH27" s="45"/>
      <c r="EI27" s="45"/>
      <c r="EJ27" s="45"/>
      <c r="EK27" s="45"/>
      <c r="EL27" s="45"/>
      <c r="EM27" s="45"/>
      <c r="EN27" s="45"/>
      <c r="EO27" s="45"/>
      <c r="EP27" s="45"/>
      <c r="EQ27" s="45"/>
      <c r="ER27" s="45"/>
      <c r="ES27" s="45"/>
      <c r="ET27" s="45"/>
      <c r="EU27" s="45"/>
      <c r="EV27" s="45"/>
      <c r="EW27" s="45"/>
      <c r="EX27" s="45"/>
      <c r="EY27" s="45"/>
      <c r="EZ27" s="45"/>
      <c r="FA27" s="45"/>
      <c r="FB27" s="45"/>
      <c r="FC27" s="45"/>
      <c r="FD27" s="45"/>
      <c r="FE27" s="45"/>
      <c r="FF27" s="45"/>
      <c r="FG27" s="45"/>
      <c r="FH27" s="45"/>
      <c r="FI27" s="45"/>
      <c r="FJ27" s="45"/>
      <c r="FK27" s="45"/>
      <c r="FL27" s="45"/>
      <c r="FM27" s="45"/>
      <c r="FN27" s="45"/>
      <c r="FO27" s="45"/>
      <c r="FP27" s="45"/>
      <c r="FQ27" s="45"/>
      <c r="FR27" s="45"/>
      <c r="FS27" s="45"/>
      <c r="FT27" s="45"/>
      <c r="FU27" s="45"/>
      <c r="FV27" s="45"/>
      <c r="FW27" s="45"/>
      <c r="FX27" s="45"/>
      <c r="FY27" s="45"/>
      <c r="FZ27" s="45"/>
      <c r="GA27" s="45"/>
      <c r="GB27" s="45"/>
      <c r="GC27" s="45"/>
    </row>
    <row r="28" spans="1:185" s="46" customFormat="1" ht="34.5" customHeight="1">
      <c r="A28" s="98" t="s">
        <v>267</v>
      </c>
      <c r="B28" s="50" t="str">
        <f>LOWER(
  IF(
    RIGHT(
      SUBSTITUTE(SUBSTITUTE(SUBSTITUTE(SUBSTITUTE(SUBSTITUTE(SUBSTITUTE(SUBSTITUTE(C28,"(","_"),")","_"),"/","_"),":","_"),"-","_")," ","_"),"__","_"),
      1
    )="_",
    LEFT(
      SUBSTITUTE(SUBSTITUTE(SUBSTITUTE(SUBSTITUTE(SUBSTITUTE(SUBSTITUTE(SUBSTITUTE(C28,"(","_"),")","_"),"/","_"),":","_"),"-","_")," ","_"),"__","_"),
      LEN(
        SUBSTITUTE(SUBSTITUTE(SUBSTITUTE(SUBSTITUTE(SUBSTITUTE(SUBSTITUTE(SUBSTITUTE(C28,"(","_"),")","_"),"/","_"),":","_"),"-","_")," ","_"),"__","_")
      )-1
    ),
    SUBSTITUTE(SUBSTITUTE(SUBSTITUTE(SUBSTITUTE(SUBSTITUTE(SUBSTITUTE(SUBSTITUTE(C28,"(","_"),")","_"),"/","_"),":","_"),"-","_")," ","_"),"__","_")
  )
)</f>
        <v>other_pathogens_test_result</v>
      </c>
      <c r="C28" s="48" t="s">
        <v>268</v>
      </c>
      <c r="D28" s="50" t="s">
        <v>269</v>
      </c>
      <c r="E28" s="49" t="s">
        <v>98</v>
      </c>
      <c r="F28" s="49" t="s">
        <v>65</v>
      </c>
      <c r="G28" s="49" t="s">
        <v>270</v>
      </c>
      <c r="H28" s="49"/>
      <c r="I28" s="49" t="s">
        <v>271</v>
      </c>
      <c r="J28" s="49"/>
      <c r="K28" s="49"/>
      <c r="L28" s="49"/>
      <c r="M28" s="49"/>
      <c r="N28" s="49"/>
      <c r="O28" s="49"/>
      <c r="P28" s="49" t="s">
        <v>271</v>
      </c>
      <c r="Q28" s="49"/>
      <c r="R28" s="49"/>
      <c r="S28" s="49"/>
      <c r="T28" s="49"/>
      <c r="U28" s="49"/>
      <c r="V28" s="50" t="s">
        <v>125</v>
      </c>
      <c r="W28" s="50" t="s">
        <v>126</v>
      </c>
      <c r="X28" s="48" t="s">
        <v>68</v>
      </c>
      <c r="Y28" s="48" t="s">
        <v>241</v>
      </c>
      <c r="Z28" s="48"/>
      <c r="AA28" s="49" t="str">
        <f>"[" &amp; _xlfn.TEXTJOIN(", ", TRUE,
    IF(I28&lt;&gt;"", """" &amp; I$1 &amp; """", ""),
    IF(J28&lt;&gt;"", """" &amp; J$1 &amp; """", ""),
    IF(K28&lt;&gt;"", """" &amp; K$1 &amp; """", ""),
    IF(L28&lt;&gt;"", """" &amp; L$1 &amp; """", ""),
    IF(M28&lt;&gt;"", """" &amp; M$1 &amp; """", ""),    IF(N28&lt;&gt;"", """" &amp; N$1 &amp; """", ""),    IF(O28&lt;&gt;"", """" &amp; O$1 &amp; """", ""),     IF(P28&lt;&gt;"", """" &amp; P$1 &amp; """", ""),     IF(Q28&lt;&gt;"", """" &amp; Q$1 &amp; """", ""), IF(R28&lt;&gt;"", """" &amp; R$1 &amp; """", ""), IF(S28&lt;&gt;"", """" &amp; S$1 &amp; """", ""), IF(T28&lt;&gt;"", """" &amp; T$1 &amp; """", ""), IF(U28&lt;&gt;"", """" &amp; U$1 &amp; """", ""),
    IF(X28&lt;&gt;"", """" &amp; X28 &amp; """", ""), IF(V28&lt;&gt;"", """" &amp; V28 &amp; """", ""), IF(W28&lt;&gt;"", """" &amp; W28 &amp; """", ""),
    IF(Y28&lt;&gt;"", """" &amp; Y28 &amp; """", ""),
    IF(Z28&lt;&gt;"", """" &amp; Z28 &amp; """", "")
) &amp; "]"</f>
        <v>["ENA", "ENA ERC32", "Sample", "ENA Sample", "VJDB Sample", "Clinical "]</v>
      </c>
      <c r="AB28" s="49"/>
      <c r="AC28" s="48"/>
      <c r="AD28" s="49" t="s">
        <v>118</v>
      </c>
      <c r="AE28" s="49" t="s">
        <v>82</v>
      </c>
      <c r="AF28" s="49"/>
      <c r="AG28" s="49"/>
      <c r="AH28" s="49"/>
      <c r="AI28" s="49"/>
      <c r="AJ28" s="49"/>
      <c r="AK28" s="49"/>
      <c r="AL28" s="49"/>
      <c r="AM28" s="49"/>
      <c r="AN28" s="49"/>
      <c r="AO28" s="49"/>
      <c r="AP28" s="49" t="s">
        <v>272</v>
      </c>
      <c r="AQ28" s="49"/>
      <c r="AR28" s="49"/>
      <c r="AS28" s="49"/>
      <c r="AT28" s="49"/>
      <c r="AU28" s="49"/>
      <c r="AV28" s="49" t="s">
        <v>130</v>
      </c>
      <c r="AW28" s="49" t="s">
        <v>130</v>
      </c>
      <c r="AX28" s="54" t="s">
        <v>273</v>
      </c>
      <c r="AY28" s="49" t="s">
        <v>274</v>
      </c>
      <c r="AZ28" s="48" t="s">
        <v>182</v>
      </c>
      <c r="BA28" s="48" t="s">
        <v>119</v>
      </c>
      <c r="BB28" s="49"/>
      <c r="BC28" s="49" t="s">
        <v>73</v>
      </c>
      <c r="BD28" s="49" t="s">
        <v>74</v>
      </c>
      <c r="BE28" s="49"/>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c r="DB28" s="45"/>
      <c r="DC28" s="45"/>
      <c r="DD28" s="45"/>
      <c r="DE28" s="45"/>
      <c r="DF28" s="45"/>
      <c r="DG28" s="45"/>
      <c r="DH28" s="45"/>
      <c r="DI28" s="45"/>
      <c r="DJ28" s="45"/>
      <c r="DK28" s="45"/>
      <c r="DL28" s="45"/>
      <c r="DM28" s="45"/>
      <c r="DN28" s="45"/>
      <c r="DO28" s="45"/>
      <c r="DP28" s="45"/>
      <c r="DQ28" s="45"/>
      <c r="DR28" s="45"/>
      <c r="DS28" s="45"/>
      <c r="DT28" s="45"/>
      <c r="DU28" s="45"/>
      <c r="DV28" s="45"/>
      <c r="DW28" s="45"/>
      <c r="DX28" s="45"/>
      <c r="DY28" s="45"/>
      <c r="DZ28" s="45"/>
      <c r="EA28" s="45"/>
      <c r="EB28" s="45"/>
      <c r="EC28" s="45"/>
      <c r="ED28" s="45"/>
      <c r="EE28" s="45"/>
      <c r="EF28" s="45"/>
      <c r="EG28" s="45"/>
      <c r="EH28" s="45"/>
      <c r="EI28" s="45"/>
      <c r="EJ28" s="45"/>
      <c r="EK28" s="45"/>
      <c r="EL28" s="45"/>
      <c r="EM28" s="45"/>
      <c r="EN28" s="45"/>
      <c r="EO28" s="45"/>
      <c r="EP28" s="45"/>
      <c r="EQ28" s="45"/>
      <c r="ER28" s="45"/>
      <c r="ES28" s="45"/>
      <c r="ET28" s="45"/>
      <c r="EU28" s="45"/>
      <c r="EV28" s="45"/>
      <c r="EW28" s="45"/>
      <c r="EX28" s="45"/>
      <c r="EY28" s="45"/>
      <c r="EZ28" s="45"/>
      <c r="FA28" s="45"/>
      <c r="FB28" s="45"/>
      <c r="FC28" s="45"/>
      <c r="FD28" s="45"/>
      <c r="FE28" s="45"/>
      <c r="FF28" s="45"/>
      <c r="FG28" s="45"/>
      <c r="FH28" s="45"/>
      <c r="FI28" s="45"/>
      <c r="FJ28" s="45"/>
      <c r="FK28" s="45"/>
      <c r="FL28" s="45"/>
      <c r="FM28" s="45"/>
      <c r="FN28" s="45"/>
      <c r="FO28" s="45"/>
      <c r="FP28" s="45"/>
      <c r="FQ28" s="45"/>
      <c r="FR28" s="45"/>
      <c r="FS28" s="45"/>
      <c r="FT28" s="45"/>
      <c r="FU28" s="45"/>
      <c r="FV28" s="45"/>
      <c r="FW28" s="45"/>
      <c r="FX28" s="45"/>
      <c r="FY28" s="45"/>
      <c r="FZ28" s="45"/>
      <c r="GA28" s="45"/>
      <c r="GB28" s="45"/>
      <c r="GC28" s="45"/>
    </row>
    <row r="29" spans="1:185" s="46" customFormat="1" ht="34.5" customHeight="1">
      <c r="A29" s="98" t="s">
        <v>275</v>
      </c>
      <c r="B29" s="50" t="str">
        <f>LOWER(
  IF(
    RIGHT(
      SUBSTITUTE(SUBSTITUTE(SUBSTITUTE(SUBSTITUTE(SUBSTITUTE(SUBSTITUTE(SUBSTITUTE(C29,"(","_"),")","_"),"/","_"),":","_"),"-","_")," ","_"),"__","_"),
      1
    )="_",
    LEFT(
      SUBSTITUTE(SUBSTITUTE(SUBSTITUTE(SUBSTITUTE(SUBSTITUTE(SUBSTITUTE(SUBSTITUTE(C29,"(","_"),")","_"),"/","_"),":","_"),"-","_")," ","_"),"__","_"),
      LEN(
        SUBSTITUTE(SUBSTITUTE(SUBSTITUTE(SUBSTITUTE(SUBSTITUTE(SUBSTITUTE(SUBSTITUTE(C29,"(","_"),")","_"),"/","_"),":","_"),"-","_")," ","_"),"__","_")
      )-1
    ),
    SUBSTITUTE(SUBSTITUTE(SUBSTITUTE(SUBSTITUTE(SUBSTITUTE(SUBSTITUTE(SUBSTITUTE(C29,"(","_"),")","_"),"/","_"),":","_"),"-","_")," ","_"),"__","_")
  )
)</f>
        <v>other_pathogens_tested</v>
      </c>
      <c r="C29" s="48" t="s">
        <v>276</v>
      </c>
      <c r="D29" s="50" t="s">
        <v>277</v>
      </c>
      <c r="E29" s="49" t="s">
        <v>98</v>
      </c>
      <c r="F29" s="49" t="s">
        <v>65</v>
      </c>
      <c r="G29" s="49" t="s">
        <v>278</v>
      </c>
      <c r="H29" s="49"/>
      <c r="I29" s="49" t="s">
        <v>279</v>
      </c>
      <c r="J29" s="49"/>
      <c r="K29" s="49"/>
      <c r="L29" s="49"/>
      <c r="M29" s="49"/>
      <c r="N29" s="49"/>
      <c r="O29" s="49"/>
      <c r="P29" s="49" t="s">
        <v>279</v>
      </c>
      <c r="Q29" s="49"/>
      <c r="R29" s="49"/>
      <c r="S29" s="49"/>
      <c r="T29" s="49"/>
      <c r="U29" s="49"/>
      <c r="V29" s="50" t="s">
        <v>125</v>
      </c>
      <c r="W29" s="50" t="s">
        <v>126</v>
      </c>
      <c r="X29" s="48" t="s">
        <v>68</v>
      </c>
      <c r="Y29" s="48" t="s">
        <v>241</v>
      </c>
      <c r="Z29" s="48"/>
      <c r="AA29" s="49" t="str">
        <f>"[" &amp; _xlfn.TEXTJOIN(", ", TRUE,
    IF(I29&lt;&gt;"", """" &amp; I$1 &amp; """", ""),
    IF(J29&lt;&gt;"", """" &amp; J$1 &amp; """", ""),
    IF(K29&lt;&gt;"", """" &amp; K$1 &amp; """", ""),
    IF(L29&lt;&gt;"", """" &amp; L$1 &amp; """", ""),
    IF(M29&lt;&gt;"", """" &amp; M$1 &amp; """", ""),    IF(N29&lt;&gt;"", """" &amp; N$1 &amp; """", ""),    IF(O29&lt;&gt;"", """" &amp; O$1 &amp; """", ""),     IF(P29&lt;&gt;"", """" &amp; P$1 &amp; """", ""),     IF(Q29&lt;&gt;"", """" &amp; Q$1 &amp; """", ""), IF(R29&lt;&gt;"", """" &amp; R$1 &amp; """", ""), IF(S29&lt;&gt;"", """" &amp; S$1 &amp; """", ""), IF(T29&lt;&gt;"", """" &amp; T$1 &amp; """", ""), IF(U29&lt;&gt;"", """" &amp; U$1 &amp; """", ""),
    IF(X29&lt;&gt;"", """" &amp; X29 &amp; """", ""), IF(V29&lt;&gt;"", """" &amp; V29 &amp; """", ""), IF(W29&lt;&gt;"", """" &amp; W29 &amp; """", ""),
    IF(Y29&lt;&gt;"", """" &amp; Y29 &amp; """", ""),
    IF(Z29&lt;&gt;"", """" &amp; Z29 &amp; """", "")
) &amp; "]"</f>
        <v>["ENA", "ENA ERC32", "Sample", "ENA Sample", "VJDB Sample", "Clinical "]</v>
      </c>
      <c r="AB29" s="49"/>
      <c r="AC29" s="48"/>
      <c r="AD29" s="49" t="s">
        <v>118</v>
      </c>
      <c r="AE29" s="49" t="s">
        <v>82</v>
      </c>
      <c r="AF29" s="49"/>
      <c r="AG29" s="49"/>
      <c r="AH29" s="49"/>
      <c r="AI29" s="49"/>
      <c r="AJ29" s="49"/>
      <c r="AK29" s="49"/>
      <c r="AL29" s="49"/>
      <c r="AM29" s="49"/>
      <c r="AN29" s="49"/>
      <c r="AO29" s="49"/>
      <c r="AP29" s="49" t="s">
        <v>280</v>
      </c>
      <c r="AQ29" s="49"/>
      <c r="AR29" s="49"/>
      <c r="AS29" s="49"/>
      <c r="AT29" s="49"/>
      <c r="AU29" s="49"/>
      <c r="AV29" s="49" t="s">
        <v>130</v>
      </c>
      <c r="AW29" s="49" t="s">
        <v>130</v>
      </c>
      <c r="AX29" s="54" t="s">
        <v>281</v>
      </c>
      <c r="AY29" s="49" t="s">
        <v>282</v>
      </c>
      <c r="AZ29" s="48" t="s">
        <v>182</v>
      </c>
      <c r="BA29" s="48" t="s">
        <v>119</v>
      </c>
      <c r="BB29" s="49"/>
      <c r="BC29" s="49" t="s">
        <v>73</v>
      </c>
      <c r="BD29" s="49" t="s">
        <v>108</v>
      </c>
      <c r="BE29" s="49"/>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M29" s="45"/>
      <c r="CN29" s="45"/>
      <c r="CO29" s="45"/>
      <c r="CP29" s="45"/>
      <c r="CQ29" s="45"/>
      <c r="CR29" s="45"/>
      <c r="CS29" s="45"/>
      <c r="CT29" s="45"/>
      <c r="CU29" s="45"/>
      <c r="CV29" s="45"/>
      <c r="CW29" s="45"/>
      <c r="CX29" s="45"/>
      <c r="CY29" s="45"/>
      <c r="CZ29" s="45"/>
      <c r="DA29" s="45"/>
      <c r="DB29" s="45"/>
      <c r="DC29" s="45"/>
      <c r="DD29" s="45"/>
      <c r="DE29" s="45"/>
      <c r="DF29" s="45"/>
      <c r="DG29" s="45"/>
      <c r="DH29" s="45"/>
      <c r="DI29" s="45"/>
      <c r="DJ29" s="45"/>
      <c r="DK29" s="45"/>
      <c r="DL29" s="45"/>
      <c r="DM29" s="45"/>
      <c r="DN29" s="45"/>
      <c r="DO29" s="45"/>
      <c r="DP29" s="45"/>
      <c r="DQ29" s="45"/>
      <c r="DR29" s="45"/>
      <c r="DS29" s="45"/>
      <c r="DT29" s="45"/>
      <c r="DU29" s="45"/>
      <c r="DV29" s="45"/>
      <c r="DW29" s="45"/>
      <c r="DX29" s="45"/>
      <c r="DY29" s="45"/>
      <c r="DZ29" s="45"/>
      <c r="EA29" s="45"/>
      <c r="EB29" s="45"/>
      <c r="EC29" s="45"/>
      <c r="ED29" s="45"/>
      <c r="EE29" s="45"/>
      <c r="EF29" s="45"/>
      <c r="EG29" s="45"/>
      <c r="EH29" s="45"/>
      <c r="EI29" s="45"/>
      <c r="EJ29" s="45"/>
      <c r="EK29" s="45"/>
      <c r="EL29" s="45"/>
      <c r="EM29" s="45"/>
      <c r="EN29" s="45"/>
      <c r="EO29" s="45"/>
      <c r="EP29" s="45"/>
      <c r="EQ29" s="45"/>
      <c r="ER29" s="45"/>
      <c r="ES29" s="45"/>
      <c r="ET29" s="45"/>
      <c r="EU29" s="45"/>
      <c r="EV29" s="45"/>
      <c r="EW29" s="45"/>
      <c r="EX29" s="45"/>
      <c r="EY29" s="45"/>
      <c r="EZ29" s="45"/>
      <c r="FA29" s="45"/>
      <c r="FB29" s="45"/>
      <c r="FC29" s="45"/>
      <c r="FD29" s="45"/>
      <c r="FE29" s="45"/>
      <c r="FF29" s="45"/>
      <c r="FG29" s="45"/>
      <c r="FH29" s="45"/>
      <c r="FI29" s="45"/>
      <c r="FJ29" s="45"/>
      <c r="FK29" s="45"/>
      <c r="FL29" s="45"/>
      <c r="FM29" s="45"/>
      <c r="FN29" s="45"/>
      <c r="FO29" s="45"/>
      <c r="FP29" s="45"/>
      <c r="FQ29" s="45"/>
      <c r="FR29" s="45"/>
      <c r="FS29" s="45"/>
      <c r="FT29" s="45"/>
      <c r="FU29" s="45"/>
      <c r="FV29" s="45"/>
      <c r="FW29" s="45"/>
      <c r="FX29" s="45"/>
      <c r="FY29" s="45"/>
      <c r="FZ29" s="45"/>
      <c r="GA29" s="45"/>
      <c r="GB29" s="45"/>
      <c r="GC29" s="45"/>
    </row>
    <row r="30" spans="1:185" s="46" customFormat="1" ht="34.5" customHeight="1">
      <c r="A30" s="98" t="s">
        <v>283</v>
      </c>
      <c r="B30" s="50" t="str">
        <f>LOWER(
  IF(
    RIGHT(
      SUBSTITUTE(SUBSTITUTE(SUBSTITUTE(SUBSTITUTE(SUBSTITUTE(SUBSTITUTE(SUBSTITUTE(C30,"(","_"),")","_"),"/","_"),":","_"),"-","_")," ","_"),"__","_"),
      1
    )="_",
    LEFT(
      SUBSTITUTE(SUBSTITUTE(SUBSTITUTE(SUBSTITUTE(SUBSTITUTE(SUBSTITUTE(SUBSTITUTE(C30,"(","_"),")","_"),"/","_"),":","_"),"-","_")," ","_"),"__","_"),
      LEN(
        SUBSTITUTE(SUBSTITUTE(SUBSTITUTE(SUBSTITUTE(SUBSTITUTE(SUBSTITUTE(SUBSTITUTE(C30,"(","_"),")","_"),"/","_"),":","_"),"-","_")," ","_"),"__","_")
      )-1
    ),
    SUBSTITUTE(SUBSTITUTE(SUBSTITUTE(SUBSTITUTE(SUBSTITUTE(SUBSTITUTE(SUBSTITUTE(C30,"(","_"),")","_"),"/","_"),":","_"),"-","_")," ","_"),"__","_")
  )
)</f>
        <v>pangolin_version</v>
      </c>
      <c r="C30" s="48" t="s">
        <v>284</v>
      </c>
      <c r="D30" s="50" t="s">
        <v>285</v>
      </c>
      <c r="E30" s="49" t="s">
        <v>98</v>
      </c>
      <c r="F30" s="49" t="s">
        <v>65</v>
      </c>
      <c r="G30" s="49" t="s">
        <v>286</v>
      </c>
      <c r="H30" s="49"/>
      <c r="I30" s="49"/>
      <c r="J30" s="49" t="s">
        <v>287</v>
      </c>
      <c r="K30" s="49"/>
      <c r="L30" s="49"/>
      <c r="M30" s="49"/>
      <c r="N30" s="49"/>
      <c r="O30" s="49"/>
      <c r="P30" s="49"/>
      <c r="Q30" s="49"/>
      <c r="R30" s="49"/>
      <c r="S30" s="49"/>
      <c r="T30" s="49"/>
      <c r="U30" s="49"/>
      <c r="V30" s="50"/>
      <c r="W30" s="50"/>
      <c r="X30" s="48" t="s">
        <v>288</v>
      </c>
      <c r="Y30" s="48"/>
      <c r="Z30" s="48" t="s">
        <v>93</v>
      </c>
      <c r="AA30" s="49" t="str">
        <f>"[" &amp; _xlfn.TEXTJOIN(", ", TRUE,
    IF(I30&lt;&gt;"", """" &amp; I$1 &amp; """", ""),
    IF(J30&lt;&gt;"", """" &amp; J$1 &amp; """", ""),
    IF(K30&lt;&gt;"", """" &amp; K$1 &amp; """", ""),
    IF(L30&lt;&gt;"", """" &amp; L$1 &amp; """", ""),
    IF(M30&lt;&gt;"", """" &amp; M$1 &amp; """", ""),    IF(N30&lt;&gt;"", """" &amp; N$1 &amp; """", ""),    IF(O30&lt;&gt;"", """" &amp; O$1 &amp; """", ""),     IF(P30&lt;&gt;"", """" &amp; P$1 &amp; """", ""),     IF(Q30&lt;&gt;"", """" &amp; Q$1 &amp; """", ""), IF(R30&lt;&gt;"", """" &amp; R$1 &amp; """", ""), IF(S30&lt;&gt;"", """" &amp; S$1 &amp; """", ""), IF(T30&lt;&gt;"", """" &amp; T$1 &amp; """", ""), IF(U30&lt;&gt;"", """" &amp; U$1 &amp; """", ""),
    IF(X30&lt;&gt;"", """" &amp; X30 &amp; """", ""), IF(V30&lt;&gt;"", """" &amp; V30 &amp; """", ""), IF(W30&lt;&gt;"", """" &amp; W30 &amp; """", ""),
    IF(Y30&lt;&gt;"", """" &amp; Y30 &amp; """", ""),
    IF(Z30&lt;&gt;"", """" &amp; Z30 &amp; """", "")
) &amp; "]"</f>
        <v>["RKI", "Analysis", "Workflows"]</v>
      </c>
      <c r="AB30" s="49"/>
      <c r="AC30" s="48"/>
      <c r="AD30" s="49" t="s">
        <v>118</v>
      </c>
      <c r="AE30" s="49" t="s">
        <v>82</v>
      </c>
      <c r="AF30" s="49"/>
      <c r="AG30" s="49"/>
      <c r="AH30" s="49"/>
      <c r="AI30" s="49"/>
      <c r="AJ30" s="49"/>
      <c r="AK30" s="49"/>
      <c r="AL30" s="49"/>
      <c r="AM30" s="49"/>
      <c r="AN30" s="49"/>
      <c r="AO30" s="49"/>
      <c r="AP30" s="49"/>
      <c r="AQ30" s="49"/>
      <c r="AR30" s="49"/>
      <c r="AS30" s="49"/>
      <c r="AT30" s="49"/>
      <c r="AU30" s="49"/>
      <c r="AV30" s="49"/>
      <c r="AW30" s="49"/>
      <c r="AX30" s="54"/>
      <c r="AY30" s="49"/>
      <c r="AZ30" s="48" t="s">
        <v>182</v>
      </c>
      <c r="BA30" s="48" t="s">
        <v>72</v>
      </c>
      <c r="BB30" s="49"/>
      <c r="BC30" s="49" t="s">
        <v>73</v>
      </c>
      <c r="BD30" s="49" t="s">
        <v>108</v>
      </c>
      <c r="BE30" s="49"/>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c r="DJ30" s="45"/>
      <c r="DK30" s="45"/>
      <c r="DL30" s="45"/>
      <c r="DM30" s="45"/>
      <c r="DN30" s="45"/>
      <c r="DO30" s="45"/>
      <c r="DP30" s="45"/>
      <c r="DQ30" s="45"/>
      <c r="DR30" s="45"/>
      <c r="DS30" s="45"/>
      <c r="DT30" s="45"/>
      <c r="DU30" s="45"/>
      <c r="DV30" s="45"/>
      <c r="DW30" s="45"/>
      <c r="DX30" s="45"/>
      <c r="DY30" s="45"/>
      <c r="DZ30" s="45"/>
      <c r="EA30" s="45"/>
      <c r="EB30" s="45"/>
      <c r="EC30" s="45"/>
      <c r="ED30" s="45"/>
      <c r="EE30" s="45"/>
      <c r="EF30" s="45"/>
      <c r="EG30" s="45"/>
      <c r="EH30" s="45"/>
      <c r="EI30" s="45"/>
      <c r="EJ30" s="45"/>
      <c r="EK30" s="45"/>
      <c r="EL30" s="45"/>
      <c r="EM30" s="45"/>
      <c r="EN30" s="45"/>
      <c r="EO30" s="45"/>
      <c r="EP30" s="45"/>
      <c r="EQ30" s="45"/>
      <c r="ER30" s="45"/>
      <c r="ES30" s="45"/>
      <c r="ET30" s="45"/>
      <c r="EU30" s="45"/>
      <c r="EV30" s="45"/>
      <c r="EW30" s="45"/>
      <c r="EX30" s="45"/>
      <c r="EY30" s="45"/>
      <c r="EZ30" s="45"/>
      <c r="FA30" s="45"/>
      <c r="FB30" s="45"/>
      <c r="FC30" s="45"/>
      <c r="FD30" s="45"/>
      <c r="FE30" s="45"/>
      <c r="FF30" s="45"/>
      <c r="FG30" s="45"/>
      <c r="FH30" s="45"/>
      <c r="FI30" s="45"/>
      <c r="FJ30" s="45"/>
      <c r="FK30" s="45"/>
      <c r="FL30" s="45"/>
      <c r="FM30" s="45"/>
      <c r="FN30" s="45"/>
      <c r="FO30" s="45"/>
      <c r="FP30" s="45"/>
      <c r="FQ30" s="45"/>
      <c r="FR30" s="45"/>
      <c r="FS30" s="45"/>
      <c r="FT30" s="45"/>
      <c r="FU30" s="45"/>
      <c r="FV30" s="45"/>
      <c r="FW30" s="45"/>
      <c r="FX30" s="45"/>
      <c r="FY30" s="45"/>
      <c r="FZ30" s="45"/>
      <c r="GA30" s="45"/>
      <c r="GB30" s="45"/>
      <c r="GC30" s="45"/>
    </row>
    <row r="31" spans="1:185" s="46" customFormat="1" ht="34.5" customHeight="1">
      <c r="A31" s="98" t="s">
        <v>289</v>
      </c>
      <c r="B31" s="50" t="str">
        <f>LOWER(
  IF(
    RIGHT(
      SUBSTITUTE(SUBSTITUTE(SUBSTITUTE(SUBSTITUTE(SUBSTITUTE(SUBSTITUTE(SUBSTITUTE(C31,"(","_"),")","_"),"/","_"),":","_"),"-","_")," ","_"),"__","_"),
      1
    )="_",
    LEFT(
      SUBSTITUTE(SUBSTITUTE(SUBSTITUTE(SUBSTITUTE(SUBSTITUTE(SUBSTITUTE(SUBSTITUTE(C31,"(","_"),")","_"),"/","_"),":","_"),"-","_")," ","_"),"__","_"),
      LEN(
        SUBSTITUTE(SUBSTITUTE(SUBSTITUTE(SUBSTITUTE(SUBSTITUTE(SUBSTITUTE(SUBSTITUTE(C31,"(","_"),")","_"),"/","_"),":","_"),"-","_")," ","_"),"__","_")
      )-1
    ),
    SUBSTITUTE(SUBSTITUTE(SUBSTITUTE(SUBSTITUTE(SUBSTITUTE(SUBSTITUTE(SUBSTITUTE(C31,"(","_"),")","_"),"/","_"),":","_"),"-","_")," ","_"),"__","_")
  )
)</f>
        <v>receipt_date</v>
      </c>
      <c r="C31" s="48" t="s">
        <v>290</v>
      </c>
      <c r="D31" s="50" t="s">
        <v>291</v>
      </c>
      <c r="E31" s="49" t="s">
        <v>292</v>
      </c>
      <c r="F31" s="49" t="s">
        <v>65</v>
      </c>
      <c r="G31" s="49" t="s">
        <v>293</v>
      </c>
      <c r="H31" s="49"/>
      <c r="I31" s="49" t="s">
        <v>294</v>
      </c>
      <c r="J31" s="49"/>
      <c r="K31" s="49"/>
      <c r="L31" s="49"/>
      <c r="M31" s="49"/>
      <c r="N31" s="49"/>
      <c r="O31" s="49"/>
      <c r="P31" s="49" t="s">
        <v>294</v>
      </c>
      <c r="Q31" s="49" t="s">
        <v>294</v>
      </c>
      <c r="R31" s="49"/>
      <c r="S31" s="49"/>
      <c r="T31" s="49"/>
      <c r="U31" s="49"/>
      <c r="V31" s="50" t="s">
        <v>125</v>
      </c>
      <c r="W31" s="50" t="s">
        <v>126</v>
      </c>
      <c r="X31" s="48" t="s">
        <v>68</v>
      </c>
      <c r="Y31" s="48" t="s">
        <v>241</v>
      </c>
      <c r="Z31" s="48"/>
      <c r="AA31" s="49" t="str">
        <f>"[" &amp; _xlfn.TEXTJOIN(", ", TRUE,
    IF(I31&lt;&gt;"", """" &amp; I$1 &amp; """", ""),
    IF(J31&lt;&gt;"", """" &amp; J$1 &amp; """", ""),
    IF(K31&lt;&gt;"", """" &amp; K$1 &amp; """", ""),
    IF(L31&lt;&gt;"", """" &amp; L$1 &amp; """", ""),
    IF(M31&lt;&gt;"", """" &amp; M$1 &amp; """", ""),    IF(N31&lt;&gt;"", """" &amp; N$1 &amp; """", ""),    IF(O31&lt;&gt;"", """" &amp; O$1 &amp; """", ""),     IF(P31&lt;&gt;"", """" &amp; P$1 &amp; """", ""),     IF(Q31&lt;&gt;"", """" &amp; Q$1 &amp; """", ""), IF(R31&lt;&gt;"", """" &amp; R$1 &amp; """", ""), IF(S31&lt;&gt;"", """" &amp; S$1 &amp; """", ""), IF(T31&lt;&gt;"", """" &amp; T$1 &amp; """", ""), IF(U31&lt;&gt;"", """" &amp; U$1 &amp; """", ""),
    IF(X31&lt;&gt;"", """" &amp; X31 &amp; """", ""), IF(V31&lt;&gt;"", """" &amp; V31 &amp; """", ""), IF(W31&lt;&gt;"", """" &amp; W31 &amp; """", ""),
    IF(Y31&lt;&gt;"", """" &amp; Y31 &amp; """", ""),
    IF(Z31&lt;&gt;"", """" &amp; Z31 &amp; """", "")
) &amp; "]"</f>
        <v>["ENA", "ENA ERC32", "ENA ERC33", "Sample", "ENA Sample", "VJDB Sample", "Clinical "]</v>
      </c>
      <c r="AB31" s="49"/>
      <c r="AC31" s="48"/>
      <c r="AD31" s="49" t="s">
        <v>118</v>
      </c>
      <c r="AE31" s="49" t="s">
        <v>82</v>
      </c>
      <c r="AF31" s="49"/>
      <c r="AG31" s="49"/>
      <c r="AH31" s="49"/>
      <c r="AI31" s="49"/>
      <c r="AJ31" s="49"/>
      <c r="AK31" s="49"/>
      <c r="AL31" s="49"/>
      <c r="AM31" s="49"/>
      <c r="AN31" s="49"/>
      <c r="AO31" s="49"/>
      <c r="AP31" s="49" t="s">
        <v>295</v>
      </c>
      <c r="AQ31" s="49"/>
      <c r="AR31" s="49"/>
      <c r="AS31" s="49" t="s">
        <v>295</v>
      </c>
      <c r="AT31" s="49"/>
      <c r="AU31" s="49" t="s">
        <v>151</v>
      </c>
      <c r="AV31" s="49" t="s">
        <v>86</v>
      </c>
      <c r="AW31" s="49" t="s">
        <v>86</v>
      </c>
      <c r="AX31" s="54" t="s">
        <v>296</v>
      </c>
      <c r="AY31" s="49" t="s">
        <v>297</v>
      </c>
      <c r="AZ31" s="48" t="s">
        <v>292</v>
      </c>
      <c r="BA31" s="48" t="s">
        <v>72</v>
      </c>
      <c r="BB31" s="49"/>
      <c r="BC31" s="49" t="s">
        <v>73</v>
      </c>
      <c r="BD31" s="49" t="s">
        <v>94</v>
      </c>
      <c r="BE31" s="49"/>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c r="CO31" s="45"/>
      <c r="CP31" s="45"/>
      <c r="CQ31" s="45"/>
      <c r="CR31" s="45"/>
      <c r="CS31" s="45"/>
      <c r="CT31" s="45"/>
      <c r="CU31" s="45"/>
      <c r="CV31" s="45"/>
      <c r="CW31" s="45"/>
      <c r="CX31" s="45"/>
      <c r="CY31" s="45"/>
      <c r="CZ31" s="45"/>
      <c r="DA31" s="45"/>
      <c r="DB31" s="45"/>
      <c r="DC31" s="45"/>
      <c r="DD31" s="45"/>
      <c r="DE31" s="45"/>
      <c r="DF31" s="45"/>
      <c r="DG31" s="45"/>
      <c r="DH31" s="45"/>
      <c r="DI31" s="45"/>
      <c r="DJ31" s="45"/>
      <c r="DK31" s="45"/>
      <c r="DL31" s="45"/>
      <c r="DM31" s="45"/>
      <c r="DN31" s="45"/>
      <c r="DO31" s="45"/>
      <c r="DP31" s="45"/>
      <c r="DQ31" s="45"/>
      <c r="DR31" s="45"/>
      <c r="DS31" s="45"/>
      <c r="DT31" s="45"/>
      <c r="DU31" s="45"/>
      <c r="DV31" s="45"/>
      <c r="DW31" s="45"/>
      <c r="DX31" s="45"/>
      <c r="DY31" s="45"/>
      <c r="DZ31" s="45"/>
      <c r="EA31" s="45"/>
      <c r="EB31" s="45"/>
      <c r="EC31" s="45"/>
      <c r="ED31" s="45"/>
      <c r="EE31" s="45"/>
      <c r="EF31" s="45"/>
      <c r="EG31" s="45"/>
      <c r="EH31" s="45"/>
      <c r="EI31" s="45"/>
      <c r="EJ31" s="45"/>
      <c r="EK31" s="45"/>
      <c r="EL31" s="45"/>
      <c r="EM31" s="45"/>
      <c r="EN31" s="45"/>
      <c r="EO31" s="45"/>
      <c r="EP31" s="45"/>
      <c r="EQ31" s="45"/>
      <c r="ER31" s="45"/>
      <c r="ES31" s="45"/>
      <c r="ET31" s="45"/>
      <c r="EU31" s="45"/>
      <c r="EV31" s="45"/>
      <c r="EW31" s="45"/>
      <c r="EX31" s="45"/>
      <c r="EY31" s="45"/>
      <c r="EZ31" s="45"/>
      <c r="FA31" s="45"/>
      <c r="FB31" s="45"/>
      <c r="FC31" s="45"/>
      <c r="FD31" s="45"/>
      <c r="FE31" s="45"/>
      <c r="FF31" s="45"/>
      <c r="FG31" s="45"/>
      <c r="FH31" s="45"/>
      <c r="FI31" s="45"/>
      <c r="FJ31" s="45"/>
      <c r="FK31" s="45"/>
      <c r="FL31" s="45"/>
      <c r="FM31" s="45"/>
      <c r="FN31" s="45"/>
      <c r="FO31" s="45"/>
      <c r="FP31" s="45"/>
      <c r="FQ31" s="45"/>
      <c r="FR31" s="45"/>
      <c r="FS31" s="45"/>
      <c r="FT31" s="45"/>
      <c r="FU31" s="45"/>
      <c r="FV31" s="45"/>
      <c r="FW31" s="45"/>
      <c r="FX31" s="45"/>
      <c r="FY31" s="45"/>
      <c r="FZ31" s="45"/>
      <c r="GA31" s="45"/>
      <c r="GB31" s="45"/>
      <c r="GC31" s="45"/>
    </row>
    <row r="32" spans="1:185" s="46" customFormat="1" ht="34.5" customHeight="1">
      <c r="A32" s="98" t="s">
        <v>298</v>
      </c>
      <c r="B32" s="50" t="str">
        <f>LOWER(
  IF(
    RIGHT(
      SUBSTITUTE(SUBSTITUTE(SUBSTITUTE(SUBSTITUTE(SUBSTITUTE(SUBSTITUTE(SUBSTITUTE(C32,"(","_"),")","_"),"/","_"),":","_"),"-","_")," ","_"),"__","_"),
      1
    )="_",
    LEFT(
      SUBSTITUTE(SUBSTITUTE(SUBSTITUTE(SUBSTITUTE(SUBSTITUTE(SUBSTITUTE(SUBSTITUTE(C32,"(","_"),")","_"),"/","_"),":","_"),"-","_")," ","_"),"__","_"),
      LEN(
        SUBSTITUTE(SUBSTITUTE(SUBSTITUTE(SUBSTITUTE(SUBSTITUTE(SUBSTITUTE(SUBSTITUTE(C32,"(","_"),")","_"),"/","_"),":","_"),"-","_")," ","_"),"__","_")
      )-1
    ),
    SUBSTITUTE(SUBSTITUTE(SUBSTITUTE(SUBSTITUTE(SUBSTITUTE(SUBSTITUTE(SUBSTITUTE(C32,"(","_"),")","_"),"/","_"),":","_"),"-","_")," ","_"),"__","_")
  )
)</f>
        <v>rki_accession</v>
      </c>
      <c r="C32" s="48" t="s">
        <v>299</v>
      </c>
      <c r="D32" s="50" t="s">
        <v>300</v>
      </c>
      <c r="E32" s="49" t="s">
        <v>98</v>
      </c>
      <c r="F32" s="49" t="s">
        <v>65</v>
      </c>
      <c r="G32" s="49" t="s">
        <v>301</v>
      </c>
      <c r="H32" s="49"/>
      <c r="I32" s="49"/>
      <c r="J32" s="49" t="s">
        <v>302</v>
      </c>
      <c r="K32" s="49"/>
      <c r="L32" s="49"/>
      <c r="M32" s="49"/>
      <c r="N32" s="49"/>
      <c r="O32" s="49"/>
      <c r="P32" s="49"/>
      <c r="Q32" s="49"/>
      <c r="R32" s="49"/>
      <c r="S32" s="49"/>
      <c r="T32" s="49"/>
      <c r="U32" s="49"/>
      <c r="V32" s="50"/>
      <c r="W32" s="50"/>
      <c r="X32" s="48" t="s">
        <v>116</v>
      </c>
      <c r="Y32" s="48" t="s">
        <v>117</v>
      </c>
      <c r="Z32" s="48"/>
      <c r="AA32" s="49" t="str">
        <f>"[" &amp; _xlfn.TEXTJOIN(", ", TRUE,
    IF(I32&lt;&gt;"", """" &amp; I$1 &amp; """", ""),
    IF(J32&lt;&gt;"", """" &amp; J$1 &amp; """", ""),
    IF(K32&lt;&gt;"", """" &amp; K$1 &amp; """", ""),
    IF(L32&lt;&gt;"", """" &amp; L$1 &amp; """", ""),
    IF(M32&lt;&gt;"", """" &amp; M$1 &amp; """", ""),    IF(N32&lt;&gt;"", """" &amp; N$1 &amp; """", ""),    IF(O32&lt;&gt;"", """" &amp; O$1 &amp; """", ""),     IF(P32&lt;&gt;"", """" &amp; P$1 &amp; """", ""),     IF(Q32&lt;&gt;"", """" &amp; Q$1 &amp; """", ""), IF(R32&lt;&gt;"", """" &amp; R$1 &amp; """", ""), IF(S32&lt;&gt;"", """" &amp; S$1 &amp; """", ""), IF(T32&lt;&gt;"", """" &amp; T$1 &amp; """", ""), IF(U32&lt;&gt;"", """" &amp; U$1 &amp; """", ""),
    IF(X32&lt;&gt;"", """" &amp; X32 &amp; """", ""), IF(V32&lt;&gt;"", """" &amp; V32 &amp; """", ""), IF(W32&lt;&gt;"", """" &amp; W32 &amp; """", ""),
    IF(Y32&lt;&gt;"", """" &amp; Y32 &amp; """", ""),
    IF(Z32&lt;&gt;"", """" &amp; Z32 &amp; """", "")
) &amp; "]"</f>
        <v>["RKI", "Organizational", "Identifiers"]</v>
      </c>
      <c r="AB32" s="49"/>
      <c r="AC32" s="48" t="s">
        <v>70</v>
      </c>
      <c r="AD32" s="49" t="s">
        <v>168</v>
      </c>
      <c r="AE32" s="49" t="s">
        <v>82</v>
      </c>
      <c r="AF32" s="49"/>
      <c r="AG32" s="49"/>
      <c r="AH32" s="49"/>
      <c r="AI32" s="49"/>
      <c r="AJ32" s="49"/>
      <c r="AK32" s="49"/>
      <c r="AL32" s="49"/>
      <c r="AM32" s="49"/>
      <c r="AN32" s="49"/>
      <c r="AO32" s="49"/>
      <c r="AP32" s="49"/>
      <c r="AQ32" s="49"/>
      <c r="AR32" s="49"/>
      <c r="AS32" s="49"/>
      <c r="AT32" s="49"/>
      <c r="AU32" s="49"/>
      <c r="AV32" s="49"/>
      <c r="AW32" s="49"/>
      <c r="AX32" s="54"/>
      <c r="AY32" s="49"/>
      <c r="AZ32" s="48" t="s">
        <v>64</v>
      </c>
      <c r="BA32" s="48" t="s">
        <v>72</v>
      </c>
      <c r="BB32" s="49"/>
      <c r="BC32" s="49" t="s">
        <v>73</v>
      </c>
      <c r="BD32" s="49" t="s">
        <v>108</v>
      </c>
      <c r="BE32" s="48"/>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5"/>
      <c r="CV32" s="45"/>
      <c r="CW32" s="45"/>
      <c r="CX32" s="45"/>
      <c r="CY32" s="45"/>
      <c r="CZ32" s="45"/>
      <c r="DA32" s="45"/>
      <c r="DB32" s="45"/>
      <c r="DC32" s="45"/>
      <c r="DD32" s="45"/>
      <c r="DE32" s="45"/>
      <c r="DF32" s="45"/>
      <c r="DG32" s="45"/>
      <c r="DH32" s="45"/>
      <c r="DI32" s="45"/>
      <c r="DJ32" s="45"/>
      <c r="DK32" s="45"/>
      <c r="DL32" s="45"/>
      <c r="DM32" s="45"/>
      <c r="DN32" s="45"/>
      <c r="DO32" s="45"/>
      <c r="DP32" s="45"/>
      <c r="DQ32" s="45"/>
      <c r="DR32" s="45"/>
      <c r="DS32" s="45"/>
      <c r="DT32" s="45"/>
      <c r="DU32" s="45"/>
      <c r="DV32" s="45"/>
      <c r="DW32" s="45"/>
      <c r="DX32" s="45"/>
      <c r="DY32" s="45"/>
      <c r="DZ32" s="45"/>
      <c r="EA32" s="45"/>
      <c r="EB32" s="45"/>
      <c r="EC32" s="45"/>
      <c r="ED32" s="45"/>
      <c r="EE32" s="45"/>
      <c r="EF32" s="45"/>
      <c r="EG32" s="45"/>
      <c r="EH32" s="45"/>
      <c r="EI32" s="45"/>
      <c r="EJ32" s="45"/>
      <c r="EK32" s="45"/>
      <c r="EL32" s="45"/>
      <c r="EM32" s="45"/>
      <c r="EN32" s="45"/>
      <c r="EO32" s="45"/>
      <c r="EP32" s="45"/>
      <c r="EQ32" s="45"/>
      <c r="ER32" s="45"/>
      <c r="ES32" s="45"/>
      <c r="ET32" s="45"/>
      <c r="EU32" s="45"/>
      <c r="EV32" s="45"/>
      <c r="EW32" s="45"/>
      <c r="EX32" s="45"/>
      <c r="EY32" s="45"/>
      <c r="EZ32" s="45"/>
      <c r="FA32" s="45"/>
      <c r="FB32" s="45"/>
      <c r="FC32" s="45"/>
      <c r="FD32" s="45"/>
      <c r="FE32" s="45"/>
      <c r="FF32" s="45"/>
      <c r="FG32" s="45"/>
      <c r="FH32" s="45"/>
      <c r="FI32" s="45"/>
      <c r="FJ32" s="45"/>
      <c r="FK32" s="45"/>
      <c r="FL32" s="45"/>
      <c r="FM32" s="45"/>
      <c r="FN32" s="45"/>
      <c r="FO32" s="45"/>
      <c r="FP32" s="45"/>
      <c r="FQ32" s="45"/>
      <c r="FR32" s="45"/>
      <c r="FS32" s="45"/>
      <c r="FT32" s="45"/>
      <c r="FU32" s="45"/>
      <c r="FV32" s="45"/>
      <c r="FW32" s="45"/>
      <c r="FX32" s="45"/>
      <c r="FY32" s="45"/>
      <c r="FZ32" s="45"/>
      <c r="GA32" s="45"/>
      <c r="GB32" s="45"/>
      <c r="GC32" s="45"/>
    </row>
    <row r="33" spans="1:185" s="46" customFormat="1" ht="34.5" customHeight="1">
      <c r="A33" s="98" t="s">
        <v>303</v>
      </c>
      <c r="B33" s="50" t="str">
        <f>LOWER(
  IF(
    RIGHT(
      SUBSTITUTE(SUBSTITUTE(SUBSTITUTE(SUBSTITUTE(SUBSTITUTE(SUBSTITUTE(SUBSTITUTE(C33,"(","_"),")","_"),"/","_"),":","_"),"-","_")," ","_"),"__","_"),
      1
    )="_",
    LEFT(
      SUBSTITUTE(SUBSTITUTE(SUBSTITUTE(SUBSTITUTE(SUBSTITUTE(SUBSTITUTE(SUBSTITUTE(C33,"(","_"),")","_"),"/","_"),":","_"),"-","_")," ","_"),"__","_"),
      LEN(
        SUBSTITUTE(SUBSTITUTE(SUBSTITUTE(SUBSTITUTE(SUBSTITUTE(SUBSTITUTE(SUBSTITUTE(C33,"(","_"),")","_"),"/","_"),":","_"),"-","_")," ","_"),"__","_")
      )-1
    ),
    SUBSTITUTE(SUBSTITUTE(SUBSTITUTE(SUBSTITUTE(SUBSTITUTE(SUBSTITUTE(SUBSTITUTE(C33,"(","_"),")","_"),"/","_"),":","_"),"-","_")," ","_"),"__","_")
  )
)</f>
        <v>run_accession</v>
      </c>
      <c r="C33" s="48" t="s">
        <v>304</v>
      </c>
      <c r="D33" s="50" t="s">
        <v>305</v>
      </c>
      <c r="E33" s="49" t="s">
        <v>98</v>
      </c>
      <c r="F33" s="49" t="s">
        <v>65</v>
      </c>
      <c r="G33" s="49" t="s">
        <v>306</v>
      </c>
      <c r="H33" s="49"/>
      <c r="I33" s="49" t="s">
        <v>307</v>
      </c>
      <c r="J33" s="49"/>
      <c r="K33" s="49"/>
      <c r="L33" s="49"/>
      <c r="M33" s="49"/>
      <c r="N33" s="49"/>
      <c r="O33" s="49"/>
      <c r="P33" s="49"/>
      <c r="Q33" s="49"/>
      <c r="R33" s="49"/>
      <c r="S33" s="49"/>
      <c r="T33" s="49"/>
      <c r="U33" s="49"/>
      <c r="V33" s="50"/>
      <c r="W33" s="50"/>
      <c r="X33" s="48" t="s">
        <v>116</v>
      </c>
      <c r="Y33" s="48" t="s">
        <v>117</v>
      </c>
      <c r="Z33" s="48"/>
      <c r="AA33" s="49" t="str">
        <f>"[" &amp; _xlfn.TEXTJOIN(", ", TRUE,
    IF(I33&lt;&gt;"", """" &amp; I$1 &amp; """", ""),
    IF(J33&lt;&gt;"", """" &amp; J$1 &amp; """", ""),
    IF(K33&lt;&gt;"", """" &amp; K$1 &amp; """", ""),
    IF(L33&lt;&gt;"", """" &amp; L$1 &amp; """", ""),
    IF(M33&lt;&gt;"", """" &amp; M$1 &amp; """", ""),    IF(N33&lt;&gt;"", """" &amp; N$1 &amp; """", ""),    IF(O33&lt;&gt;"", """" &amp; O$1 &amp; """", ""),     IF(P33&lt;&gt;"", """" &amp; P$1 &amp; """", ""),     IF(Q33&lt;&gt;"", """" &amp; Q$1 &amp; """", ""), IF(R33&lt;&gt;"", """" &amp; R$1 &amp; """", ""), IF(S33&lt;&gt;"", """" &amp; S$1 &amp; """", ""), IF(T33&lt;&gt;"", """" &amp; T$1 &amp; """", ""), IF(U33&lt;&gt;"", """" &amp; U$1 &amp; """", ""),
    IF(X33&lt;&gt;"", """" &amp; X33 &amp; """", ""), IF(V33&lt;&gt;"", """" &amp; V33 &amp; """", ""), IF(W33&lt;&gt;"", """" &amp; W33 &amp; """", ""),
    IF(Y33&lt;&gt;"", """" &amp; Y33 &amp; """", ""),
    IF(Z33&lt;&gt;"", """" &amp; Z33 &amp; """", "")
) &amp; "]"</f>
        <v>["ENA", "Organizational", "Identifiers"]</v>
      </c>
      <c r="AB33" s="49"/>
      <c r="AC33" s="48" t="s">
        <v>70</v>
      </c>
      <c r="AD33" s="49" t="s">
        <v>118</v>
      </c>
      <c r="AE33" s="49" t="s">
        <v>82</v>
      </c>
      <c r="AF33" s="49"/>
      <c r="AG33" s="49"/>
      <c r="AH33" s="49"/>
      <c r="AI33" s="49"/>
      <c r="AJ33" s="49"/>
      <c r="AK33" s="49"/>
      <c r="AL33" s="49"/>
      <c r="AM33" s="49"/>
      <c r="AN33" s="49"/>
      <c r="AO33" s="49"/>
      <c r="AP33" s="49"/>
      <c r="AQ33" s="49"/>
      <c r="AR33" s="49"/>
      <c r="AS33" s="49"/>
      <c r="AT33" s="49"/>
      <c r="AU33" s="49"/>
      <c r="AV33" s="49" t="s">
        <v>86</v>
      </c>
      <c r="AW33" s="49" t="s">
        <v>86</v>
      </c>
      <c r="AX33" s="54"/>
      <c r="AY33" s="49"/>
      <c r="AZ33" s="48" t="s">
        <v>64</v>
      </c>
      <c r="BA33" s="48" t="s">
        <v>119</v>
      </c>
      <c r="BB33" s="49"/>
      <c r="BC33" s="49" t="s">
        <v>73</v>
      </c>
      <c r="BD33" s="49" t="s">
        <v>108</v>
      </c>
      <c r="BE33" s="48"/>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c r="DE33" s="45"/>
      <c r="DF33" s="45"/>
      <c r="DG33" s="45"/>
      <c r="DH33" s="45"/>
      <c r="DI33" s="45"/>
      <c r="DJ33" s="45"/>
      <c r="DK33" s="45"/>
      <c r="DL33" s="45"/>
      <c r="DM33" s="45"/>
      <c r="DN33" s="45"/>
      <c r="DO33" s="45"/>
      <c r="DP33" s="45"/>
      <c r="DQ33" s="45"/>
      <c r="DR33" s="45"/>
      <c r="DS33" s="45"/>
      <c r="DT33" s="45"/>
      <c r="DU33" s="45"/>
      <c r="DV33" s="45"/>
      <c r="DW33" s="45"/>
      <c r="DX33" s="45"/>
      <c r="DY33" s="45"/>
      <c r="DZ33" s="45"/>
      <c r="EA33" s="45"/>
      <c r="EB33" s="45"/>
      <c r="EC33" s="45"/>
      <c r="ED33" s="45"/>
      <c r="EE33" s="45"/>
      <c r="EF33" s="45"/>
      <c r="EG33" s="45"/>
      <c r="EH33" s="45"/>
      <c r="EI33" s="45"/>
      <c r="EJ33" s="45"/>
      <c r="EK33" s="45"/>
      <c r="EL33" s="45"/>
      <c r="EM33" s="45"/>
      <c r="EN33" s="45"/>
      <c r="EO33" s="45"/>
      <c r="EP33" s="45"/>
      <c r="EQ33" s="45"/>
      <c r="ER33" s="45"/>
      <c r="ES33" s="45"/>
      <c r="ET33" s="45"/>
      <c r="EU33" s="45"/>
      <c r="EV33" s="45"/>
      <c r="EW33" s="45"/>
      <c r="EX33" s="45"/>
      <c r="EY33" s="45"/>
      <c r="EZ33" s="45"/>
      <c r="FA33" s="45"/>
      <c r="FB33" s="45"/>
      <c r="FC33" s="45"/>
      <c r="FD33" s="45"/>
      <c r="FE33" s="45"/>
      <c r="FF33" s="45"/>
      <c r="FG33" s="45"/>
      <c r="FH33" s="45"/>
      <c r="FI33" s="45"/>
      <c r="FJ33" s="45"/>
      <c r="FK33" s="45"/>
      <c r="FL33" s="45"/>
      <c r="FM33" s="45"/>
      <c r="FN33" s="45"/>
      <c r="FO33" s="45"/>
      <c r="FP33" s="45"/>
      <c r="FQ33" s="45"/>
      <c r="FR33" s="45"/>
      <c r="FS33" s="45"/>
      <c r="FT33" s="45"/>
      <c r="FU33" s="45"/>
      <c r="FV33" s="45"/>
      <c r="FW33" s="45"/>
      <c r="FX33" s="45"/>
      <c r="FY33" s="45"/>
      <c r="FZ33" s="45"/>
      <c r="GA33" s="45"/>
      <c r="GB33" s="45"/>
      <c r="GC33" s="45"/>
    </row>
    <row r="34" spans="1:185" s="46" customFormat="1" ht="34.5" customHeight="1">
      <c r="A34" s="98" t="s">
        <v>308</v>
      </c>
      <c r="B34" s="50" t="str">
        <f>LOWER(
  IF(
    RIGHT(
      SUBSTITUTE(SUBSTITUTE(SUBSTITUTE(SUBSTITUTE(SUBSTITUTE(SUBSTITUTE(SUBSTITUTE(C34,"(","_"),")","_"),"/","_"),":","_"),"-","_")," ","_"),"__","_"),
      1
    )="_",
    LEFT(
      SUBSTITUTE(SUBSTITUTE(SUBSTITUTE(SUBSTITUTE(SUBSTITUTE(SUBSTITUTE(SUBSTITUTE(C34,"(","_"),")","_"),"/","_"),":","_"),"-","_")," ","_"),"__","_"),
      LEN(
        SUBSTITUTE(SUBSTITUTE(SUBSTITUTE(SUBSTITUTE(SUBSTITUTE(SUBSTITUTE(SUBSTITUTE(C34,"(","_"),")","_"),"/","_"),":","_"),"-","_")," ","_"),"__","_")
      )-1
    ),
    SUBSTITUTE(SUBSTITUTE(SUBSTITUTE(SUBSTITUTE(SUBSTITUTE(SUBSTITUTE(SUBSTITUTE(C34,"(","_"),")","_"),"/","_"),":","_"),"-","_")," ","_"),"__","_")
  )
)</f>
        <v>serotype</v>
      </c>
      <c r="C34" s="48" t="s">
        <v>309</v>
      </c>
      <c r="D34" s="50" t="s">
        <v>310</v>
      </c>
      <c r="E34" s="49" t="s">
        <v>64</v>
      </c>
      <c r="F34" s="49" t="s">
        <v>65</v>
      </c>
      <c r="G34" s="49" t="s">
        <v>311</v>
      </c>
      <c r="H34" s="49" t="s">
        <v>263</v>
      </c>
      <c r="I34" s="49" t="s">
        <v>312</v>
      </c>
      <c r="J34" s="49"/>
      <c r="K34" s="49" t="s">
        <v>313</v>
      </c>
      <c r="L34" s="49"/>
      <c r="M34" s="49"/>
      <c r="N34" s="49"/>
      <c r="O34" s="49"/>
      <c r="P34" s="49" t="s">
        <v>314</v>
      </c>
      <c r="Q34" s="49" t="s">
        <v>314</v>
      </c>
      <c r="R34" s="49"/>
      <c r="S34" s="49"/>
      <c r="T34" s="49"/>
      <c r="U34" s="49"/>
      <c r="V34" s="50" t="s">
        <v>125</v>
      </c>
      <c r="W34" s="50" t="s">
        <v>126</v>
      </c>
      <c r="X34" s="48" t="s">
        <v>68</v>
      </c>
      <c r="Y34" s="48" t="s">
        <v>195</v>
      </c>
      <c r="Z34" s="48"/>
      <c r="AA34" s="49" t="str">
        <f>"[" &amp; _xlfn.TEXTJOIN(", ", TRUE,
    IF(I34&lt;&gt;"", """" &amp; I$1 &amp; """", ""),
    IF(J34&lt;&gt;"", """" &amp; J$1 &amp; """", ""),
    IF(K34&lt;&gt;"", """" &amp; K$1 &amp; """", ""),
    IF(L34&lt;&gt;"", """" &amp; L$1 &amp; """", ""),
    IF(M34&lt;&gt;"", """" &amp; M$1 &amp; """", ""),    IF(N34&lt;&gt;"", """" &amp; N$1 &amp; """", ""),    IF(O34&lt;&gt;"", """" &amp; O$1 &amp; """", ""),     IF(P34&lt;&gt;"", """" &amp; P$1 &amp; """", ""),     IF(Q34&lt;&gt;"", """" &amp; Q$1 &amp; """", ""), IF(R34&lt;&gt;"", """" &amp; R$1 &amp; """", ""), IF(S34&lt;&gt;"", """" &amp; S$1 &amp; """", ""), IF(T34&lt;&gt;"", """" &amp; T$1 &amp; """", ""), IF(U34&lt;&gt;"", """" &amp; U$1 &amp; """", ""),
    IF(X34&lt;&gt;"", """" &amp; X34 &amp; """", ""), IF(V34&lt;&gt;"", """" &amp; V34 &amp; """", ""), IF(W34&lt;&gt;"", """" &amp; W34 &amp; """", ""),
    IF(Y34&lt;&gt;"", """" &amp; Y34 &amp; """", ""),
    IF(Z34&lt;&gt;"", """" &amp; Z34 &amp; """", "")
) &amp; "]"</f>
        <v>["ENA", "MIGS-VI", "ENA ERC32", "ENA ERC33", "Sample", "ENA Sample", "VJDB Sample", "Clinical"]</v>
      </c>
      <c r="AB34" s="49"/>
      <c r="AC34" s="48" t="s">
        <v>315</v>
      </c>
      <c r="AD34" s="49" t="s">
        <v>118</v>
      </c>
      <c r="AE34" s="49" t="s">
        <v>82</v>
      </c>
      <c r="AF34" s="49"/>
      <c r="AG34" s="49"/>
      <c r="AH34" s="49"/>
      <c r="AI34" s="49"/>
      <c r="AJ34" s="49"/>
      <c r="AK34" s="49"/>
      <c r="AL34" s="49"/>
      <c r="AM34" s="49"/>
      <c r="AN34" s="49"/>
      <c r="AO34" s="49"/>
      <c r="AP34" s="49" t="s">
        <v>316</v>
      </c>
      <c r="AQ34" s="49"/>
      <c r="AR34" s="49"/>
      <c r="AS34" s="49" t="s">
        <v>316</v>
      </c>
      <c r="AT34" s="49"/>
      <c r="AU34" s="49" t="s">
        <v>151</v>
      </c>
      <c r="AV34" s="49" t="s">
        <v>86</v>
      </c>
      <c r="AW34" s="49" t="s">
        <v>86</v>
      </c>
      <c r="AX34" s="54" t="s">
        <v>317</v>
      </c>
      <c r="AY34" s="49" t="s">
        <v>131</v>
      </c>
      <c r="AZ34" s="48" t="s">
        <v>182</v>
      </c>
      <c r="BA34" s="48" t="s">
        <v>72</v>
      </c>
      <c r="BB34" s="49"/>
      <c r="BC34" s="49" t="s">
        <v>73</v>
      </c>
      <c r="BD34" s="49" t="s">
        <v>74</v>
      </c>
      <c r="BE34" s="49"/>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c r="CQ34" s="45"/>
      <c r="CR34" s="45"/>
      <c r="CS34" s="45"/>
      <c r="CT34" s="45"/>
      <c r="CU34" s="45"/>
      <c r="CV34" s="45"/>
      <c r="CW34" s="45"/>
      <c r="CX34" s="45"/>
      <c r="CY34" s="45"/>
      <c r="CZ34" s="45"/>
      <c r="DA34" s="45"/>
      <c r="DB34" s="45"/>
      <c r="DC34" s="45"/>
      <c r="DD34" s="45"/>
      <c r="DE34" s="45"/>
      <c r="DF34" s="45"/>
      <c r="DG34" s="45"/>
      <c r="DH34" s="45"/>
      <c r="DI34" s="45"/>
      <c r="DJ34" s="45"/>
      <c r="DK34" s="45"/>
      <c r="DL34" s="45"/>
      <c r="DM34" s="45"/>
      <c r="DN34" s="45"/>
      <c r="DO34" s="45"/>
      <c r="DP34" s="45"/>
      <c r="DQ34" s="45"/>
      <c r="DR34" s="45"/>
      <c r="DS34" s="45"/>
      <c r="DT34" s="45"/>
      <c r="DU34" s="45"/>
      <c r="DV34" s="45"/>
      <c r="DW34" s="45"/>
      <c r="DX34" s="45"/>
      <c r="DY34" s="45"/>
      <c r="DZ34" s="45"/>
      <c r="EA34" s="45"/>
      <c r="EB34" s="45"/>
      <c r="EC34" s="45"/>
      <c r="ED34" s="45"/>
      <c r="EE34" s="45"/>
      <c r="EF34" s="45"/>
      <c r="EG34" s="45"/>
      <c r="EH34" s="45"/>
      <c r="EI34" s="45"/>
      <c r="EJ34" s="45"/>
      <c r="EK34" s="45"/>
      <c r="EL34" s="45"/>
      <c r="EM34" s="45"/>
      <c r="EN34" s="45"/>
      <c r="EO34" s="45"/>
      <c r="EP34" s="45"/>
      <c r="EQ34" s="45"/>
      <c r="ER34" s="45"/>
      <c r="ES34" s="45"/>
      <c r="ET34" s="45"/>
      <c r="EU34" s="45"/>
      <c r="EV34" s="45"/>
      <c r="EW34" s="45"/>
      <c r="EX34" s="45"/>
      <c r="EY34" s="45"/>
      <c r="EZ34" s="45"/>
      <c r="FA34" s="45"/>
      <c r="FB34" s="45"/>
      <c r="FC34" s="45"/>
      <c r="FD34" s="45"/>
      <c r="FE34" s="45"/>
      <c r="FF34" s="45"/>
      <c r="FG34" s="45"/>
      <c r="FH34" s="45"/>
      <c r="FI34" s="45"/>
      <c r="FJ34" s="45"/>
      <c r="FK34" s="45"/>
      <c r="FL34" s="45"/>
      <c r="FM34" s="45"/>
      <c r="FN34" s="45"/>
      <c r="FO34" s="45"/>
      <c r="FP34" s="45"/>
      <c r="FQ34" s="45"/>
      <c r="FR34" s="45"/>
      <c r="FS34" s="45"/>
      <c r="FT34" s="45"/>
      <c r="FU34" s="45"/>
      <c r="FV34" s="45"/>
      <c r="FW34" s="45"/>
      <c r="FX34" s="45"/>
      <c r="FY34" s="45"/>
      <c r="FZ34" s="45"/>
      <c r="GA34" s="45"/>
      <c r="GB34" s="45"/>
      <c r="GC34" s="45"/>
    </row>
    <row r="35" spans="1:185" s="46" customFormat="1" ht="34.5" customHeight="1">
      <c r="A35" s="98" t="s">
        <v>318</v>
      </c>
      <c r="B35" s="50" t="str">
        <f>LOWER(
  IF(
    RIGHT(
      SUBSTITUTE(SUBSTITUTE(SUBSTITUTE(SUBSTITUTE(SUBSTITUTE(SUBSTITUTE(SUBSTITUTE(C35,"(","_"),")","_"),"/","_"),":","_"),"-","_")," ","_"),"__","_"),
      1
    )="_",
    LEFT(
      SUBSTITUTE(SUBSTITUTE(SUBSTITUTE(SUBSTITUTE(SUBSTITUTE(SUBSTITUTE(SUBSTITUTE(C35,"(","_"),")","_"),"/","_"),":","_"),"-","_")," ","_"),"__","_"),
      LEN(
        SUBSTITUTE(SUBSTITUTE(SUBSTITUTE(SUBSTITUTE(SUBSTITUTE(SUBSTITUTE(SUBSTITUTE(C35,"(","_"),")","_"),"/","_"),":","_"),"-","_")," ","_"),"__","_")
      )-1
    ),
    SUBSTITUTE(SUBSTITUTE(SUBSTITUTE(SUBSTITUTE(SUBSTITUTE(SUBSTITUTE(SUBSTITUTE(C35,"(","_"),")","_"),"/","_"),":","_"),"-","_")," ","_"),"__","_")
  )
)</f>
        <v>abbreviation</v>
      </c>
      <c r="C35" s="48" t="s">
        <v>319</v>
      </c>
      <c r="D35" s="50" t="s">
        <v>320</v>
      </c>
      <c r="E35" s="49" t="s">
        <v>98</v>
      </c>
      <c r="F35" s="49" t="s">
        <v>65</v>
      </c>
      <c r="G35" s="49" t="s">
        <v>321</v>
      </c>
      <c r="H35" s="49" t="s">
        <v>322</v>
      </c>
      <c r="I35" s="49"/>
      <c r="J35" s="49"/>
      <c r="K35" s="49"/>
      <c r="L35" s="49"/>
      <c r="M35" s="49"/>
      <c r="N35" s="49"/>
      <c r="O35" s="49"/>
      <c r="P35" s="49"/>
      <c r="Q35" s="49"/>
      <c r="R35" s="49"/>
      <c r="S35" s="49"/>
      <c r="T35" s="49"/>
      <c r="U35" s="49"/>
      <c r="V35" s="50"/>
      <c r="W35" s="50"/>
      <c r="X35" s="48" t="s">
        <v>68</v>
      </c>
      <c r="Y35" s="48" t="s">
        <v>323</v>
      </c>
      <c r="Z35" s="48" t="s">
        <v>324</v>
      </c>
      <c r="AA35" s="49" t="str">
        <f>"[" &amp; _xlfn.TEXTJOIN(", ", TRUE,
    IF(I35&lt;&gt;"", """" &amp; I$1 &amp; """", ""),
    IF(J35&lt;&gt;"", """" &amp; J$1 &amp; """", ""),
    IF(K35&lt;&gt;"", """" &amp; K$1 &amp; """", ""),
    IF(L35&lt;&gt;"", """" &amp; L$1 &amp; """", ""),
    IF(M35&lt;&gt;"", """" &amp; M$1 &amp; """", ""),    IF(N35&lt;&gt;"", """" &amp; N$1 &amp; """", ""),    IF(O35&lt;&gt;"", """" &amp; O$1 &amp; """", ""),     IF(P35&lt;&gt;"", """" &amp; P$1 &amp; """", ""),     IF(Q35&lt;&gt;"", """" &amp; Q$1 &amp; """", ""), IF(R35&lt;&gt;"", """" &amp; R$1 &amp; """", ""), IF(S35&lt;&gt;"", """" &amp; S$1 &amp; """", ""), IF(T35&lt;&gt;"", """" &amp; T$1 &amp; """", ""), IF(U35&lt;&gt;"", """" &amp; U$1 &amp; """", ""),
    IF(X35&lt;&gt;"", """" &amp; X35 &amp; """", ""), IF(V35&lt;&gt;"", """" &amp; V35 &amp; """", ""), IF(W35&lt;&gt;"", """" &amp; W35 &amp; """", ""),
    IF(Y35&lt;&gt;"", """" &amp; Y35 &amp; """", ""),
    IF(Z35&lt;&gt;"", """" &amp; Z35 &amp; """", "")
) &amp; "]"</f>
        <v>["Sample", "Virus Info", "ICTV Taxonomy"]</v>
      </c>
      <c r="AB35" s="49" t="s">
        <v>325</v>
      </c>
      <c r="AC35" s="48"/>
      <c r="AD35" s="49" t="s">
        <v>326</v>
      </c>
      <c r="AE35" s="49"/>
      <c r="AF35" s="49"/>
      <c r="AG35" s="49"/>
      <c r="AH35" s="49"/>
      <c r="AI35" s="49"/>
      <c r="AJ35" s="49"/>
      <c r="AK35" s="49"/>
      <c r="AL35" s="49"/>
      <c r="AM35" s="49"/>
      <c r="AN35" s="49"/>
      <c r="AO35" s="49"/>
      <c r="AP35" s="49"/>
      <c r="AQ35" s="49"/>
      <c r="AR35" s="49"/>
      <c r="AS35" s="49"/>
      <c r="AT35" s="49"/>
      <c r="AU35" s="49"/>
      <c r="AV35" s="49"/>
      <c r="AW35" s="49"/>
      <c r="AX35" s="54" t="s">
        <v>327</v>
      </c>
      <c r="AY35" s="49" t="s">
        <v>328</v>
      </c>
      <c r="AZ35" s="48" t="s">
        <v>182</v>
      </c>
      <c r="BA35" s="48" t="s">
        <v>72</v>
      </c>
      <c r="BB35" s="49" t="s">
        <v>329</v>
      </c>
      <c r="BC35" s="49" t="s">
        <v>330</v>
      </c>
      <c r="BD35" s="49" t="s">
        <v>108</v>
      </c>
      <c r="BE35" s="49" t="s">
        <v>60</v>
      </c>
      <c r="BF35" s="45"/>
      <c r="BG35" s="45"/>
      <c r="BH35" s="45"/>
      <c r="BI35" s="45"/>
      <c r="BJ35" s="45"/>
      <c r="BK35" s="45"/>
      <c r="BL35" s="45"/>
      <c r="BM35" s="45"/>
      <c r="BN35" s="45"/>
      <c r="BO35" s="45"/>
      <c r="BP35" s="45"/>
      <c r="BQ35" s="45"/>
      <c r="BR35" s="45"/>
      <c r="BS35" s="45"/>
      <c r="BT35" s="45"/>
      <c r="BU35" s="45"/>
      <c r="BV35" s="45"/>
      <c r="BW35" s="45"/>
      <c r="BX35" s="45"/>
      <c r="BY35" s="45"/>
      <c r="BZ35" s="45"/>
      <c r="CA35" s="45"/>
      <c r="CB35" s="45"/>
      <c r="CC35" s="45"/>
      <c r="CD35" s="45"/>
      <c r="CE35" s="45"/>
      <c r="CF35" s="45"/>
      <c r="CG35" s="45"/>
      <c r="CH35" s="45"/>
      <c r="CI35" s="45"/>
      <c r="CJ35" s="45"/>
      <c r="CK35" s="45"/>
      <c r="CL35" s="45"/>
      <c r="CM35" s="45"/>
      <c r="CN35" s="45"/>
      <c r="CO35" s="45"/>
      <c r="CP35" s="45"/>
      <c r="CQ35" s="45"/>
      <c r="CR35" s="45"/>
      <c r="CS35" s="45"/>
      <c r="CT35" s="45"/>
      <c r="CU35" s="45"/>
      <c r="CV35" s="45"/>
      <c r="CW35" s="45"/>
      <c r="CX35" s="45"/>
      <c r="CY35" s="45"/>
      <c r="CZ35" s="45"/>
      <c r="DA35" s="45"/>
      <c r="DB35" s="45"/>
      <c r="DC35" s="45"/>
      <c r="DD35" s="45"/>
      <c r="DE35" s="45"/>
      <c r="DF35" s="45"/>
      <c r="DG35" s="45"/>
      <c r="DH35" s="45"/>
      <c r="DI35" s="45"/>
      <c r="DJ35" s="45"/>
      <c r="DK35" s="45"/>
      <c r="DL35" s="45"/>
      <c r="DM35" s="45"/>
      <c r="DN35" s="45"/>
      <c r="DO35" s="45"/>
      <c r="DP35" s="45"/>
      <c r="DQ35" s="45"/>
      <c r="DR35" s="45"/>
      <c r="DS35" s="45"/>
      <c r="DT35" s="45"/>
      <c r="DU35" s="45"/>
      <c r="DV35" s="45"/>
      <c r="DW35" s="45"/>
      <c r="DX35" s="45"/>
      <c r="DY35" s="45"/>
      <c r="DZ35" s="45"/>
      <c r="EA35" s="45"/>
      <c r="EB35" s="45"/>
      <c r="EC35" s="45"/>
      <c r="ED35" s="45"/>
      <c r="EE35" s="45"/>
      <c r="EF35" s="45"/>
      <c r="EG35" s="45"/>
      <c r="EH35" s="45"/>
      <c r="EI35" s="45"/>
      <c r="EJ35" s="45"/>
      <c r="EK35" s="45"/>
      <c r="EL35" s="45"/>
      <c r="EM35" s="45"/>
      <c r="EN35" s="45"/>
      <c r="EO35" s="45"/>
      <c r="EP35" s="45"/>
      <c r="EQ35" s="45"/>
      <c r="ER35" s="45"/>
      <c r="ES35" s="45"/>
      <c r="ET35" s="45"/>
      <c r="EU35" s="45"/>
      <c r="EV35" s="45"/>
      <c r="EW35" s="45"/>
      <c r="EX35" s="45"/>
      <c r="EY35" s="45"/>
      <c r="EZ35" s="45"/>
      <c r="FA35" s="45"/>
      <c r="FB35" s="45"/>
      <c r="FC35" s="45"/>
      <c r="FD35" s="45"/>
      <c r="FE35" s="45"/>
      <c r="FF35" s="45"/>
      <c r="FG35" s="45"/>
      <c r="FH35" s="45"/>
      <c r="FI35" s="45"/>
      <c r="FJ35" s="45"/>
      <c r="FK35" s="45"/>
      <c r="FL35" s="45"/>
      <c r="FM35" s="45"/>
      <c r="FN35" s="45"/>
      <c r="FO35" s="45"/>
      <c r="FP35" s="45"/>
      <c r="FQ35" s="45"/>
      <c r="FR35" s="45"/>
      <c r="FS35" s="45"/>
      <c r="FT35" s="45"/>
      <c r="FU35" s="45"/>
      <c r="FV35" s="45"/>
      <c r="FW35" s="45"/>
      <c r="FX35" s="45"/>
      <c r="FY35" s="45"/>
      <c r="FZ35" s="45"/>
      <c r="GA35" s="45"/>
      <c r="GB35" s="45"/>
      <c r="GC35" s="45"/>
    </row>
    <row r="36" spans="1:185" s="46" customFormat="1" ht="34.5" customHeight="1">
      <c r="A36" s="98" t="s">
        <v>331</v>
      </c>
      <c r="B36" s="50" t="str">
        <f>LOWER(
  IF(
    RIGHT(
      SUBSTITUTE(SUBSTITUTE(SUBSTITUTE(SUBSTITUTE(SUBSTITUTE(SUBSTITUTE(SUBSTITUTE(C36,"(","_"),")","_"),"/","_"),":","_"),"-","_")," ","_"),"__","_"),
      1
    )="_",
    LEFT(
      SUBSTITUTE(SUBSTITUTE(SUBSTITUTE(SUBSTITUTE(SUBSTITUTE(SUBSTITUTE(SUBSTITUTE(C36,"(","_"),")","_"),"/","_"),":","_"),"-","_")," ","_"),"__","_"),
      LEN(
        SUBSTITUTE(SUBSTITUTE(SUBSTITUTE(SUBSTITUTE(SUBSTITUTE(SUBSTITUTE(SUBSTITUTE(C36,"(","_"),")","_"),"/","_"),":","_"),"-","_")," ","_"),"__","_")
      )-1
    ),
    SUBSTITUTE(SUBSTITUTE(SUBSTITUTE(SUBSTITUTE(SUBSTITUTE(SUBSTITUTE(SUBSTITUTE(C36,"(","_"),")","_"),"/","_"),":","_"),"-","_")," ","_"),"__","_")
  )
)</f>
        <v>sample_species_tax_id</v>
      </c>
      <c r="C36" s="48" t="s">
        <v>332</v>
      </c>
      <c r="D36" s="68" t="s">
        <v>333</v>
      </c>
      <c r="E36" s="48" t="s">
        <v>334</v>
      </c>
      <c r="F36" s="48" t="s">
        <v>65</v>
      </c>
      <c r="G36" s="48" t="s">
        <v>335</v>
      </c>
      <c r="H36" s="48" t="s">
        <v>336</v>
      </c>
      <c r="I36" s="48"/>
      <c r="J36" s="48"/>
      <c r="K36" s="48"/>
      <c r="L36" s="48"/>
      <c r="M36" s="48"/>
      <c r="N36" s="48"/>
      <c r="O36" s="48"/>
      <c r="P36" s="48"/>
      <c r="Q36" s="48"/>
      <c r="R36" s="48"/>
      <c r="S36" s="48"/>
      <c r="T36" s="48"/>
      <c r="U36" s="48"/>
      <c r="V36" s="68"/>
      <c r="W36" s="68"/>
      <c r="X36" s="48" t="s">
        <v>68</v>
      </c>
      <c r="Y36" s="48" t="s">
        <v>117</v>
      </c>
      <c r="Z36" s="48" t="s">
        <v>337</v>
      </c>
      <c r="AA36" s="49" t="str">
        <f>"[" &amp; _xlfn.TEXTJOIN(", ", TRUE,
    IF(I36&lt;&gt;"", """" &amp; I$1 &amp; """", ""),
    IF(J36&lt;&gt;"", """" &amp; J$1 &amp; """", ""),
    IF(K36&lt;&gt;"", """" &amp; K$1 &amp; """", ""),
    IF(L36&lt;&gt;"", """" &amp; L$1 &amp; """", ""),
    IF(M36&lt;&gt;"", """" &amp; M$1 &amp; """", ""),    IF(N36&lt;&gt;"", """" &amp; N$1 &amp; """", ""),    IF(O36&lt;&gt;"", """" &amp; O$1 &amp; """", ""),     IF(P36&lt;&gt;"", """" &amp; P$1 &amp; """", ""),     IF(Q36&lt;&gt;"", """" &amp; Q$1 &amp; """", ""), IF(R36&lt;&gt;"", """" &amp; R$1 &amp; """", ""), IF(S36&lt;&gt;"", """" &amp; S$1 &amp; """", ""), IF(T36&lt;&gt;"", """" &amp; T$1 &amp; """", ""), IF(U36&lt;&gt;"", """" &amp; U$1 &amp; """", ""),
    IF(X36&lt;&gt;"", """" &amp; X36 &amp; """", ""), IF(V36&lt;&gt;"", """" &amp; V36 &amp; """", ""), IF(W36&lt;&gt;"", """" &amp; W36 &amp; """", ""),
    IF(Y36&lt;&gt;"", """" &amp; Y36 &amp; """", ""),
    IF(Z36&lt;&gt;"", """" &amp; Z36 &amp; """", "")
) &amp; "]"</f>
        <v>["Sample", "Identifiers", "NCBI Taxonomy"]</v>
      </c>
      <c r="AB36" s="48" t="s">
        <v>337</v>
      </c>
      <c r="AC36" s="48" t="s">
        <v>338</v>
      </c>
      <c r="AD36" s="48" t="s">
        <v>326</v>
      </c>
      <c r="AE36" s="48"/>
      <c r="AF36" s="48"/>
      <c r="AG36" s="48"/>
      <c r="AH36" s="48"/>
      <c r="AI36" s="48"/>
      <c r="AJ36" s="48"/>
      <c r="AK36" s="48"/>
      <c r="AL36" s="48"/>
      <c r="AM36" s="48"/>
      <c r="AN36" s="48"/>
      <c r="AO36" s="48"/>
      <c r="AP36" s="48"/>
      <c r="AQ36" s="48"/>
      <c r="AR36" s="48"/>
      <c r="AS36" s="48"/>
      <c r="AT36" s="48"/>
      <c r="AU36" s="48"/>
      <c r="AV36" s="48"/>
      <c r="AW36" s="48"/>
      <c r="AX36" s="69"/>
      <c r="AY36" s="48"/>
      <c r="AZ36" s="48" t="s">
        <v>182</v>
      </c>
      <c r="BA36" s="48" t="s">
        <v>72</v>
      </c>
      <c r="BB36" s="48"/>
      <c r="BC36" s="48" t="s">
        <v>73</v>
      </c>
      <c r="BD36" s="49" t="s">
        <v>339</v>
      </c>
      <c r="BE36" s="48"/>
      <c r="BJ36" s="45"/>
      <c r="BK36" s="45"/>
      <c r="BL36" s="45"/>
      <c r="BM36" s="45"/>
      <c r="BN36" s="45"/>
      <c r="BO36" s="45"/>
      <c r="BP36" s="45"/>
      <c r="BQ36" s="45"/>
      <c r="BR36" s="45"/>
      <c r="BS36" s="45"/>
      <c r="BT36" s="45"/>
      <c r="BU36" s="45"/>
      <c r="BV36" s="45"/>
      <c r="BW36" s="45"/>
      <c r="BX36" s="45"/>
      <c r="BY36" s="45"/>
      <c r="BZ36" s="45"/>
      <c r="CA36" s="45"/>
      <c r="CB36" s="45"/>
      <c r="CC36" s="45"/>
      <c r="CD36" s="45"/>
      <c r="CE36" s="45"/>
      <c r="CF36" s="45"/>
      <c r="CG36" s="45"/>
      <c r="CH36" s="45"/>
      <c r="CI36" s="45"/>
      <c r="CJ36" s="45"/>
      <c r="CK36" s="45"/>
      <c r="CL36" s="45"/>
      <c r="CM36" s="45"/>
      <c r="CN36" s="45"/>
      <c r="CO36" s="45"/>
      <c r="CP36" s="45"/>
      <c r="CQ36" s="45"/>
      <c r="CR36" s="45"/>
      <c r="CS36" s="45"/>
      <c r="CT36" s="45"/>
      <c r="CU36" s="45"/>
      <c r="CV36" s="45"/>
      <c r="CW36" s="45"/>
      <c r="CX36" s="45"/>
      <c r="CY36" s="45"/>
      <c r="CZ36" s="45"/>
      <c r="DA36" s="45"/>
      <c r="DB36" s="45"/>
      <c r="DC36" s="45"/>
      <c r="DD36" s="45"/>
      <c r="DE36" s="45"/>
      <c r="DF36" s="45"/>
      <c r="DG36" s="45"/>
      <c r="DH36" s="45"/>
      <c r="DI36" s="45"/>
      <c r="DJ36" s="45"/>
      <c r="DK36" s="45"/>
      <c r="DL36" s="45"/>
      <c r="DM36" s="45"/>
      <c r="DN36" s="45"/>
      <c r="DO36" s="45"/>
      <c r="DP36" s="45"/>
      <c r="DQ36" s="45"/>
      <c r="DR36" s="45"/>
      <c r="DS36" s="45"/>
      <c r="DT36" s="45"/>
      <c r="DU36" s="45"/>
      <c r="DV36" s="45"/>
      <c r="DW36" s="45"/>
      <c r="DX36" s="45"/>
      <c r="DY36" s="45"/>
      <c r="DZ36" s="45"/>
      <c r="EA36" s="45"/>
      <c r="EB36" s="45"/>
      <c r="EC36" s="45"/>
      <c r="ED36" s="45"/>
      <c r="EE36" s="45"/>
      <c r="EF36" s="45"/>
      <c r="EG36" s="45"/>
      <c r="EH36" s="45"/>
      <c r="EI36" s="45"/>
      <c r="EJ36" s="45"/>
      <c r="EK36" s="45"/>
      <c r="EL36" s="45"/>
      <c r="EM36" s="45"/>
      <c r="EN36" s="45"/>
      <c r="EO36" s="45"/>
      <c r="EP36" s="45"/>
      <c r="EQ36" s="45"/>
      <c r="ER36" s="45"/>
      <c r="ES36" s="45"/>
      <c r="ET36" s="45"/>
      <c r="EU36" s="45"/>
      <c r="EV36" s="45"/>
      <c r="EW36" s="45"/>
      <c r="EX36" s="45"/>
      <c r="EY36" s="45"/>
      <c r="EZ36" s="45"/>
      <c r="FA36" s="45"/>
      <c r="FB36" s="45"/>
      <c r="FC36" s="45"/>
      <c r="FD36" s="45"/>
      <c r="FE36" s="45"/>
      <c r="FF36" s="45"/>
      <c r="FG36" s="45"/>
      <c r="FH36" s="45"/>
      <c r="FI36" s="45"/>
      <c r="FJ36" s="45"/>
      <c r="FK36" s="45"/>
      <c r="FL36" s="45"/>
      <c r="FM36" s="45"/>
      <c r="FN36" s="45"/>
      <c r="FO36" s="45"/>
      <c r="FP36" s="45"/>
      <c r="FQ36" s="45"/>
      <c r="FR36" s="45"/>
      <c r="FS36" s="45"/>
      <c r="FT36" s="45"/>
      <c r="FU36" s="45"/>
      <c r="FV36" s="45"/>
      <c r="FW36" s="45"/>
      <c r="FX36" s="45"/>
      <c r="FY36" s="45"/>
      <c r="FZ36" s="45"/>
      <c r="GA36" s="45"/>
      <c r="GB36" s="45"/>
      <c r="GC36" s="45"/>
    </row>
    <row r="37" spans="1:185" s="46" customFormat="1" ht="34.5" customHeight="1">
      <c r="A37" s="98" t="s">
        <v>340</v>
      </c>
      <c r="B37" s="50" t="str">
        <f>LOWER(
  IF(
    RIGHT(
      SUBSTITUTE(SUBSTITUTE(SUBSTITUTE(SUBSTITUTE(SUBSTITUTE(SUBSTITUTE(SUBSTITUTE(C37,"(","_"),")","_"),"/","_"),":","_"),"-","_")," ","_"),"__","_"),
      1
    )="_",
    LEFT(
      SUBSTITUTE(SUBSTITUTE(SUBSTITUTE(SUBSTITUTE(SUBSTITUTE(SUBSTITUTE(SUBSTITUTE(C37,"(","_"),")","_"),"/","_"),":","_"),"-","_")," ","_"),"__","_"),
      LEN(
        SUBSTITUTE(SUBSTITUTE(SUBSTITUTE(SUBSTITUTE(SUBSTITUTE(SUBSTITUTE(SUBSTITUTE(C37,"(","_"),")","_"),"/","_"),":","_"),"-","_")," ","_"),"__","_")
      )-1
    ),
    SUBSTITUTE(SUBSTITUTE(SUBSTITUTE(SUBSTITUTE(SUBSTITUTE(SUBSTITUTE(SUBSTITUTE(C37,"(","_"),")","_"),"/","_"),":","_"),"-","_")," ","_"),"__","_")
  )
)</f>
        <v>sequence_name</v>
      </c>
      <c r="C37" s="48" t="s">
        <v>341</v>
      </c>
      <c r="D37" s="50" t="s">
        <v>342</v>
      </c>
      <c r="E37" s="49" t="s">
        <v>64</v>
      </c>
      <c r="F37" s="49" t="s">
        <v>65</v>
      </c>
      <c r="G37" s="49" t="s">
        <v>343</v>
      </c>
      <c r="H37" s="49" t="s">
        <v>344</v>
      </c>
      <c r="I37" s="49"/>
      <c r="J37" s="49"/>
      <c r="K37" s="49" t="s">
        <v>345</v>
      </c>
      <c r="L37" s="49"/>
      <c r="M37" s="49"/>
      <c r="N37" s="49"/>
      <c r="O37" s="49" t="s">
        <v>346</v>
      </c>
      <c r="P37" s="49"/>
      <c r="Q37" s="49"/>
      <c r="R37" s="49"/>
      <c r="S37" s="49"/>
      <c r="T37" s="49"/>
      <c r="U37" s="49"/>
      <c r="V37" s="50"/>
      <c r="W37" s="50"/>
      <c r="X37" s="48" t="s">
        <v>288</v>
      </c>
      <c r="Y37" s="48"/>
      <c r="Z37" s="48" t="s">
        <v>93</v>
      </c>
      <c r="AA37" s="49" t="str">
        <f>"[" &amp; _xlfn.TEXTJOIN(", ", TRUE,
    IF(I37&lt;&gt;"", """" &amp; I$1 &amp; """", ""),
    IF(J37&lt;&gt;"", """" &amp; J$1 &amp; """", ""),
    IF(K37&lt;&gt;"", """" &amp; K$1 &amp; """", ""),
    IF(L37&lt;&gt;"", """" &amp; L$1 &amp; """", ""),
    IF(M37&lt;&gt;"", """" &amp; M$1 &amp; """", ""),    IF(N37&lt;&gt;"", """" &amp; N$1 &amp; """", ""),    IF(O37&lt;&gt;"", """" &amp; O$1 &amp; """", ""),     IF(P37&lt;&gt;"", """" &amp; P$1 &amp; """", ""),     IF(Q37&lt;&gt;"", """" &amp; Q$1 &amp; """", ""), IF(R37&lt;&gt;"", """" &amp; R$1 &amp; """", ""), IF(S37&lt;&gt;"", """" &amp; S$1 &amp; """", ""), IF(T37&lt;&gt;"", """" &amp; T$1 &amp; """", ""), IF(U37&lt;&gt;"", """" &amp; U$1 &amp; """", ""),
    IF(X37&lt;&gt;"", """" &amp; X37 &amp; """", ""), IF(V37&lt;&gt;"", """" &amp; V37 &amp; """", ""), IF(W37&lt;&gt;"", """" &amp; W37 &amp; """", ""),
    IF(Y37&lt;&gt;"", """" &amp; Y37 &amp; """", ""),
    IF(Z37&lt;&gt;"", """" &amp; Z37 &amp; """", "")
) &amp; "]"</f>
        <v>["MIGS-VI", "BV-BRC", "Analysis", "Workflows"]</v>
      </c>
      <c r="AB37" s="49" t="s">
        <v>347</v>
      </c>
      <c r="AC37" s="48" t="s">
        <v>70</v>
      </c>
      <c r="AD37" s="49" t="s">
        <v>348</v>
      </c>
      <c r="AE37" s="49"/>
      <c r="AF37" s="49"/>
      <c r="AG37" s="49"/>
      <c r="AH37" s="49"/>
      <c r="AI37" s="49"/>
      <c r="AJ37" s="49" t="s">
        <v>349</v>
      </c>
      <c r="AK37" s="49"/>
      <c r="AL37" s="49" t="s">
        <v>350</v>
      </c>
      <c r="AM37" s="49" t="s">
        <v>351</v>
      </c>
      <c r="AN37" s="49"/>
      <c r="AO37" s="49" t="s">
        <v>352</v>
      </c>
      <c r="AP37" s="49"/>
      <c r="AQ37" s="49"/>
      <c r="AR37" s="49"/>
      <c r="AS37" s="49"/>
      <c r="AT37" s="49"/>
      <c r="AU37" s="49"/>
      <c r="AV37" s="49"/>
      <c r="AW37" s="49"/>
      <c r="AX37" s="54"/>
      <c r="AY37" s="49"/>
      <c r="AZ37" s="48" t="s">
        <v>64</v>
      </c>
      <c r="BA37" s="48" t="s">
        <v>72</v>
      </c>
      <c r="BB37" s="49"/>
      <c r="BC37" s="49" t="s">
        <v>73</v>
      </c>
      <c r="BD37" s="49" t="s">
        <v>353</v>
      </c>
      <c r="BE37" s="48" t="s">
        <v>60</v>
      </c>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5"/>
      <c r="CV37" s="45"/>
      <c r="CW37" s="45"/>
      <c r="CX37" s="45"/>
      <c r="CY37" s="45"/>
      <c r="CZ37" s="45"/>
      <c r="DA37" s="45"/>
      <c r="DB37" s="45"/>
      <c r="DC37" s="45"/>
      <c r="DD37" s="45"/>
      <c r="DE37" s="45"/>
      <c r="DF37" s="45"/>
      <c r="DG37" s="45"/>
      <c r="DH37" s="45"/>
      <c r="DI37" s="45"/>
      <c r="DJ37" s="45"/>
      <c r="DK37" s="45"/>
      <c r="DL37" s="45"/>
      <c r="DM37" s="45"/>
      <c r="DN37" s="45"/>
      <c r="DO37" s="45"/>
      <c r="DP37" s="45"/>
      <c r="DQ37" s="45"/>
      <c r="DR37" s="45"/>
      <c r="DS37" s="45"/>
      <c r="DT37" s="45"/>
      <c r="DU37" s="45"/>
      <c r="DV37" s="45"/>
      <c r="DW37" s="45"/>
      <c r="DX37" s="45"/>
      <c r="DY37" s="45"/>
      <c r="DZ37" s="45"/>
      <c r="EA37" s="45"/>
      <c r="EB37" s="45"/>
      <c r="EC37" s="45"/>
      <c r="ED37" s="45"/>
      <c r="EE37" s="45"/>
      <c r="EF37" s="45"/>
      <c r="EG37" s="45"/>
      <c r="EH37" s="45"/>
      <c r="EI37" s="45"/>
      <c r="EJ37" s="45"/>
      <c r="EK37" s="45"/>
      <c r="EL37" s="45"/>
      <c r="EM37" s="45"/>
      <c r="EN37" s="45"/>
      <c r="EO37" s="45"/>
      <c r="EP37" s="45"/>
      <c r="EQ37" s="45"/>
      <c r="ER37" s="45"/>
      <c r="ES37" s="45"/>
      <c r="ET37" s="45"/>
      <c r="EU37" s="45"/>
      <c r="EV37" s="45"/>
      <c r="EW37" s="45"/>
      <c r="EX37" s="45"/>
      <c r="EY37" s="45"/>
      <c r="EZ37" s="45"/>
      <c r="FA37" s="45"/>
      <c r="FB37" s="45"/>
      <c r="FC37" s="45"/>
      <c r="FD37" s="45"/>
      <c r="FE37" s="45"/>
      <c r="FF37" s="45"/>
      <c r="FG37" s="45"/>
      <c r="FH37" s="45"/>
      <c r="FI37" s="45"/>
      <c r="FJ37" s="45"/>
      <c r="FK37" s="45"/>
      <c r="FL37" s="45"/>
      <c r="FM37" s="45"/>
      <c r="FN37" s="45"/>
      <c r="FO37" s="45"/>
      <c r="FP37" s="45"/>
      <c r="FQ37" s="45"/>
      <c r="FR37" s="45"/>
      <c r="FS37" s="45"/>
      <c r="FT37" s="45"/>
      <c r="FU37" s="45"/>
      <c r="FV37" s="45"/>
      <c r="FW37" s="45"/>
      <c r="FX37" s="45"/>
      <c r="FY37" s="45"/>
      <c r="FZ37" s="45"/>
      <c r="GA37" s="45"/>
      <c r="GB37" s="45"/>
      <c r="GC37" s="45"/>
    </row>
    <row r="38" spans="1:185" s="46" customFormat="1" ht="34.5" customHeight="1">
      <c r="A38" s="98" t="s">
        <v>354</v>
      </c>
      <c r="B38" s="50" t="str">
        <f>LOWER(
  IF(
    RIGHT(
      SUBSTITUTE(SUBSTITUTE(SUBSTITUTE(SUBSTITUTE(SUBSTITUTE(SUBSTITUTE(SUBSTITUTE(C38,"(","_"),")","_"),"/","_"),":","_"),"-","_")," ","_"),"__","_"),
      1
    )="_",
    LEFT(
      SUBSTITUTE(SUBSTITUTE(SUBSTITUTE(SUBSTITUTE(SUBSTITUTE(SUBSTITUTE(SUBSTITUTE(C38,"(","_"),")","_"),"/","_"),":","_"),"-","_")," ","_"),"__","_"),
      LEN(
        SUBSTITUTE(SUBSTITUTE(SUBSTITUTE(SUBSTITUTE(SUBSTITUTE(SUBSTITUTE(SUBSTITUTE(C38,"(","_"),")","_"),"/","_"),":","_"),"-","_")," ","_"),"__","_")
      )-1
    ),
    SUBSTITUTE(SUBSTITUTE(SUBSTITUTE(SUBSTITUTE(SUBSTITUTE(SUBSTITUTE(SUBSTITUTE(C38,"(","_"),")","_"),"/","_"),":","_"),"-","_")," ","_"),"__","_")
  )
)</f>
        <v>publication_doi</v>
      </c>
      <c r="C38" s="48" t="s">
        <v>355</v>
      </c>
      <c r="D38" s="50" t="s">
        <v>356</v>
      </c>
      <c r="E38" s="49" t="s">
        <v>98</v>
      </c>
      <c r="F38" s="49" t="s">
        <v>65</v>
      </c>
      <c r="G38" s="49" t="s">
        <v>357</v>
      </c>
      <c r="H38" s="49" t="s">
        <v>358</v>
      </c>
      <c r="I38" s="49"/>
      <c r="J38" s="49"/>
      <c r="K38" s="49" t="s">
        <v>359</v>
      </c>
      <c r="L38" s="49"/>
      <c r="M38" s="49"/>
      <c r="N38" s="49"/>
      <c r="O38" s="49"/>
      <c r="P38" s="49"/>
      <c r="Q38" s="49"/>
      <c r="R38" s="49"/>
      <c r="S38" s="49"/>
      <c r="T38" s="49"/>
      <c r="U38" s="49"/>
      <c r="V38" s="50"/>
      <c r="W38" s="50"/>
      <c r="X38" s="48" t="s">
        <v>116</v>
      </c>
      <c r="Y38" s="48" t="s">
        <v>117</v>
      </c>
      <c r="Z38" s="48"/>
      <c r="AA38" s="49" t="str">
        <f>"[" &amp; _xlfn.TEXTJOIN(", ", TRUE,
    IF(I38&lt;&gt;"", """" &amp; I$1 &amp; """", ""),
    IF(J38&lt;&gt;"", """" &amp; J$1 &amp; """", ""),
    IF(K38&lt;&gt;"", """" &amp; K$1 &amp; """", ""),
    IF(L38&lt;&gt;"", """" &amp; L$1 &amp; """", ""),
    IF(M38&lt;&gt;"", """" &amp; M$1 &amp; """", ""),    IF(N38&lt;&gt;"", """" &amp; N$1 &amp; """", ""),    IF(O38&lt;&gt;"", """" &amp; O$1 &amp; """", ""),     IF(P38&lt;&gt;"", """" &amp; P$1 &amp; """", ""),     IF(Q38&lt;&gt;"", """" &amp; Q$1 &amp; """", ""), IF(R38&lt;&gt;"", """" &amp; R$1 &amp; """", ""), IF(S38&lt;&gt;"", """" &amp; S$1 &amp; """", ""), IF(T38&lt;&gt;"", """" &amp; T$1 &amp; """", ""), IF(U38&lt;&gt;"", """" &amp; U$1 &amp; """", ""),
    IF(X38&lt;&gt;"", """" &amp; X38 &amp; """", ""), IF(V38&lt;&gt;"", """" &amp; V38 &amp; """", ""), IF(W38&lt;&gt;"", """" &amp; W38 &amp; """", ""),
    IF(Y38&lt;&gt;"", """" &amp; Y38 &amp; """", ""),
    IF(Z38&lt;&gt;"", """" &amp; Z38 &amp; """", "")
) &amp; "]"</f>
        <v>["MIGS-VI", "Organizational", "Identifiers"]</v>
      </c>
      <c r="AB38" s="49" t="s">
        <v>166</v>
      </c>
      <c r="AC38" s="48" t="s">
        <v>360</v>
      </c>
      <c r="AD38" s="49" t="s">
        <v>168</v>
      </c>
      <c r="AE38" s="49" t="s">
        <v>361</v>
      </c>
      <c r="AF38" s="49"/>
      <c r="AG38" s="49"/>
      <c r="AH38" s="49"/>
      <c r="AI38" s="49"/>
      <c r="AJ38" s="49"/>
      <c r="AK38" s="49"/>
      <c r="AL38" s="49"/>
      <c r="AM38" s="49"/>
      <c r="AN38" s="49"/>
      <c r="AO38" s="49"/>
      <c r="AP38" s="49"/>
      <c r="AQ38" s="49"/>
      <c r="AR38" s="49"/>
      <c r="AS38" s="49"/>
      <c r="AT38" s="49"/>
      <c r="AU38" s="49"/>
      <c r="AV38" s="49"/>
      <c r="AW38" s="49"/>
      <c r="AX38" s="54" t="s">
        <v>362</v>
      </c>
      <c r="AY38" s="49"/>
      <c r="AZ38" s="48" t="s">
        <v>64</v>
      </c>
      <c r="BA38" s="48" t="s">
        <v>72</v>
      </c>
      <c r="BB38" s="49"/>
      <c r="BC38" s="49" t="s">
        <v>73</v>
      </c>
      <c r="BD38" s="49" t="s">
        <v>108</v>
      </c>
      <c r="BE38" s="48"/>
      <c r="BF38" s="45"/>
      <c r="BG38" s="45"/>
      <c r="BH38" s="45"/>
      <c r="BI38" s="45"/>
      <c r="BJ38" s="45"/>
      <c r="BK38" s="45"/>
      <c r="BL38" s="45"/>
      <c r="BM38" s="45"/>
      <c r="BN38" s="45"/>
      <c r="BO38" s="45"/>
      <c r="BP38" s="45"/>
      <c r="BQ38" s="45"/>
      <c r="BR38" s="45"/>
      <c r="BS38" s="45"/>
      <c r="BT38" s="45"/>
      <c r="BU38" s="45"/>
      <c r="BV38" s="45"/>
      <c r="BW38" s="45"/>
      <c r="BX38" s="45"/>
      <c r="BY38" s="45"/>
      <c r="BZ38" s="45"/>
      <c r="CA38" s="45"/>
      <c r="CB38" s="45"/>
      <c r="CC38" s="45"/>
      <c r="CD38" s="45"/>
      <c r="CE38" s="45"/>
      <c r="CF38" s="45"/>
      <c r="CG38" s="45"/>
      <c r="CH38" s="45"/>
      <c r="CI38" s="45"/>
      <c r="CJ38" s="45"/>
      <c r="CK38" s="45"/>
      <c r="CL38" s="45"/>
      <c r="CM38" s="45"/>
      <c r="CN38" s="45"/>
      <c r="CO38" s="45"/>
      <c r="CP38" s="45"/>
      <c r="CQ38" s="45"/>
      <c r="CR38" s="45"/>
      <c r="CS38" s="45"/>
      <c r="CT38" s="45"/>
      <c r="CU38" s="45"/>
      <c r="CV38" s="45"/>
      <c r="CW38" s="45"/>
      <c r="CX38" s="45"/>
      <c r="CY38" s="45"/>
      <c r="CZ38" s="45"/>
      <c r="DA38" s="45"/>
      <c r="DB38" s="45"/>
      <c r="DC38" s="45"/>
      <c r="DD38" s="45"/>
      <c r="DE38" s="45"/>
      <c r="DF38" s="45"/>
      <c r="DG38" s="45"/>
      <c r="DH38" s="45"/>
      <c r="DI38" s="45"/>
      <c r="DJ38" s="45"/>
      <c r="DK38" s="45"/>
      <c r="DL38" s="45"/>
      <c r="DM38" s="45"/>
      <c r="DN38" s="45"/>
      <c r="DO38" s="45"/>
      <c r="DP38" s="45"/>
      <c r="DQ38" s="45"/>
      <c r="DR38" s="45"/>
      <c r="DS38" s="45"/>
      <c r="DT38" s="45"/>
      <c r="DU38" s="45"/>
      <c r="DV38" s="45"/>
      <c r="DW38" s="45"/>
      <c r="DX38" s="45"/>
      <c r="DY38" s="45"/>
      <c r="DZ38" s="45"/>
      <c r="EA38" s="45"/>
      <c r="EB38" s="45"/>
      <c r="EC38" s="45"/>
      <c r="ED38" s="45"/>
      <c r="EE38" s="45"/>
      <c r="EF38" s="45"/>
      <c r="EG38" s="45"/>
      <c r="EH38" s="45"/>
      <c r="EI38" s="45"/>
      <c r="EJ38" s="45"/>
      <c r="EK38" s="45"/>
      <c r="EL38" s="45"/>
      <c r="EM38" s="45"/>
      <c r="EN38" s="45"/>
      <c r="EO38" s="45"/>
      <c r="EP38" s="45"/>
      <c r="EQ38" s="45"/>
      <c r="ER38" s="45"/>
      <c r="ES38" s="45"/>
      <c r="ET38" s="45"/>
      <c r="EU38" s="45"/>
      <c r="EV38" s="45"/>
      <c r="EW38" s="45"/>
      <c r="EX38" s="45"/>
      <c r="EY38" s="45"/>
      <c r="EZ38" s="45"/>
      <c r="FA38" s="45"/>
      <c r="FB38" s="45"/>
      <c r="FC38" s="45"/>
      <c r="FD38" s="45"/>
      <c r="FE38" s="45"/>
      <c r="FF38" s="45"/>
      <c r="FG38" s="45"/>
      <c r="FH38" s="45"/>
      <c r="FI38" s="45"/>
      <c r="FJ38" s="45"/>
      <c r="FK38" s="45"/>
      <c r="FL38" s="45"/>
      <c r="FM38" s="45"/>
      <c r="FN38" s="45"/>
      <c r="FO38" s="45"/>
      <c r="FP38" s="45"/>
      <c r="FQ38" s="45"/>
      <c r="FR38" s="45"/>
      <c r="FS38" s="45"/>
      <c r="FT38" s="45"/>
      <c r="FU38" s="45"/>
      <c r="FV38" s="45"/>
      <c r="FW38" s="45"/>
      <c r="FX38" s="45"/>
      <c r="FY38" s="45"/>
      <c r="FZ38" s="45"/>
      <c r="GA38" s="45"/>
      <c r="GB38" s="45"/>
      <c r="GC38" s="45"/>
    </row>
    <row r="39" spans="1:185" s="46" customFormat="1" ht="34.5" customHeight="1">
      <c r="A39" s="98" t="s">
        <v>363</v>
      </c>
      <c r="B39" s="50" t="str">
        <f>LOWER(
  IF(
    RIGHT(
      SUBSTITUTE(SUBSTITUTE(SUBSTITUTE(SUBSTITUTE(SUBSTITUTE(SUBSTITUTE(SUBSTITUTE(C39,"(","_"),")","_"),"/","_"),":","_"),"-","_")," ","_"),"__","_"),
      1
    )="_",
    LEFT(
      SUBSTITUTE(SUBSTITUTE(SUBSTITUTE(SUBSTITUTE(SUBSTITUTE(SUBSTITUTE(SUBSTITUTE(C39,"(","_"),")","_"),"/","_"),":","_"),"-","_")," ","_"),"__","_"),
      LEN(
        SUBSTITUTE(SUBSTITUTE(SUBSTITUTE(SUBSTITUTE(SUBSTITUTE(SUBSTITUTE(SUBSTITUTE(C39,"(","_"),")","_"),"/","_"),":","_"),"-","_")," ","_"),"__","_")
      )-1
    ),
    SUBSTITUTE(SUBSTITUTE(SUBSTITUTE(SUBSTITUTE(SUBSTITUTE(SUBSTITUTE(SUBSTITUTE(C39,"(","_"),")","_"),"/","_"),":","_"),"-","_")," ","_"),"__","_")
  )
)</f>
        <v>pubmed_accession</v>
      </c>
      <c r="C39" s="48" t="s">
        <v>364</v>
      </c>
      <c r="D39" s="50" t="s">
        <v>365</v>
      </c>
      <c r="E39" s="49" t="s">
        <v>334</v>
      </c>
      <c r="F39" s="49" t="s">
        <v>65</v>
      </c>
      <c r="G39" s="49" t="s">
        <v>366</v>
      </c>
      <c r="H39" s="49" t="s">
        <v>367</v>
      </c>
      <c r="I39" s="49"/>
      <c r="J39" s="49"/>
      <c r="K39" s="49" t="s">
        <v>359</v>
      </c>
      <c r="L39" s="49"/>
      <c r="M39" s="49"/>
      <c r="N39" s="49"/>
      <c r="O39" s="49" t="s">
        <v>368</v>
      </c>
      <c r="P39" s="49"/>
      <c r="Q39" s="49"/>
      <c r="R39" s="49"/>
      <c r="S39" s="49"/>
      <c r="T39" s="49"/>
      <c r="U39" s="49"/>
      <c r="V39" s="50"/>
      <c r="W39" s="50"/>
      <c r="X39" s="48" t="s">
        <v>116</v>
      </c>
      <c r="Y39" s="48" t="s">
        <v>117</v>
      </c>
      <c r="Z39" s="48"/>
      <c r="AA39" s="49" t="str">
        <f>"[" &amp; _xlfn.TEXTJOIN(", ", TRUE,
    IF(I39&lt;&gt;"", """" &amp; I$1 &amp; """", ""),
    IF(J39&lt;&gt;"", """" &amp; J$1 &amp; """", ""),
    IF(K39&lt;&gt;"", """" &amp; K$1 &amp; """", ""),
    IF(L39&lt;&gt;"", """" &amp; L$1 &amp; """", ""),
    IF(M39&lt;&gt;"", """" &amp; M$1 &amp; """", ""),    IF(N39&lt;&gt;"", """" &amp; N$1 &amp; """", ""),    IF(O39&lt;&gt;"", """" &amp; O$1 &amp; """", ""),     IF(P39&lt;&gt;"", """" &amp; P$1 &amp; """", ""),     IF(Q39&lt;&gt;"", """" &amp; Q$1 &amp; """", ""), IF(R39&lt;&gt;"", """" &amp; R$1 &amp; """", ""), IF(S39&lt;&gt;"", """" &amp; S$1 &amp; """", ""), IF(T39&lt;&gt;"", """" &amp; T$1 &amp; """", ""), IF(U39&lt;&gt;"", """" &amp; U$1 &amp; """", ""),
    IF(X39&lt;&gt;"", """" &amp; X39 &amp; """", ""), IF(V39&lt;&gt;"", """" &amp; V39 &amp; """", ""), IF(W39&lt;&gt;"", """" &amp; W39 &amp; """", ""),
    IF(Y39&lt;&gt;"", """" &amp; Y39 &amp; """", ""),
    IF(Z39&lt;&gt;"", """" &amp; Z39 &amp; """", "")
) &amp; "]"</f>
        <v>["MIGS-VI", "BV-BRC", "Organizational", "Identifiers"]</v>
      </c>
      <c r="AB39" s="49" t="s">
        <v>347</v>
      </c>
      <c r="AC39" s="48" t="s">
        <v>369</v>
      </c>
      <c r="AD39" s="49"/>
      <c r="AE39" s="49"/>
      <c r="AF39" s="49"/>
      <c r="AG39" s="49"/>
      <c r="AH39" s="49"/>
      <c r="AI39" s="49"/>
      <c r="AJ39" s="49" t="s">
        <v>370</v>
      </c>
      <c r="AK39" s="49"/>
      <c r="AL39" s="49" t="s">
        <v>371</v>
      </c>
      <c r="AM39" s="49" t="s">
        <v>372</v>
      </c>
      <c r="AN39" s="49"/>
      <c r="AO39" s="49" t="s">
        <v>373</v>
      </c>
      <c r="AP39" s="49"/>
      <c r="AQ39" s="49"/>
      <c r="AR39" s="49"/>
      <c r="AS39" s="49"/>
      <c r="AT39" s="49"/>
      <c r="AU39" s="49"/>
      <c r="AV39" s="49"/>
      <c r="AW39" s="49"/>
      <c r="AX39" s="54"/>
      <c r="AY39" s="49"/>
      <c r="AZ39" s="48" t="s">
        <v>64</v>
      </c>
      <c r="BA39" s="48" t="s">
        <v>72</v>
      </c>
      <c r="BB39" s="49"/>
      <c r="BC39" s="49" t="s">
        <v>73</v>
      </c>
      <c r="BD39" s="49" t="s">
        <v>108</v>
      </c>
      <c r="BE39" s="48"/>
      <c r="BF39" s="45"/>
      <c r="BG39" s="45"/>
      <c r="BH39" s="45"/>
      <c r="BI39" s="45"/>
      <c r="BJ39" s="45"/>
      <c r="BK39" s="45"/>
      <c r="BL39" s="45"/>
      <c r="BM39" s="45"/>
      <c r="BN39" s="45"/>
      <c r="BO39" s="45"/>
      <c r="BP39" s="45"/>
      <c r="BQ39" s="45"/>
      <c r="BR39" s="45"/>
      <c r="BS39" s="45"/>
      <c r="BT39" s="45"/>
      <c r="BU39" s="45"/>
      <c r="BV39" s="45"/>
      <c r="BW39" s="45"/>
      <c r="BX39" s="45"/>
      <c r="BY39" s="45"/>
      <c r="BZ39" s="45"/>
      <c r="CA39" s="45"/>
      <c r="CB39" s="45"/>
      <c r="CC39" s="45"/>
      <c r="CD39" s="45"/>
      <c r="CE39" s="45"/>
      <c r="CF39" s="45"/>
      <c r="CG39" s="45"/>
      <c r="CH39" s="45"/>
      <c r="CI39" s="45"/>
      <c r="CJ39" s="45"/>
      <c r="CK39" s="45"/>
      <c r="CL39" s="45"/>
      <c r="CM39" s="45"/>
      <c r="CN39" s="45"/>
      <c r="CO39" s="45"/>
      <c r="CP39" s="45"/>
      <c r="CQ39" s="45"/>
      <c r="CR39" s="45"/>
      <c r="CS39" s="45"/>
      <c r="CT39" s="45"/>
      <c r="CU39" s="45"/>
      <c r="CV39" s="45"/>
      <c r="CW39" s="45"/>
      <c r="CX39" s="45"/>
      <c r="CY39" s="45"/>
      <c r="CZ39" s="45"/>
      <c r="DA39" s="45"/>
      <c r="DB39" s="45"/>
      <c r="DC39" s="45"/>
      <c r="DD39" s="45"/>
      <c r="DE39" s="45"/>
      <c r="DF39" s="45"/>
      <c r="DG39" s="45"/>
      <c r="DH39" s="45"/>
      <c r="DI39" s="45"/>
      <c r="DJ39" s="45"/>
      <c r="DK39" s="45"/>
      <c r="DL39" s="45"/>
      <c r="DM39" s="45"/>
      <c r="DN39" s="45"/>
      <c r="DO39" s="45"/>
      <c r="DP39" s="45"/>
      <c r="DQ39" s="45"/>
      <c r="DR39" s="45"/>
      <c r="DS39" s="45"/>
      <c r="DT39" s="45"/>
      <c r="DU39" s="45"/>
      <c r="DV39" s="45"/>
      <c r="DW39" s="45"/>
      <c r="DX39" s="45"/>
      <c r="DY39" s="45"/>
      <c r="DZ39" s="45"/>
      <c r="EA39" s="45"/>
      <c r="EB39" s="45"/>
      <c r="EC39" s="45"/>
      <c r="ED39" s="45"/>
      <c r="EE39" s="45"/>
      <c r="EF39" s="45"/>
      <c r="EG39" s="45"/>
      <c r="EH39" s="45"/>
      <c r="EI39" s="45"/>
      <c r="EJ39" s="45"/>
      <c r="EK39" s="45"/>
      <c r="EL39" s="45"/>
      <c r="EM39" s="45"/>
      <c r="EN39" s="45"/>
      <c r="EO39" s="45"/>
      <c r="EP39" s="45"/>
      <c r="EQ39" s="45"/>
      <c r="ER39" s="45"/>
      <c r="ES39" s="45"/>
      <c r="ET39" s="45"/>
      <c r="EU39" s="45"/>
      <c r="EV39" s="45"/>
      <c r="EW39" s="45"/>
      <c r="EX39" s="45"/>
      <c r="EY39" s="45"/>
      <c r="EZ39" s="45"/>
      <c r="FA39" s="45"/>
      <c r="FB39" s="45"/>
      <c r="FC39" s="45"/>
      <c r="FD39" s="45"/>
      <c r="FE39" s="45"/>
      <c r="FF39" s="45"/>
      <c r="FG39" s="45"/>
      <c r="FH39" s="45"/>
      <c r="FI39" s="45"/>
      <c r="FJ39" s="45"/>
      <c r="FK39" s="45"/>
      <c r="FL39" s="45"/>
      <c r="FM39" s="45"/>
      <c r="FN39" s="45"/>
      <c r="FO39" s="45"/>
      <c r="FP39" s="45"/>
      <c r="FQ39" s="45"/>
      <c r="FR39" s="45"/>
      <c r="FS39" s="45"/>
      <c r="FT39" s="45"/>
      <c r="FU39" s="45"/>
      <c r="FV39" s="45"/>
      <c r="FW39" s="45"/>
      <c r="FX39" s="45"/>
      <c r="FY39" s="45"/>
      <c r="FZ39" s="45"/>
      <c r="GA39" s="45"/>
      <c r="GB39" s="45"/>
      <c r="GC39" s="45"/>
    </row>
    <row r="40" spans="1:185" s="46" customFormat="1" ht="34.5" customHeight="1">
      <c r="A40" s="98" t="s">
        <v>374</v>
      </c>
      <c r="B40" s="50" t="str">
        <f>LOWER(
  IF(
    RIGHT(
      SUBSTITUTE(SUBSTITUTE(SUBSTITUTE(SUBSTITUTE(SUBSTITUTE(SUBSTITUTE(SUBSTITUTE(C40,"(","_"),")","_"),"/","_"),":","_"),"-","_")," ","_"),"__","_"),
      1
    )="_",
    LEFT(
      SUBSTITUTE(SUBSTITUTE(SUBSTITUTE(SUBSTITUTE(SUBSTITUTE(SUBSTITUTE(SUBSTITUTE(C40,"(","_"),")","_"),"/","_"),":","_"),"-","_")," ","_"),"__","_"),
      LEN(
        SUBSTITUTE(SUBSTITUTE(SUBSTITUTE(SUBSTITUTE(SUBSTITUTE(SUBSTITUTE(SUBSTITUTE(C40,"(","_"),")","_"),"/","_"),":","_"),"-","_")," ","_"),"__","_")
      )-1
    ),
    SUBSTITUTE(SUBSTITUTE(SUBSTITUTE(SUBSTITUTE(SUBSTITUTE(SUBSTITUTE(SUBSTITUTE(C40,"(","_"),")","_"),"/","_"),":","_"),"-","_")," ","_"),"__","_")
  )
)</f>
        <v>update_date</v>
      </c>
      <c r="C40" s="48" t="s">
        <v>375</v>
      </c>
      <c r="D40" s="50" t="s">
        <v>376</v>
      </c>
      <c r="E40" s="49" t="s">
        <v>292</v>
      </c>
      <c r="F40" s="49" t="s">
        <v>65</v>
      </c>
      <c r="G40" s="49" t="s">
        <v>377</v>
      </c>
      <c r="H40" s="49" t="s">
        <v>378</v>
      </c>
      <c r="I40" s="49"/>
      <c r="J40" s="49"/>
      <c r="K40" s="49"/>
      <c r="L40" s="49"/>
      <c r="M40" s="49"/>
      <c r="N40" s="49"/>
      <c r="O40" s="49" t="s">
        <v>379</v>
      </c>
      <c r="P40" s="49"/>
      <c r="Q40" s="49"/>
      <c r="R40" s="49"/>
      <c r="S40" s="49"/>
      <c r="T40" s="49"/>
      <c r="U40" s="49"/>
      <c r="V40" s="50"/>
      <c r="W40" s="50"/>
      <c r="X40" s="48" t="s">
        <v>116</v>
      </c>
      <c r="Y40" s="48"/>
      <c r="Z40" s="48" t="s">
        <v>93</v>
      </c>
      <c r="AA40" s="49" t="str">
        <f>"[" &amp; _xlfn.TEXTJOIN(", ", TRUE,
    IF(I40&lt;&gt;"", """" &amp; I$1 &amp; """", ""),
    IF(J40&lt;&gt;"", """" &amp; J$1 &amp; """", ""),
    IF(K40&lt;&gt;"", """" &amp; K$1 &amp; """", ""),
    IF(L40&lt;&gt;"", """" &amp; L$1 &amp; """", ""),
    IF(M40&lt;&gt;"", """" &amp; M$1 &amp; """", ""),    IF(N40&lt;&gt;"", """" &amp; N$1 &amp; """", ""),    IF(O40&lt;&gt;"", """" &amp; O$1 &amp; """", ""),     IF(P40&lt;&gt;"", """" &amp; P$1 &amp; """", ""),     IF(Q40&lt;&gt;"", """" &amp; Q$1 &amp; """", ""), IF(R40&lt;&gt;"", """" &amp; R$1 &amp; """", ""), IF(S40&lt;&gt;"", """" &amp; S$1 &amp; """", ""), IF(T40&lt;&gt;"", """" &amp; T$1 &amp; """", ""), IF(U40&lt;&gt;"", """" &amp; U$1 &amp; """", ""),
    IF(X40&lt;&gt;"", """" &amp; X40 &amp; """", ""), IF(V40&lt;&gt;"", """" &amp; V40 &amp; """", ""), IF(W40&lt;&gt;"", """" &amp; W40 &amp; """", ""),
    IF(Y40&lt;&gt;"", """" &amp; Y40 &amp; """", ""),
    IF(Z40&lt;&gt;"", """" &amp; Z40 &amp; """", "")
) &amp; "]"</f>
        <v>["BV-BRC", "Organizational", "Workflows"]</v>
      </c>
      <c r="AB40" s="49" t="s">
        <v>347</v>
      </c>
      <c r="AC40" s="48"/>
      <c r="AD40" s="49" t="s">
        <v>380</v>
      </c>
      <c r="AE40" s="49" t="s">
        <v>361</v>
      </c>
      <c r="AF40" s="49"/>
      <c r="AG40" s="49"/>
      <c r="AH40" s="49"/>
      <c r="AI40" s="49"/>
      <c r="AJ40" s="49" t="s">
        <v>381</v>
      </c>
      <c r="AK40" s="49"/>
      <c r="AL40" s="49" t="s">
        <v>382</v>
      </c>
      <c r="AM40" s="49" t="s">
        <v>383</v>
      </c>
      <c r="AN40" s="49"/>
      <c r="AO40" s="49"/>
      <c r="AP40" s="49"/>
      <c r="AQ40" s="49"/>
      <c r="AR40" s="49"/>
      <c r="AS40" s="49"/>
      <c r="AT40" s="49"/>
      <c r="AU40" s="49"/>
      <c r="AV40" s="49"/>
      <c r="AW40" s="49"/>
      <c r="AX40" s="54" t="s">
        <v>296</v>
      </c>
      <c r="AY40" s="49" t="s">
        <v>297</v>
      </c>
      <c r="AZ40" s="48" t="s">
        <v>292</v>
      </c>
      <c r="BA40" s="48" t="s">
        <v>72</v>
      </c>
      <c r="BB40" s="49"/>
      <c r="BC40" s="49" t="s">
        <v>73</v>
      </c>
      <c r="BD40" s="49" t="s">
        <v>94</v>
      </c>
      <c r="BE40" s="49"/>
      <c r="BF40" s="45"/>
      <c r="BG40" s="45"/>
      <c r="BH40" s="45"/>
      <c r="BI40" s="45"/>
      <c r="BJ40" s="45"/>
      <c r="BK40" s="45"/>
      <c r="BL40" s="45"/>
      <c r="BM40" s="45"/>
      <c r="BN40" s="45"/>
      <c r="BO40" s="45"/>
      <c r="BP40" s="45"/>
      <c r="BQ40" s="45"/>
      <c r="BR40" s="45"/>
      <c r="BS40" s="45"/>
      <c r="BT40" s="45"/>
      <c r="BU40" s="45"/>
      <c r="BV40" s="45"/>
      <c r="BW40" s="45"/>
      <c r="BX40" s="45"/>
      <c r="BY40" s="45"/>
      <c r="BZ40" s="45"/>
      <c r="CA40" s="45"/>
      <c r="CB40" s="45"/>
      <c r="CC40" s="45"/>
      <c r="CD40" s="45"/>
      <c r="CE40" s="45"/>
      <c r="CF40" s="45"/>
      <c r="CG40" s="45"/>
      <c r="CH40" s="45"/>
      <c r="CI40" s="45"/>
      <c r="CJ40" s="45"/>
      <c r="CK40" s="45"/>
      <c r="CL40" s="45"/>
      <c r="CM40" s="45"/>
      <c r="CN40" s="45"/>
      <c r="CO40" s="45"/>
      <c r="CP40" s="45"/>
      <c r="CQ40" s="45"/>
      <c r="CR40" s="45"/>
      <c r="CS40" s="45"/>
      <c r="CT40" s="45"/>
      <c r="CU40" s="45"/>
      <c r="CV40" s="45"/>
      <c r="CW40" s="45"/>
      <c r="CX40" s="45"/>
      <c r="CY40" s="45"/>
      <c r="CZ40" s="45"/>
      <c r="DA40" s="45"/>
      <c r="DB40" s="45"/>
      <c r="DC40" s="45"/>
      <c r="DD40" s="45"/>
      <c r="DE40" s="45"/>
      <c r="DF40" s="45"/>
      <c r="DG40" s="45"/>
      <c r="DH40" s="45"/>
      <c r="DI40" s="45"/>
      <c r="DJ40" s="45"/>
      <c r="DK40" s="45"/>
      <c r="DL40" s="45"/>
      <c r="DM40" s="45"/>
      <c r="DN40" s="45"/>
      <c r="DO40" s="45"/>
      <c r="DP40" s="45"/>
      <c r="DQ40" s="45"/>
      <c r="DR40" s="45"/>
      <c r="DS40" s="45"/>
      <c r="DT40" s="45"/>
      <c r="DU40" s="45"/>
      <c r="DV40" s="45"/>
      <c r="DW40" s="45"/>
      <c r="DX40" s="45"/>
      <c r="DY40" s="45"/>
      <c r="DZ40" s="45"/>
      <c r="EA40" s="45"/>
      <c r="EB40" s="45"/>
      <c r="EC40" s="45"/>
      <c r="ED40" s="45"/>
      <c r="EE40" s="45"/>
      <c r="EF40" s="45"/>
      <c r="EG40" s="45"/>
      <c r="EH40" s="45"/>
      <c r="EI40" s="45"/>
      <c r="EJ40" s="45"/>
      <c r="EK40" s="45"/>
      <c r="EL40" s="45"/>
      <c r="EM40" s="45"/>
      <c r="EN40" s="45"/>
      <c r="EO40" s="45"/>
      <c r="EP40" s="45"/>
      <c r="EQ40" s="45"/>
      <c r="ER40" s="45"/>
      <c r="ES40" s="45"/>
      <c r="ET40" s="45"/>
      <c r="EU40" s="45"/>
      <c r="EV40" s="45"/>
      <c r="EW40" s="45"/>
      <c r="EX40" s="45"/>
      <c r="EY40" s="45"/>
      <c r="EZ40" s="45"/>
      <c r="FA40" s="45"/>
      <c r="FB40" s="45"/>
      <c r="FC40" s="45"/>
      <c r="FD40" s="45"/>
      <c r="FE40" s="45"/>
      <c r="FF40" s="45"/>
      <c r="FG40" s="45"/>
      <c r="FH40" s="45"/>
      <c r="FI40" s="45"/>
      <c r="FJ40" s="45"/>
      <c r="FK40" s="45"/>
      <c r="FL40" s="45"/>
      <c r="FM40" s="45"/>
      <c r="FN40" s="45"/>
      <c r="FO40" s="45"/>
      <c r="FP40" s="45"/>
      <c r="FQ40" s="45"/>
      <c r="FR40" s="45"/>
      <c r="FS40" s="45"/>
      <c r="FT40" s="45"/>
      <c r="FU40" s="45"/>
      <c r="FV40" s="45"/>
      <c r="FW40" s="45"/>
      <c r="FX40" s="45"/>
      <c r="FY40" s="45"/>
      <c r="FZ40" s="45"/>
      <c r="GA40" s="45"/>
      <c r="GB40" s="45"/>
      <c r="GC40" s="45"/>
    </row>
    <row r="41" spans="1:185" s="46" customFormat="1" ht="34.5" customHeight="1">
      <c r="A41" s="98" t="s">
        <v>384</v>
      </c>
      <c r="B41" s="50" t="str">
        <f>LOWER(
  IF(
    RIGHT(
      SUBSTITUTE(SUBSTITUTE(SUBSTITUTE(SUBSTITUTE(SUBSTITUTE(SUBSTITUTE(SUBSTITUTE(C41,"(","_"),")","_"),"/","_"),":","_"),"-","_")," ","_"),"__","_"),
      1
    )="_",
    LEFT(
      SUBSTITUTE(SUBSTITUTE(SUBSTITUTE(SUBSTITUTE(SUBSTITUTE(SUBSTITUTE(SUBSTITUTE(C41,"(","_"),")","_"),"/","_"),":","_"),"-","_")," ","_"),"__","_"),
      LEN(
        SUBSTITUTE(SUBSTITUTE(SUBSTITUTE(SUBSTITUTE(SUBSTITUTE(SUBSTITUTE(SUBSTITUTE(C41,"(","_"),")","_"),"/","_"),":","_"),"-","_")," ","_"),"__","_")
      )-1
    ),
    SUBSTITUTE(SUBSTITUTE(SUBSTITUTE(SUBSTITUTE(SUBSTITUTE(SUBSTITUTE(SUBSTITUTE(C41,"(","_"),")","_"),"/","_"),":","_"),"-","_")," ","_"),"__","_")
  )
)</f>
        <v>insert_size</v>
      </c>
      <c r="C41" s="48" t="s">
        <v>385</v>
      </c>
      <c r="D41" s="50" t="s">
        <v>386</v>
      </c>
      <c r="E41" s="49" t="s">
        <v>334</v>
      </c>
      <c r="F41" s="49" t="s">
        <v>65</v>
      </c>
      <c r="G41" s="49" t="s">
        <v>387</v>
      </c>
      <c r="H41" s="49"/>
      <c r="I41" s="49" t="s">
        <v>388</v>
      </c>
      <c r="J41" s="49"/>
      <c r="K41" s="49"/>
      <c r="L41" s="49"/>
      <c r="M41" s="49"/>
      <c r="N41" s="49"/>
      <c r="O41" s="49"/>
      <c r="P41" s="49" t="s">
        <v>389</v>
      </c>
      <c r="Q41" s="49" t="s">
        <v>389</v>
      </c>
      <c r="R41" s="49"/>
      <c r="S41" s="49"/>
      <c r="T41" s="49"/>
      <c r="U41" s="49"/>
      <c r="V41" s="50" t="s">
        <v>390</v>
      </c>
      <c r="W41" s="50" t="s">
        <v>391</v>
      </c>
      <c r="X41" s="48" t="s">
        <v>288</v>
      </c>
      <c r="Y41" s="48"/>
      <c r="Z41" s="48" t="s">
        <v>93</v>
      </c>
      <c r="AA41" s="49" t="str">
        <f>"[" &amp; _xlfn.TEXTJOIN(", ", TRUE,
    IF(I41&lt;&gt;"", """" &amp; I$1 &amp; """", ""),
    IF(J41&lt;&gt;"", """" &amp; J$1 &amp; """", ""),
    IF(K41&lt;&gt;"", """" &amp; K$1 &amp; """", ""),
    IF(L41&lt;&gt;"", """" &amp; L$1 &amp; """", ""),
    IF(M41&lt;&gt;"", """" &amp; M$1 &amp; """", ""),    IF(N41&lt;&gt;"", """" &amp; N$1 &amp; """", ""),    IF(O41&lt;&gt;"", """" &amp; O$1 &amp; """", ""),     IF(P41&lt;&gt;"", """" &amp; P$1 &amp; """", ""),     IF(Q41&lt;&gt;"", """" &amp; Q$1 &amp; """", ""), IF(R41&lt;&gt;"", """" &amp; R$1 &amp; """", ""), IF(S41&lt;&gt;"", """" &amp; S$1 &amp; """", ""), IF(T41&lt;&gt;"", """" &amp; T$1 &amp; """", ""), IF(U41&lt;&gt;"", """" &amp; U$1 &amp; """", ""),
    IF(X41&lt;&gt;"", """" &amp; X41 &amp; """", ""), IF(V41&lt;&gt;"", """" &amp; V41 &amp; """", ""), IF(W41&lt;&gt;"", """" &amp; W41 &amp; """", ""),
    IF(Y41&lt;&gt;"", """" &amp; Y41 &amp; """", ""),
    IF(Z41&lt;&gt;"", """" &amp; Z41 &amp; """", "")
) &amp; "]"</f>
        <v>["ENA", "ENA ERC32", "ENA ERC33", "Analysis", "ENA Experiment", "VJDB Experiment", "Workflows"]</v>
      </c>
      <c r="AB41" s="49"/>
      <c r="AC41" s="48" t="s">
        <v>196</v>
      </c>
      <c r="AD41" s="49" t="s">
        <v>118</v>
      </c>
      <c r="AE41" s="49" t="s">
        <v>82</v>
      </c>
      <c r="AF41" s="49"/>
      <c r="AG41" s="49"/>
      <c r="AH41" s="49"/>
      <c r="AI41" s="49"/>
      <c r="AJ41" s="49"/>
      <c r="AK41" s="49"/>
      <c r="AL41" s="49"/>
      <c r="AM41" s="49"/>
      <c r="AN41" s="49"/>
      <c r="AO41" s="49"/>
      <c r="AP41" s="49" t="s">
        <v>392</v>
      </c>
      <c r="AQ41" s="49"/>
      <c r="AR41" s="49"/>
      <c r="AS41" s="49" t="s">
        <v>392</v>
      </c>
      <c r="AT41" s="49"/>
      <c r="AU41" s="49" t="s">
        <v>151</v>
      </c>
      <c r="AV41" s="49" t="s">
        <v>227</v>
      </c>
      <c r="AW41" s="49" t="s">
        <v>227</v>
      </c>
      <c r="AX41" s="54"/>
      <c r="AY41" s="49"/>
      <c r="AZ41" s="48" t="s">
        <v>64</v>
      </c>
      <c r="BA41" s="48" t="s">
        <v>72</v>
      </c>
      <c r="BB41" s="49"/>
      <c r="BC41" s="49" t="s">
        <v>73</v>
      </c>
      <c r="BD41" s="49" t="s">
        <v>94</v>
      </c>
      <c r="BE41" s="49"/>
      <c r="BF41" s="45"/>
      <c r="BG41" s="45"/>
      <c r="BH41" s="45"/>
      <c r="BI41" s="45"/>
      <c r="BJ41" s="45"/>
      <c r="BK41" s="45"/>
      <c r="BL41" s="45"/>
      <c r="BM41" s="45"/>
      <c r="BN41" s="45"/>
      <c r="BO41" s="45"/>
      <c r="BP41" s="45"/>
      <c r="BQ41" s="45"/>
      <c r="BR41" s="45"/>
      <c r="BS41" s="45"/>
      <c r="BT41" s="45"/>
      <c r="BU41" s="45"/>
      <c r="BV41" s="45"/>
      <c r="BW41" s="45"/>
      <c r="BX41" s="45"/>
      <c r="BY41" s="45"/>
      <c r="BZ41" s="45"/>
      <c r="CA41" s="45"/>
      <c r="CB41" s="45"/>
      <c r="CC41" s="45"/>
      <c r="CD41" s="45"/>
      <c r="CE41" s="45"/>
      <c r="CF41" s="45"/>
      <c r="CG41" s="45"/>
      <c r="CH41" s="45"/>
      <c r="CI41" s="45"/>
      <c r="CJ41" s="45"/>
      <c r="CK41" s="45"/>
      <c r="CL41" s="45"/>
      <c r="CM41" s="45"/>
      <c r="CN41" s="45"/>
      <c r="CO41" s="45"/>
      <c r="CP41" s="45"/>
      <c r="CQ41" s="45"/>
      <c r="CR41" s="45"/>
      <c r="CS41" s="45"/>
      <c r="CT41" s="45"/>
      <c r="CU41" s="45"/>
      <c r="CV41" s="45"/>
      <c r="CW41" s="45"/>
      <c r="CX41" s="45"/>
      <c r="CY41" s="45"/>
      <c r="CZ41" s="45"/>
      <c r="DA41" s="45"/>
      <c r="DB41" s="45"/>
      <c r="DC41" s="45"/>
      <c r="DD41" s="45"/>
      <c r="DE41" s="45"/>
      <c r="DF41" s="45"/>
      <c r="DG41" s="45"/>
      <c r="DH41" s="45"/>
      <c r="DI41" s="45"/>
      <c r="DJ41" s="45"/>
      <c r="DK41" s="45"/>
      <c r="DL41" s="45"/>
      <c r="DM41" s="45"/>
      <c r="DN41" s="45"/>
      <c r="DO41" s="45"/>
      <c r="DP41" s="45"/>
      <c r="DQ41" s="45"/>
      <c r="DR41" s="45"/>
      <c r="DS41" s="45"/>
      <c r="DT41" s="45"/>
      <c r="DU41" s="45"/>
      <c r="DV41" s="45"/>
      <c r="DW41" s="45"/>
      <c r="DX41" s="45"/>
      <c r="DY41" s="45"/>
      <c r="DZ41" s="45"/>
      <c r="EA41" s="45"/>
      <c r="EB41" s="45"/>
      <c r="EC41" s="45"/>
      <c r="ED41" s="45"/>
      <c r="EE41" s="45"/>
      <c r="EF41" s="45"/>
      <c r="EG41" s="45"/>
      <c r="EH41" s="45"/>
      <c r="EI41" s="45"/>
      <c r="EJ41" s="45"/>
      <c r="EK41" s="45"/>
      <c r="EL41" s="45"/>
      <c r="EM41" s="45"/>
      <c r="EN41" s="45"/>
      <c r="EO41" s="45"/>
      <c r="EP41" s="45"/>
      <c r="EQ41" s="45"/>
      <c r="ER41" s="45"/>
      <c r="ES41" s="45"/>
      <c r="ET41" s="45"/>
      <c r="EU41" s="45"/>
      <c r="EV41" s="45"/>
      <c r="EW41" s="45"/>
      <c r="EX41" s="45"/>
      <c r="EY41" s="45"/>
      <c r="EZ41" s="45"/>
      <c r="FA41" s="45"/>
      <c r="FB41" s="45"/>
      <c r="FC41" s="45"/>
      <c r="FD41" s="45"/>
      <c r="FE41" s="45"/>
      <c r="FF41" s="45"/>
      <c r="FG41" s="45"/>
      <c r="FH41" s="45"/>
      <c r="FI41" s="45"/>
      <c r="FJ41" s="45"/>
      <c r="FK41" s="45"/>
      <c r="FL41" s="45"/>
      <c r="FM41" s="45"/>
      <c r="FN41" s="45"/>
      <c r="FO41" s="45"/>
      <c r="FP41" s="45"/>
      <c r="FQ41" s="45"/>
      <c r="FR41" s="45"/>
      <c r="FS41" s="45"/>
      <c r="FT41" s="45"/>
      <c r="FU41" s="45"/>
      <c r="FV41" s="45"/>
      <c r="FW41" s="45"/>
      <c r="FX41" s="45"/>
      <c r="FY41" s="45"/>
      <c r="FZ41" s="45"/>
      <c r="GA41" s="45"/>
      <c r="GB41" s="45"/>
      <c r="GC41" s="45"/>
    </row>
    <row r="42" spans="1:185" s="46" customFormat="1" ht="34.5" customHeight="1">
      <c r="A42" s="98" t="s">
        <v>393</v>
      </c>
      <c r="B42" s="50" t="str">
        <f>LOWER(
  IF(
    RIGHT(
      SUBSTITUTE(SUBSTITUTE(SUBSTITUTE(SUBSTITUTE(SUBSTITUTE(SUBSTITUTE(SUBSTITUTE(C42,"(","_"),")","_"),"/","_"),":","_"),"-","_")," ","_"),"__","_"),
      1
    )="_",
    LEFT(
      SUBSTITUTE(SUBSTITUTE(SUBSTITUTE(SUBSTITUTE(SUBSTITUTE(SUBSTITUTE(SUBSTITUTE(C42,"(","_"),")","_"),"/","_"),":","_"),"-","_")," ","_"),"__","_"),
      LEN(
        SUBSTITUTE(SUBSTITUTE(SUBSTITUTE(SUBSTITUTE(SUBSTITUTE(SUBSTITUTE(SUBSTITUTE(C42,"(","_"),")","_"),"/","_"),":","_"),"-","_")," ","_"),"__","_")
      )-1
    ),
    SUBSTITUTE(SUBSTITUTE(SUBSTITUTE(SUBSTITUTE(SUBSTITUTE(SUBSTITUTE(SUBSTITUTE(C42,"(","_"),")","_"),"/","_"),":","_"),"-","_")," ","_"),"__","_")
  )
)</f>
        <v>instrument</v>
      </c>
      <c r="C42" s="48" t="s">
        <v>394</v>
      </c>
      <c r="D42" s="50" t="s">
        <v>395</v>
      </c>
      <c r="E42" s="49" t="s">
        <v>64</v>
      </c>
      <c r="F42" s="49" t="s">
        <v>65</v>
      </c>
      <c r="G42" s="49" t="s">
        <v>396</v>
      </c>
      <c r="H42" s="49"/>
      <c r="I42" s="49" t="s">
        <v>397</v>
      </c>
      <c r="J42" s="49"/>
      <c r="K42" s="49" t="s">
        <v>398</v>
      </c>
      <c r="L42" s="49"/>
      <c r="M42" s="49"/>
      <c r="N42" s="49"/>
      <c r="O42" s="49"/>
      <c r="P42" s="49" t="s">
        <v>399</v>
      </c>
      <c r="Q42" s="49" t="s">
        <v>399</v>
      </c>
      <c r="R42" s="49"/>
      <c r="S42" s="49"/>
      <c r="T42" s="49"/>
      <c r="U42" s="49"/>
      <c r="V42" s="50" t="s">
        <v>390</v>
      </c>
      <c r="W42" s="50" t="s">
        <v>391</v>
      </c>
      <c r="X42" s="48" t="s">
        <v>288</v>
      </c>
      <c r="Y42" s="48"/>
      <c r="Z42" s="48" t="s">
        <v>93</v>
      </c>
      <c r="AA42" s="49" t="str">
        <f>"[" &amp; _xlfn.TEXTJOIN(", ", TRUE,
    IF(I42&lt;&gt;"", """" &amp; I$1 &amp; """", ""),
    IF(J42&lt;&gt;"", """" &amp; J$1 &amp; """", ""),
    IF(K42&lt;&gt;"", """" &amp; K$1 &amp; """", ""),
    IF(L42&lt;&gt;"", """" &amp; L$1 &amp; """", ""),
    IF(M42&lt;&gt;"", """" &amp; M$1 &amp; """", ""),    IF(N42&lt;&gt;"", """" &amp; N$1 &amp; """", ""),    IF(O42&lt;&gt;"", """" &amp; O$1 &amp; """", ""),     IF(P42&lt;&gt;"", """" &amp; P$1 &amp; """", ""),     IF(Q42&lt;&gt;"", """" &amp; Q$1 &amp; """", ""), IF(R42&lt;&gt;"", """" &amp; R$1 &amp; """", ""), IF(S42&lt;&gt;"", """" &amp; S$1 &amp; """", ""), IF(T42&lt;&gt;"", """" &amp; T$1 &amp; """", ""), IF(U42&lt;&gt;"", """" &amp; U$1 &amp; """", ""),
    IF(X42&lt;&gt;"", """" &amp; X42 &amp; """", ""), IF(V42&lt;&gt;"", """" &amp; V42 &amp; """", ""), IF(W42&lt;&gt;"", """" &amp; W42 &amp; """", ""),
    IF(Y42&lt;&gt;"", """" &amp; Y42 &amp; """", ""),
    IF(Z42&lt;&gt;"", """" &amp; Z42 &amp; """", "")
) &amp; "]"</f>
        <v>["ENA", "MIGS-VI", "ENA ERC32", "ENA ERC33", "Analysis", "ENA Experiment", "VJDB Experiment", "Workflows"]</v>
      </c>
      <c r="AB42" s="49"/>
      <c r="AC42" s="48"/>
      <c r="AD42" s="49" t="s">
        <v>118</v>
      </c>
      <c r="AE42" s="49" t="s">
        <v>82</v>
      </c>
      <c r="AF42" s="49"/>
      <c r="AG42" s="49"/>
      <c r="AH42" s="49"/>
      <c r="AI42" s="49"/>
      <c r="AJ42" s="49"/>
      <c r="AK42" s="49"/>
      <c r="AL42" s="49"/>
      <c r="AM42" s="49"/>
      <c r="AN42" s="49"/>
      <c r="AO42" s="49"/>
      <c r="AP42" s="49" t="s">
        <v>400</v>
      </c>
      <c r="AQ42" s="49"/>
      <c r="AR42" s="49"/>
      <c r="AS42" s="49" t="s">
        <v>400</v>
      </c>
      <c r="AT42" s="49"/>
      <c r="AU42" s="49" t="s">
        <v>139</v>
      </c>
      <c r="AV42" s="49" t="s">
        <v>130</v>
      </c>
      <c r="AW42" s="49" t="s">
        <v>130</v>
      </c>
      <c r="AX42" s="54" t="s">
        <v>401</v>
      </c>
      <c r="AY42" s="49" t="s">
        <v>141</v>
      </c>
      <c r="AZ42" s="48" t="s">
        <v>106</v>
      </c>
      <c r="BA42" s="48" t="s">
        <v>107</v>
      </c>
      <c r="BB42" s="49"/>
      <c r="BC42" s="49" t="s">
        <v>73</v>
      </c>
      <c r="BD42" s="49" t="s">
        <v>142</v>
      </c>
      <c r="BE42" s="49"/>
      <c r="BF42" s="45"/>
      <c r="BG42" s="45"/>
      <c r="BH42" s="45"/>
      <c r="BI42" s="45"/>
      <c r="BJ42" s="45"/>
      <c r="BK42" s="45"/>
      <c r="BL42" s="45"/>
      <c r="BM42" s="45"/>
      <c r="BN42" s="45"/>
      <c r="BO42" s="45"/>
      <c r="BP42" s="45"/>
      <c r="BQ42" s="45"/>
      <c r="BR42" s="45"/>
      <c r="BS42" s="45"/>
      <c r="BT42" s="45"/>
      <c r="BU42" s="45"/>
      <c r="BV42" s="45"/>
      <c r="BW42" s="45"/>
      <c r="BX42" s="45"/>
      <c r="BY42" s="45"/>
      <c r="BZ42" s="45"/>
      <c r="CA42" s="45"/>
      <c r="CB42" s="45"/>
      <c r="CC42" s="45"/>
      <c r="CD42" s="45"/>
      <c r="CE42" s="45"/>
      <c r="CF42" s="45"/>
      <c r="CG42" s="45"/>
      <c r="CH42" s="45"/>
      <c r="CI42" s="45"/>
      <c r="CJ42" s="45"/>
      <c r="CK42" s="45"/>
      <c r="CL42" s="45"/>
      <c r="CM42" s="45"/>
      <c r="CN42" s="45"/>
      <c r="CO42" s="45"/>
      <c r="CP42" s="45"/>
      <c r="CQ42" s="45"/>
      <c r="CR42" s="45"/>
      <c r="CS42" s="45"/>
      <c r="CT42" s="45"/>
      <c r="CU42" s="45"/>
      <c r="CV42" s="45"/>
      <c r="CW42" s="45"/>
      <c r="CX42" s="45"/>
      <c r="CY42" s="45"/>
      <c r="CZ42" s="45"/>
      <c r="DA42" s="45"/>
      <c r="DB42" s="45"/>
      <c r="DC42" s="45"/>
      <c r="DD42" s="45"/>
      <c r="DE42" s="45"/>
      <c r="DF42" s="45"/>
      <c r="DG42" s="45"/>
      <c r="DH42" s="45"/>
      <c r="DI42" s="45"/>
      <c r="DJ42" s="45"/>
      <c r="DK42" s="45"/>
      <c r="DL42" s="45"/>
      <c r="DM42" s="45"/>
      <c r="DN42" s="45"/>
      <c r="DO42" s="45"/>
      <c r="DP42" s="45"/>
      <c r="DQ42" s="45"/>
      <c r="DR42" s="45"/>
      <c r="DS42" s="45"/>
      <c r="DT42" s="45"/>
      <c r="DU42" s="45"/>
      <c r="DV42" s="45"/>
      <c r="DW42" s="45"/>
      <c r="DX42" s="45"/>
      <c r="DY42" s="45"/>
      <c r="DZ42" s="45"/>
      <c r="EA42" s="45"/>
      <c r="EB42" s="45"/>
      <c r="EC42" s="45"/>
      <c r="ED42" s="45"/>
      <c r="EE42" s="45"/>
      <c r="EF42" s="45"/>
      <c r="EG42" s="45"/>
      <c r="EH42" s="45"/>
      <c r="EI42" s="45"/>
      <c r="EJ42" s="45"/>
      <c r="EK42" s="45"/>
      <c r="EL42" s="45"/>
      <c r="EM42" s="45"/>
      <c r="EN42" s="45"/>
      <c r="EO42" s="45"/>
      <c r="EP42" s="45"/>
      <c r="EQ42" s="45"/>
      <c r="ER42" s="45"/>
      <c r="ES42" s="45"/>
      <c r="ET42" s="45"/>
      <c r="EU42" s="45"/>
      <c r="EV42" s="45"/>
      <c r="EW42" s="45"/>
      <c r="EX42" s="45"/>
      <c r="EY42" s="45"/>
      <c r="EZ42" s="45"/>
      <c r="FA42" s="45"/>
      <c r="FB42" s="45"/>
      <c r="FC42" s="45"/>
      <c r="FD42" s="45"/>
      <c r="FE42" s="45"/>
      <c r="FF42" s="45"/>
      <c r="FG42" s="45"/>
      <c r="FH42" s="45"/>
      <c r="FI42" s="45"/>
      <c r="FJ42" s="45"/>
      <c r="FK42" s="45"/>
      <c r="FL42" s="45"/>
      <c r="FM42" s="45"/>
      <c r="FN42" s="45"/>
      <c r="FO42" s="45"/>
      <c r="FP42" s="45"/>
      <c r="FQ42" s="45"/>
      <c r="FR42" s="45"/>
      <c r="FS42" s="45"/>
      <c r="FT42" s="45"/>
      <c r="FU42" s="45"/>
      <c r="FV42" s="45"/>
      <c r="FW42" s="45"/>
      <c r="FX42" s="45"/>
      <c r="FY42" s="45"/>
      <c r="FZ42" s="45"/>
      <c r="GA42" s="45"/>
      <c r="GB42" s="45"/>
      <c r="GC42" s="45"/>
    </row>
    <row r="43" spans="1:185" s="46" customFormat="1" ht="34.5" customHeight="1">
      <c r="A43" s="98" t="s">
        <v>402</v>
      </c>
      <c r="B43" s="50" t="str">
        <f>LOWER(
  IF(
    RIGHT(
      SUBSTITUTE(SUBSTITUTE(SUBSTITUTE(SUBSTITUTE(SUBSTITUTE(SUBSTITUTE(SUBSTITUTE(C43,"(","_"),")","_"),"/","_"),":","_"),"-","_")," ","_"),"__","_"),
      1
    )="_",
    LEFT(
      SUBSTITUTE(SUBSTITUTE(SUBSTITUTE(SUBSTITUTE(SUBSTITUTE(SUBSTITUTE(SUBSTITUTE(C43,"(","_"),")","_"),"/","_"),":","_"),"-","_")," ","_"),"__","_"),
      LEN(
        SUBSTITUTE(SUBSTITUTE(SUBSTITUTE(SUBSTITUTE(SUBSTITUTE(SUBSTITUTE(SUBSTITUTE(C43,"(","_"),")","_"),"/","_"),":","_"),"-","_")," ","_"),"__","_")
      )-1
    ),
    SUBSTITUTE(SUBSTITUTE(SUBSTITUTE(SUBSTITUTE(SUBSTITUTE(SUBSTITUTE(SUBSTITUTE(C43,"(","_"),")","_"),"/","_"),":","_"),"-","_")," ","_"),"__","_")
  )
)</f>
        <v>library_construction_protocol</v>
      </c>
      <c r="C43" s="48" t="s">
        <v>403</v>
      </c>
      <c r="D43" s="50" t="s">
        <v>404</v>
      </c>
      <c r="E43" s="49" t="s">
        <v>64</v>
      </c>
      <c r="F43" s="49" t="s">
        <v>65</v>
      </c>
      <c r="G43" s="49" t="s">
        <v>405</v>
      </c>
      <c r="H43" s="49"/>
      <c r="I43" s="49" t="s">
        <v>406</v>
      </c>
      <c r="J43" s="49"/>
      <c r="K43" s="49"/>
      <c r="L43" s="49"/>
      <c r="M43" s="49"/>
      <c r="N43" s="49"/>
      <c r="O43" s="49"/>
      <c r="P43" s="49" t="s">
        <v>407</v>
      </c>
      <c r="Q43" s="49" t="s">
        <v>407</v>
      </c>
      <c r="R43" s="49"/>
      <c r="S43" s="49"/>
      <c r="T43" s="49"/>
      <c r="U43" s="49"/>
      <c r="V43" s="50" t="s">
        <v>390</v>
      </c>
      <c r="W43" s="50" t="s">
        <v>391</v>
      </c>
      <c r="X43" s="48" t="s">
        <v>288</v>
      </c>
      <c r="Y43" s="48"/>
      <c r="Z43" s="48" t="s">
        <v>93</v>
      </c>
      <c r="AA43" s="49" t="str">
        <f>"[" &amp; _xlfn.TEXTJOIN(", ", TRUE,
    IF(I43&lt;&gt;"", """" &amp; I$1 &amp; """", ""),
    IF(J43&lt;&gt;"", """" &amp; J$1 &amp; """", ""),
    IF(K43&lt;&gt;"", """" &amp; K$1 &amp; """", ""),
    IF(L43&lt;&gt;"", """" &amp; L$1 &amp; """", ""),
    IF(M43&lt;&gt;"", """" &amp; M$1 &amp; """", ""),    IF(N43&lt;&gt;"", """" &amp; N$1 &amp; """", ""),    IF(O43&lt;&gt;"", """" &amp; O$1 &amp; """", ""),     IF(P43&lt;&gt;"", """" &amp; P$1 &amp; """", ""),     IF(Q43&lt;&gt;"", """" &amp; Q$1 &amp; """", ""), IF(R43&lt;&gt;"", """" &amp; R$1 &amp; """", ""), IF(S43&lt;&gt;"", """" &amp; S$1 &amp; """", ""), IF(T43&lt;&gt;"", """" &amp; T$1 &amp; """", ""), IF(U43&lt;&gt;"", """" &amp; U$1 &amp; """", ""),
    IF(X43&lt;&gt;"", """" &amp; X43 &amp; """", ""), IF(V43&lt;&gt;"", """" &amp; V43 &amp; """", ""), IF(W43&lt;&gt;"", """" &amp; W43 &amp; """", ""),
    IF(Y43&lt;&gt;"", """" &amp; Y43 &amp; """", ""),
    IF(Z43&lt;&gt;"", """" &amp; Z43 &amp; """", "")
) &amp; "]"</f>
        <v>["ENA", "ENA ERC32", "ENA ERC33", "Analysis", "ENA Experiment", "VJDB Experiment", "Workflows"]</v>
      </c>
      <c r="AB43" s="49"/>
      <c r="AC43" s="48" t="s">
        <v>196</v>
      </c>
      <c r="AD43" s="49" t="s">
        <v>118</v>
      </c>
      <c r="AE43" s="49" t="s">
        <v>82</v>
      </c>
      <c r="AF43" s="49"/>
      <c r="AG43" s="49"/>
      <c r="AH43" s="49"/>
      <c r="AI43" s="49"/>
      <c r="AJ43" s="49"/>
      <c r="AK43" s="49"/>
      <c r="AL43" s="49"/>
      <c r="AM43" s="49"/>
      <c r="AN43" s="49"/>
      <c r="AO43" s="49"/>
      <c r="AP43" s="49" t="s">
        <v>408</v>
      </c>
      <c r="AQ43" s="49"/>
      <c r="AR43" s="49"/>
      <c r="AS43" s="49" t="s">
        <v>408</v>
      </c>
      <c r="AT43" s="49"/>
      <c r="AU43" s="49" t="s">
        <v>151</v>
      </c>
      <c r="AV43" s="49" t="s">
        <v>227</v>
      </c>
      <c r="AW43" s="49" t="s">
        <v>227</v>
      </c>
      <c r="AX43" s="54"/>
      <c r="AY43" s="49" t="s">
        <v>131</v>
      </c>
      <c r="AZ43" s="48" t="s">
        <v>64</v>
      </c>
      <c r="BA43" s="48" t="s">
        <v>72</v>
      </c>
      <c r="BB43" s="49"/>
      <c r="BC43" s="49" t="s">
        <v>73</v>
      </c>
      <c r="BD43" s="49" t="s">
        <v>74</v>
      </c>
      <c r="BE43" s="49"/>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c r="CE43" s="45"/>
      <c r="CF43" s="45"/>
      <c r="CG43" s="45"/>
      <c r="CH43" s="45"/>
      <c r="CI43" s="45"/>
      <c r="CJ43" s="45"/>
      <c r="CK43" s="45"/>
      <c r="CL43" s="45"/>
      <c r="CM43" s="45"/>
      <c r="CN43" s="45"/>
      <c r="CO43" s="45"/>
      <c r="CP43" s="45"/>
      <c r="CQ43" s="45"/>
      <c r="CR43" s="45"/>
      <c r="CS43" s="45"/>
      <c r="CT43" s="45"/>
      <c r="CU43" s="45"/>
      <c r="CV43" s="45"/>
      <c r="CW43" s="45"/>
      <c r="CX43" s="45"/>
      <c r="CY43" s="45"/>
      <c r="CZ43" s="45"/>
      <c r="DA43" s="45"/>
      <c r="DB43" s="45"/>
      <c r="DC43" s="45"/>
      <c r="DD43" s="45"/>
      <c r="DE43" s="45"/>
      <c r="DF43" s="45"/>
      <c r="DG43" s="45"/>
      <c r="DH43" s="45"/>
      <c r="DI43" s="45"/>
      <c r="DJ43" s="45"/>
      <c r="DK43" s="45"/>
      <c r="DL43" s="45"/>
      <c r="DM43" s="45"/>
      <c r="DN43" s="45"/>
      <c r="DO43" s="45"/>
      <c r="DP43" s="45"/>
      <c r="DQ43" s="45"/>
      <c r="DR43" s="45"/>
      <c r="DS43" s="45"/>
      <c r="DT43" s="45"/>
      <c r="DU43" s="45"/>
      <c r="DV43" s="45"/>
      <c r="DW43" s="45"/>
      <c r="DX43" s="45"/>
      <c r="DY43" s="45"/>
      <c r="DZ43" s="45"/>
      <c r="EA43" s="45"/>
      <c r="EB43" s="45"/>
      <c r="EC43" s="45"/>
      <c r="ED43" s="45"/>
      <c r="EE43" s="45"/>
      <c r="EF43" s="45"/>
      <c r="EG43" s="45"/>
      <c r="EH43" s="45"/>
      <c r="EI43" s="45"/>
      <c r="EJ43" s="45"/>
      <c r="EK43" s="45"/>
      <c r="EL43" s="45"/>
      <c r="EM43" s="45"/>
      <c r="EN43" s="45"/>
      <c r="EO43" s="45"/>
      <c r="EP43" s="45"/>
      <c r="EQ43" s="45"/>
      <c r="ER43" s="45"/>
      <c r="ES43" s="45"/>
      <c r="ET43" s="45"/>
      <c r="EU43" s="45"/>
      <c r="EV43" s="45"/>
      <c r="EW43" s="45"/>
      <c r="EX43" s="45"/>
      <c r="EY43" s="45"/>
      <c r="EZ43" s="45"/>
      <c r="FA43" s="45"/>
      <c r="FB43" s="45"/>
      <c r="FC43" s="45"/>
      <c r="FD43" s="45"/>
      <c r="FE43" s="45"/>
      <c r="FF43" s="45"/>
      <c r="FG43" s="45"/>
      <c r="FH43" s="45"/>
      <c r="FI43" s="45"/>
      <c r="FJ43" s="45"/>
      <c r="FK43" s="45"/>
      <c r="FL43" s="45"/>
      <c r="FM43" s="45"/>
      <c r="FN43" s="45"/>
      <c r="FO43" s="45"/>
      <c r="FP43" s="45"/>
      <c r="FQ43" s="45"/>
      <c r="FR43" s="45"/>
      <c r="FS43" s="45"/>
      <c r="FT43" s="45"/>
      <c r="FU43" s="45"/>
      <c r="FV43" s="45"/>
      <c r="FW43" s="45"/>
      <c r="FX43" s="45"/>
      <c r="FY43" s="45"/>
      <c r="FZ43" s="45"/>
      <c r="GA43" s="45"/>
      <c r="GB43" s="45"/>
      <c r="GC43" s="45"/>
    </row>
    <row r="44" spans="1:185" s="46" customFormat="1" ht="34.5" customHeight="1">
      <c r="A44" s="98" t="s">
        <v>409</v>
      </c>
      <c r="B44" s="50" t="str">
        <f>LOWER(
  IF(
    RIGHT(
      SUBSTITUTE(SUBSTITUTE(SUBSTITUTE(SUBSTITUTE(SUBSTITUTE(SUBSTITUTE(SUBSTITUTE(C44,"(","_"),")","_"),"/","_"),":","_"),"-","_")," ","_"),"__","_"),
      1
    )="_",
    LEFT(
      SUBSTITUTE(SUBSTITUTE(SUBSTITUTE(SUBSTITUTE(SUBSTITUTE(SUBSTITUTE(SUBSTITUTE(C44,"(","_"),")","_"),"/","_"),":","_"),"-","_")," ","_"),"__","_"),
      LEN(
        SUBSTITUTE(SUBSTITUTE(SUBSTITUTE(SUBSTITUTE(SUBSTITUTE(SUBSTITUTE(SUBSTITUTE(C44,"(","_"),")","_"),"/","_"),":","_"),"-","_")," ","_"),"__","_")
      )-1
    ),
    SUBSTITUTE(SUBSTITUTE(SUBSTITUTE(SUBSTITUTE(SUBSTITUTE(SUBSTITUTE(SUBSTITUTE(C44,"(","_"),")","_"),"/","_"),":","_"),"-","_")," ","_"),"__","_")
  )
)</f>
        <v>library_description</v>
      </c>
      <c r="C44" s="48" t="s">
        <v>410</v>
      </c>
      <c r="D44" s="50" t="s">
        <v>411</v>
      </c>
      <c r="E44" s="49" t="s">
        <v>64</v>
      </c>
      <c r="F44" s="49" t="s">
        <v>65</v>
      </c>
      <c r="G44" s="49" t="s">
        <v>412</v>
      </c>
      <c r="H44" s="49"/>
      <c r="I44" s="49" t="s">
        <v>413</v>
      </c>
      <c r="J44" s="49"/>
      <c r="K44" s="49"/>
      <c r="L44" s="49"/>
      <c r="M44" s="49"/>
      <c r="N44" s="49"/>
      <c r="O44" s="49"/>
      <c r="P44" s="49" t="s">
        <v>413</v>
      </c>
      <c r="Q44" s="49" t="s">
        <v>413</v>
      </c>
      <c r="R44" s="49"/>
      <c r="S44" s="49"/>
      <c r="T44" s="49"/>
      <c r="U44" s="49"/>
      <c r="V44" s="50" t="s">
        <v>390</v>
      </c>
      <c r="W44" s="50" t="s">
        <v>391</v>
      </c>
      <c r="X44" s="48" t="s">
        <v>288</v>
      </c>
      <c r="Y44" s="48"/>
      <c r="Z44" s="48" t="s">
        <v>93</v>
      </c>
      <c r="AA44" s="49" t="str">
        <f>"[" &amp; _xlfn.TEXTJOIN(", ", TRUE,
    IF(I44&lt;&gt;"", """" &amp; I$1 &amp; """", ""),
    IF(J44&lt;&gt;"", """" &amp; J$1 &amp; """", ""),
    IF(K44&lt;&gt;"", """" &amp; K$1 &amp; """", ""),
    IF(L44&lt;&gt;"", """" &amp; L$1 &amp; """", ""),
    IF(M44&lt;&gt;"", """" &amp; M$1 &amp; """", ""),    IF(N44&lt;&gt;"", """" &amp; N$1 &amp; """", ""),    IF(O44&lt;&gt;"", """" &amp; O$1 &amp; """", ""),     IF(P44&lt;&gt;"", """" &amp; P$1 &amp; """", ""),     IF(Q44&lt;&gt;"", """" &amp; Q$1 &amp; """", ""), IF(R44&lt;&gt;"", """" &amp; R$1 &amp; """", ""), IF(S44&lt;&gt;"", """" &amp; S$1 &amp; """", ""), IF(T44&lt;&gt;"", """" &amp; T$1 &amp; """", ""), IF(U44&lt;&gt;"", """" &amp; U$1 &amp; """", ""),
    IF(X44&lt;&gt;"", """" &amp; X44 &amp; """", ""), IF(V44&lt;&gt;"", """" &amp; V44 &amp; """", ""), IF(W44&lt;&gt;"", """" &amp; W44 &amp; """", ""),
    IF(Y44&lt;&gt;"", """" &amp; Y44 &amp; """", ""),
    IF(Z44&lt;&gt;"", """" &amp; Z44 &amp; """", "")
) &amp; "]"</f>
        <v>["ENA", "ENA ERC32", "ENA ERC33", "Analysis", "ENA Experiment", "VJDB Experiment", "Workflows"]</v>
      </c>
      <c r="AB44" s="49"/>
      <c r="AC44" s="48" t="s">
        <v>196</v>
      </c>
      <c r="AD44" s="49" t="s">
        <v>118</v>
      </c>
      <c r="AE44" s="49" t="s">
        <v>82</v>
      </c>
      <c r="AF44" s="49"/>
      <c r="AG44" s="49"/>
      <c r="AH44" s="49"/>
      <c r="AI44" s="49"/>
      <c r="AJ44" s="49"/>
      <c r="AK44" s="49"/>
      <c r="AL44" s="49"/>
      <c r="AM44" s="49"/>
      <c r="AN44" s="49"/>
      <c r="AO44" s="49"/>
      <c r="AP44" s="49" t="s">
        <v>414</v>
      </c>
      <c r="AQ44" s="49"/>
      <c r="AR44" s="49"/>
      <c r="AS44" s="49" t="s">
        <v>415</v>
      </c>
      <c r="AT44" s="49"/>
      <c r="AU44" s="49" t="s">
        <v>129</v>
      </c>
      <c r="AV44" s="49" t="s">
        <v>227</v>
      </c>
      <c r="AW44" s="49" t="s">
        <v>227</v>
      </c>
      <c r="AX44" s="54"/>
      <c r="AY44" s="49" t="s">
        <v>131</v>
      </c>
      <c r="AZ44" s="48" t="s">
        <v>64</v>
      </c>
      <c r="BA44" s="48" t="s">
        <v>72</v>
      </c>
      <c r="BB44" s="49"/>
      <c r="BC44" s="49" t="s">
        <v>73</v>
      </c>
      <c r="BD44" s="49" t="s">
        <v>74</v>
      </c>
      <c r="BE44" s="49"/>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45"/>
      <c r="CE44" s="45"/>
      <c r="CF44" s="45"/>
      <c r="CG44" s="45"/>
      <c r="CH44" s="45"/>
      <c r="CI44" s="45"/>
      <c r="CJ44" s="45"/>
      <c r="CK44" s="45"/>
      <c r="CL44" s="45"/>
      <c r="CM44" s="45"/>
      <c r="CN44" s="45"/>
      <c r="CO44" s="45"/>
      <c r="CP44" s="45"/>
      <c r="CQ44" s="45"/>
      <c r="CR44" s="45"/>
      <c r="CS44" s="45"/>
      <c r="CT44" s="45"/>
      <c r="CU44" s="45"/>
      <c r="CV44" s="45"/>
      <c r="CW44" s="45"/>
      <c r="CX44" s="45"/>
      <c r="CY44" s="45"/>
      <c r="CZ44" s="45"/>
      <c r="DA44" s="45"/>
      <c r="DB44" s="45"/>
      <c r="DC44" s="45"/>
      <c r="DD44" s="45"/>
      <c r="DE44" s="45"/>
      <c r="DF44" s="45"/>
      <c r="DG44" s="45"/>
      <c r="DH44" s="45"/>
      <c r="DI44" s="45"/>
      <c r="DJ44" s="45"/>
      <c r="DK44" s="45"/>
      <c r="DL44" s="45"/>
      <c r="DM44" s="45"/>
      <c r="DN44" s="45"/>
      <c r="DO44" s="45"/>
      <c r="DP44" s="45"/>
      <c r="DQ44" s="45"/>
      <c r="DR44" s="45"/>
      <c r="DS44" s="45"/>
      <c r="DT44" s="45"/>
      <c r="DU44" s="45"/>
      <c r="DV44" s="45"/>
      <c r="DW44" s="45"/>
      <c r="DX44" s="45"/>
      <c r="DY44" s="45"/>
      <c r="DZ44" s="45"/>
      <c r="EA44" s="45"/>
      <c r="EB44" s="45"/>
      <c r="EC44" s="45"/>
      <c r="ED44" s="45"/>
      <c r="EE44" s="45"/>
      <c r="EF44" s="45"/>
      <c r="EG44" s="45"/>
      <c r="EH44" s="45"/>
      <c r="EI44" s="45"/>
      <c r="EJ44" s="45"/>
      <c r="EK44" s="45"/>
      <c r="EL44" s="45"/>
      <c r="EM44" s="45"/>
      <c r="EN44" s="45"/>
      <c r="EO44" s="45"/>
      <c r="EP44" s="45"/>
      <c r="EQ44" s="45"/>
      <c r="ER44" s="45"/>
      <c r="ES44" s="45"/>
      <c r="ET44" s="45"/>
      <c r="EU44" s="45"/>
      <c r="EV44" s="45"/>
      <c r="EW44" s="45"/>
      <c r="EX44" s="45"/>
      <c r="EY44" s="45"/>
      <c r="EZ44" s="45"/>
      <c r="FA44" s="45"/>
      <c r="FB44" s="45"/>
      <c r="FC44" s="45"/>
      <c r="FD44" s="45"/>
      <c r="FE44" s="45"/>
      <c r="FF44" s="45"/>
      <c r="FG44" s="45"/>
      <c r="FH44" s="45"/>
      <c r="FI44" s="45"/>
      <c r="FJ44" s="45"/>
      <c r="FK44" s="45"/>
      <c r="FL44" s="45"/>
      <c r="FM44" s="45"/>
      <c r="FN44" s="45"/>
      <c r="FO44" s="45"/>
      <c r="FP44" s="45"/>
      <c r="FQ44" s="45"/>
      <c r="FR44" s="45"/>
      <c r="FS44" s="45"/>
      <c r="FT44" s="45"/>
      <c r="FU44" s="45"/>
      <c r="FV44" s="45"/>
      <c r="FW44" s="45"/>
      <c r="FX44" s="45"/>
      <c r="FY44" s="45"/>
      <c r="FZ44" s="45"/>
      <c r="GA44" s="45"/>
      <c r="GB44" s="45"/>
      <c r="GC44" s="45"/>
    </row>
    <row r="45" spans="1:185" s="46" customFormat="1" ht="34.5" customHeight="1">
      <c r="A45" s="98" t="s">
        <v>416</v>
      </c>
      <c r="B45" s="50" t="str">
        <f>LOWER(
  IF(
    RIGHT(
      SUBSTITUTE(SUBSTITUTE(SUBSTITUTE(SUBSTITUTE(SUBSTITUTE(SUBSTITUTE(SUBSTITUTE(C45,"(","_"),")","_"),"/","_"),":","_"),"-","_")," ","_"),"__","_"),
      1
    )="_",
    LEFT(
      SUBSTITUTE(SUBSTITUTE(SUBSTITUTE(SUBSTITUTE(SUBSTITUTE(SUBSTITUTE(SUBSTITUTE(C45,"(","_"),")","_"),"/","_"),":","_"),"-","_")," ","_"),"__","_"),
      LEN(
        SUBSTITUTE(SUBSTITUTE(SUBSTITUTE(SUBSTITUTE(SUBSTITUTE(SUBSTITUTE(SUBSTITUTE(C45,"(","_"),")","_"),"/","_"),":","_"),"-","_")," ","_"),"__","_")
      )-1
    ),
    SUBSTITUTE(SUBSTITUTE(SUBSTITUTE(SUBSTITUTE(SUBSTITUTE(SUBSTITUTE(SUBSTITUTE(C45,"(","_"),")","_"),"/","_"),":","_"),"-","_")," ","_"),"__","_")
  )
)</f>
        <v>library_layout</v>
      </c>
      <c r="C45" s="48" t="s">
        <v>417</v>
      </c>
      <c r="D45" s="50" t="s">
        <v>418</v>
      </c>
      <c r="E45" s="49" t="s">
        <v>98</v>
      </c>
      <c r="F45" s="49" t="s">
        <v>65</v>
      </c>
      <c r="G45" s="49" t="s">
        <v>419</v>
      </c>
      <c r="H45" s="49"/>
      <c r="I45" s="49" t="s">
        <v>420</v>
      </c>
      <c r="J45" s="49"/>
      <c r="K45" s="49" t="s">
        <v>421</v>
      </c>
      <c r="L45" s="49"/>
      <c r="M45" s="49"/>
      <c r="N45" s="49"/>
      <c r="O45" s="49"/>
      <c r="P45" s="49" t="s">
        <v>420</v>
      </c>
      <c r="Q45" s="49" t="s">
        <v>420</v>
      </c>
      <c r="R45" s="49"/>
      <c r="S45" s="49"/>
      <c r="T45" s="49"/>
      <c r="U45" s="49"/>
      <c r="V45" s="50" t="s">
        <v>390</v>
      </c>
      <c r="W45" s="50" t="s">
        <v>391</v>
      </c>
      <c r="X45" s="48" t="s">
        <v>288</v>
      </c>
      <c r="Y45" s="48"/>
      <c r="Z45" s="48" t="s">
        <v>93</v>
      </c>
      <c r="AA45" s="49" t="str">
        <f>"[" &amp; _xlfn.TEXTJOIN(", ", TRUE,
    IF(I45&lt;&gt;"", """" &amp; I$1 &amp; """", ""),
    IF(J45&lt;&gt;"", """" &amp; J$1 &amp; """", ""),
    IF(K45&lt;&gt;"", """" &amp; K$1 &amp; """", ""),
    IF(L45&lt;&gt;"", """" &amp; L$1 &amp; """", ""),
    IF(M45&lt;&gt;"", """" &amp; M$1 &amp; """", ""),    IF(N45&lt;&gt;"", """" &amp; N$1 &amp; """", ""),    IF(O45&lt;&gt;"", """" &amp; O$1 &amp; """", ""),     IF(P45&lt;&gt;"", """" &amp; P$1 &amp; """", ""),     IF(Q45&lt;&gt;"", """" &amp; Q$1 &amp; """", ""), IF(R45&lt;&gt;"", """" &amp; R$1 &amp; """", ""), IF(S45&lt;&gt;"", """" &amp; S$1 &amp; """", ""), IF(T45&lt;&gt;"", """" &amp; T$1 &amp; """", ""), IF(U45&lt;&gt;"", """" &amp; U$1 &amp; """", ""),
    IF(X45&lt;&gt;"", """" &amp; X45 &amp; """", ""), IF(V45&lt;&gt;"", """" &amp; V45 &amp; """", ""), IF(W45&lt;&gt;"", """" &amp; W45 &amp; """", ""),
    IF(Y45&lt;&gt;"", """" &amp; Y45 &amp; """", ""),
    IF(Z45&lt;&gt;"", """" &amp; Z45 &amp; """", "")
) &amp; "]"</f>
        <v>["ENA", "MIGS-VI", "ENA ERC32", "ENA ERC33", "Analysis", "ENA Experiment", "VJDB Experiment", "Workflows"]</v>
      </c>
      <c r="AB45" s="49"/>
      <c r="AC45" s="48"/>
      <c r="AD45" s="49" t="s">
        <v>118</v>
      </c>
      <c r="AE45" s="49" t="s">
        <v>82</v>
      </c>
      <c r="AF45" s="49"/>
      <c r="AG45" s="49"/>
      <c r="AH45" s="49"/>
      <c r="AI45" s="49"/>
      <c r="AJ45" s="49"/>
      <c r="AK45" s="49"/>
      <c r="AL45" s="49"/>
      <c r="AM45" s="49"/>
      <c r="AN45" s="49"/>
      <c r="AO45" s="49"/>
      <c r="AP45" s="49" t="s">
        <v>422</v>
      </c>
      <c r="AQ45" s="49"/>
      <c r="AR45" s="49"/>
      <c r="AS45" s="49" t="s">
        <v>422</v>
      </c>
      <c r="AT45" s="49"/>
      <c r="AU45" s="49" t="s">
        <v>151</v>
      </c>
      <c r="AV45" s="49" t="s">
        <v>130</v>
      </c>
      <c r="AW45" s="49" t="s">
        <v>130</v>
      </c>
      <c r="AX45" s="49" t="s">
        <v>423</v>
      </c>
      <c r="AY45" s="49" t="s">
        <v>141</v>
      </c>
      <c r="AZ45" s="48" t="s">
        <v>106</v>
      </c>
      <c r="BA45" s="48" t="s">
        <v>107</v>
      </c>
      <c r="BB45" s="49"/>
      <c r="BC45" s="49" t="s">
        <v>73</v>
      </c>
      <c r="BD45" s="49" t="s">
        <v>142</v>
      </c>
      <c r="BE45" s="49"/>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c r="CE45" s="45"/>
      <c r="CF45" s="45"/>
      <c r="CG45" s="45"/>
      <c r="CH45" s="45"/>
      <c r="CI45" s="45"/>
      <c r="CJ45" s="45"/>
      <c r="CK45" s="45"/>
      <c r="CL45" s="45"/>
      <c r="CM45" s="45"/>
      <c r="CN45" s="45"/>
      <c r="CO45" s="45"/>
      <c r="CP45" s="45"/>
      <c r="CQ45" s="45"/>
      <c r="CR45" s="45"/>
      <c r="CS45" s="45"/>
      <c r="CT45" s="45"/>
      <c r="CU45" s="45"/>
      <c r="CV45" s="45"/>
      <c r="CW45" s="45"/>
      <c r="CX45" s="45"/>
      <c r="CY45" s="45"/>
      <c r="CZ45" s="45"/>
      <c r="DA45" s="45"/>
      <c r="DB45" s="45"/>
      <c r="DC45" s="45"/>
      <c r="DD45" s="45"/>
      <c r="DE45" s="45"/>
      <c r="DF45" s="45"/>
      <c r="DG45" s="45"/>
      <c r="DH45" s="45"/>
      <c r="DI45" s="45"/>
      <c r="DJ45" s="45"/>
      <c r="DK45" s="45"/>
      <c r="DL45" s="45"/>
      <c r="DM45" s="45"/>
      <c r="DN45" s="45"/>
      <c r="DO45" s="45"/>
      <c r="DP45" s="45"/>
      <c r="DQ45" s="45"/>
      <c r="DR45" s="45"/>
      <c r="DS45" s="45"/>
      <c r="DT45" s="45"/>
      <c r="DU45" s="45"/>
      <c r="DV45" s="45"/>
      <c r="DW45" s="45"/>
      <c r="DX45" s="45"/>
      <c r="DY45" s="45"/>
      <c r="DZ45" s="45"/>
      <c r="EA45" s="45"/>
      <c r="EB45" s="45"/>
      <c r="EC45" s="45"/>
      <c r="ED45" s="45"/>
      <c r="EE45" s="45"/>
      <c r="EF45" s="45"/>
      <c r="EG45" s="45"/>
      <c r="EH45" s="45"/>
      <c r="EI45" s="45"/>
      <c r="EJ45" s="45"/>
      <c r="EK45" s="45"/>
      <c r="EL45" s="45"/>
      <c r="EM45" s="45"/>
      <c r="EN45" s="45"/>
      <c r="EO45" s="45"/>
      <c r="EP45" s="45"/>
      <c r="EQ45" s="45"/>
      <c r="ER45" s="45"/>
      <c r="ES45" s="45"/>
      <c r="ET45" s="45"/>
      <c r="EU45" s="45"/>
      <c r="EV45" s="45"/>
      <c r="EW45" s="45"/>
      <c r="EX45" s="45"/>
      <c r="EY45" s="45"/>
      <c r="EZ45" s="45"/>
      <c r="FA45" s="45"/>
      <c r="FB45" s="45"/>
      <c r="FC45" s="45"/>
      <c r="FD45" s="45"/>
      <c r="FE45" s="45"/>
      <c r="FF45" s="45"/>
      <c r="FG45" s="45"/>
      <c r="FH45" s="45"/>
      <c r="FI45" s="45"/>
      <c r="FJ45" s="45"/>
      <c r="FK45" s="45"/>
      <c r="FL45" s="45"/>
      <c r="FM45" s="45"/>
      <c r="FN45" s="45"/>
      <c r="FO45" s="45"/>
      <c r="FP45" s="45"/>
      <c r="FQ45" s="45"/>
      <c r="FR45" s="45"/>
      <c r="FS45" s="45"/>
      <c r="FT45" s="45"/>
      <c r="FU45" s="45"/>
      <c r="FV45" s="45"/>
      <c r="FW45" s="45"/>
      <c r="FX45" s="45"/>
      <c r="FY45" s="45"/>
      <c r="FZ45" s="45"/>
      <c r="GA45" s="45"/>
      <c r="GB45" s="45"/>
      <c r="GC45" s="45"/>
    </row>
    <row r="46" spans="1:185" s="46" customFormat="1" ht="34.5" customHeight="1">
      <c r="A46" s="98" t="s">
        <v>424</v>
      </c>
      <c r="B46" s="50" t="str">
        <f>LOWER(
  IF(
    RIGHT(
      SUBSTITUTE(SUBSTITUTE(SUBSTITUTE(SUBSTITUTE(SUBSTITUTE(SUBSTITUTE(SUBSTITUTE(C46,"(","_"),")","_"),"/","_"),":","_"),"-","_")," ","_"),"__","_"),
      1
    )="_",
    LEFT(
      SUBSTITUTE(SUBSTITUTE(SUBSTITUTE(SUBSTITUTE(SUBSTITUTE(SUBSTITUTE(SUBSTITUTE(C46,"(","_"),")","_"),"/","_"),":","_"),"-","_")," ","_"),"__","_"),
      LEN(
        SUBSTITUTE(SUBSTITUTE(SUBSTITUTE(SUBSTITUTE(SUBSTITUTE(SUBSTITUTE(SUBSTITUTE(C46,"(","_"),")","_"),"/","_"),":","_"),"-","_")," ","_"),"__","_")
      )-1
    ),
    SUBSTITUTE(SUBSTITUTE(SUBSTITUTE(SUBSTITUTE(SUBSTITUTE(SUBSTITUTE(SUBSTITUTE(C46,"(","_"),")","_"),"/","_"),":","_"),"-","_")," ","_"),"__","_")
  )
)</f>
        <v>library_name</v>
      </c>
      <c r="C46" s="48" t="s">
        <v>425</v>
      </c>
      <c r="D46" s="50" t="s">
        <v>426</v>
      </c>
      <c r="E46" s="49" t="s">
        <v>64</v>
      </c>
      <c r="F46" s="49" t="s">
        <v>65</v>
      </c>
      <c r="G46" s="49" t="s">
        <v>427</v>
      </c>
      <c r="H46" s="49"/>
      <c r="I46" s="49" t="s">
        <v>428</v>
      </c>
      <c r="J46" s="49"/>
      <c r="K46" s="49"/>
      <c r="L46" s="49"/>
      <c r="M46" s="49"/>
      <c r="N46" s="49"/>
      <c r="O46" s="49"/>
      <c r="P46" s="49" t="s">
        <v>429</v>
      </c>
      <c r="Q46" s="49" t="s">
        <v>429</v>
      </c>
      <c r="R46" s="49"/>
      <c r="S46" s="49"/>
      <c r="T46" s="49"/>
      <c r="U46" s="49"/>
      <c r="V46" s="50" t="s">
        <v>390</v>
      </c>
      <c r="W46" s="50" t="s">
        <v>391</v>
      </c>
      <c r="X46" s="48" t="s">
        <v>288</v>
      </c>
      <c r="Y46" s="48"/>
      <c r="Z46" s="48" t="s">
        <v>93</v>
      </c>
      <c r="AA46" s="49" t="str">
        <f>"[" &amp; _xlfn.TEXTJOIN(", ", TRUE,
    IF(I46&lt;&gt;"", """" &amp; I$1 &amp; """", ""),
    IF(J46&lt;&gt;"", """" &amp; J$1 &amp; """", ""),
    IF(K46&lt;&gt;"", """" &amp; K$1 &amp; """", ""),
    IF(L46&lt;&gt;"", """" &amp; L$1 &amp; """", ""),
    IF(M46&lt;&gt;"", """" &amp; M$1 &amp; """", ""),    IF(N46&lt;&gt;"", """" &amp; N$1 &amp; """", ""),    IF(O46&lt;&gt;"", """" &amp; O$1 &amp; """", ""),     IF(P46&lt;&gt;"", """" &amp; P$1 &amp; """", ""),     IF(Q46&lt;&gt;"", """" &amp; Q$1 &amp; """", ""), IF(R46&lt;&gt;"", """" &amp; R$1 &amp; """", ""), IF(S46&lt;&gt;"", """" &amp; S$1 &amp; """", ""), IF(T46&lt;&gt;"", """" &amp; T$1 &amp; """", ""), IF(U46&lt;&gt;"", """" &amp; U$1 &amp; """", ""),
    IF(X46&lt;&gt;"", """" &amp; X46 &amp; """", ""), IF(V46&lt;&gt;"", """" &amp; V46 &amp; """", ""), IF(W46&lt;&gt;"", """" &amp; W46 &amp; """", ""),
    IF(Y46&lt;&gt;"", """" &amp; Y46 &amp; """", ""),
    IF(Z46&lt;&gt;"", """" &amp; Z46 &amp; """", "")
) &amp; "]"</f>
        <v>["ENA", "ENA ERC32", "ENA ERC33", "Analysis", "ENA Experiment", "VJDB Experiment", "Workflows"]</v>
      </c>
      <c r="AB46" s="49"/>
      <c r="AC46" s="48"/>
      <c r="AD46" s="49" t="s">
        <v>118</v>
      </c>
      <c r="AE46" s="49" t="s">
        <v>82</v>
      </c>
      <c r="AF46" s="49"/>
      <c r="AG46" s="49"/>
      <c r="AH46" s="49"/>
      <c r="AI46" s="49"/>
      <c r="AJ46" s="49"/>
      <c r="AK46" s="49"/>
      <c r="AL46" s="49"/>
      <c r="AM46" s="49"/>
      <c r="AN46" s="49"/>
      <c r="AO46" s="49"/>
      <c r="AP46" s="49" t="s">
        <v>430</v>
      </c>
      <c r="AQ46" s="49"/>
      <c r="AR46" s="49"/>
      <c r="AS46" s="49" t="s">
        <v>430</v>
      </c>
      <c r="AT46" s="49"/>
      <c r="AU46" s="49" t="s">
        <v>151</v>
      </c>
      <c r="AV46" s="49" t="s">
        <v>130</v>
      </c>
      <c r="AW46" s="49" t="s">
        <v>130</v>
      </c>
      <c r="AX46" s="49">
        <v>1111898265709</v>
      </c>
      <c r="AY46" s="49" t="s">
        <v>131</v>
      </c>
      <c r="AZ46" s="48" t="s">
        <v>182</v>
      </c>
      <c r="BA46" s="48" t="s">
        <v>72</v>
      </c>
      <c r="BB46" s="49"/>
      <c r="BC46" s="49" t="s">
        <v>73</v>
      </c>
      <c r="BD46" s="49" t="s">
        <v>74</v>
      </c>
      <c r="BE46" s="49"/>
      <c r="BF46" s="45"/>
      <c r="BG46" s="45"/>
      <c r="BH46" s="45"/>
      <c r="BI46" s="45"/>
      <c r="BJ46" s="45"/>
      <c r="BK46" s="45"/>
      <c r="BL46" s="45"/>
      <c r="BM46" s="45"/>
      <c r="BN46" s="45"/>
      <c r="BO46" s="45"/>
      <c r="BP46" s="45"/>
      <c r="BQ46" s="45"/>
      <c r="BR46" s="45"/>
      <c r="BS46" s="45"/>
      <c r="BT46" s="45"/>
      <c r="BU46" s="45"/>
      <c r="BV46" s="45"/>
      <c r="BW46" s="45"/>
      <c r="BX46" s="45"/>
      <c r="BY46" s="45"/>
      <c r="BZ46" s="45"/>
      <c r="CA46" s="45"/>
      <c r="CB46" s="45"/>
      <c r="CC46" s="45"/>
      <c r="CD46" s="45"/>
      <c r="CE46" s="45"/>
      <c r="CF46" s="45"/>
      <c r="CG46" s="45"/>
      <c r="CH46" s="45"/>
      <c r="CI46" s="45"/>
      <c r="CJ46" s="45"/>
      <c r="CK46" s="45"/>
      <c r="CL46" s="45"/>
      <c r="CM46" s="45"/>
      <c r="CN46" s="45"/>
      <c r="CO46" s="45"/>
      <c r="CP46" s="45"/>
      <c r="CQ46" s="45"/>
      <c r="CR46" s="45"/>
      <c r="CS46" s="45"/>
      <c r="CT46" s="45"/>
      <c r="CU46" s="45"/>
      <c r="CV46" s="45"/>
      <c r="CW46" s="45"/>
      <c r="CX46" s="45"/>
      <c r="CY46" s="45"/>
      <c r="CZ46" s="45"/>
      <c r="DA46" s="45"/>
      <c r="DB46" s="45"/>
      <c r="DC46" s="45"/>
      <c r="DD46" s="45"/>
      <c r="DE46" s="45"/>
      <c r="DF46" s="45"/>
      <c r="DG46" s="45"/>
      <c r="DH46" s="45"/>
      <c r="DI46" s="45"/>
      <c r="DJ46" s="45"/>
      <c r="DK46" s="45"/>
      <c r="DL46" s="45"/>
      <c r="DM46" s="45"/>
      <c r="DN46" s="45"/>
      <c r="DO46" s="45"/>
      <c r="DP46" s="45"/>
      <c r="DQ46" s="45"/>
      <c r="DR46" s="45"/>
      <c r="DS46" s="45"/>
      <c r="DT46" s="45"/>
      <c r="DU46" s="45"/>
      <c r="DV46" s="45"/>
      <c r="DW46" s="45"/>
      <c r="DX46" s="45"/>
      <c r="DY46" s="45"/>
      <c r="DZ46" s="45"/>
      <c r="EA46" s="45"/>
      <c r="EB46" s="45"/>
      <c r="EC46" s="45"/>
      <c r="ED46" s="45"/>
      <c r="EE46" s="45"/>
      <c r="EF46" s="45"/>
      <c r="EG46" s="45"/>
      <c r="EH46" s="45"/>
      <c r="EI46" s="45"/>
      <c r="EJ46" s="45"/>
      <c r="EK46" s="45"/>
      <c r="EL46" s="45"/>
      <c r="EM46" s="45"/>
      <c r="EN46" s="45"/>
      <c r="EO46" s="45"/>
      <c r="EP46" s="45"/>
      <c r="EQ46" s="45"/>
      <c r="ER46" s="45"/>
      <c r="ES46" s="45"/>
      <c r="ET46" s="45"/>
      <c r="EU46" s="45"/>
      <c r="EV46" s="45"/>
      <c r="EW46" s="45"/>
      <c r="EX46" s="45"/>
      <c r="EY46" s="45"/>
      <c r="EZ46" s="45"/>
      <c r="FA46" s="45"/>
      <c r="FB46" s="45"/>
      <c r="FC46" s="45"/>
      <c r="FD46" s="45"/>
      <c r="FE46" s="45"/>
      <c r="FF46" s="45"/>
      <c r="FG46" s="45"/>
      <c r="FH46" s="45"/>
      <c r="FI46" s="45"/>
      <c r="FJ46" s="45"/>
      <c r="FK46" s="45"/>
      <c r="FL46" s="45"/>
      <c r="FM46" s="45"/>
      <c r="FN46" s="45"/>
      <c r="FO46" s="45"/>
      <c r="FP46" s="45"/>
      <c r="FQ46" s="45"/>
      <c r="FR46" s="45"/>
      <c r="FS46" s="45"/>
      <c r="FT46" s="45"/>
      <c r="FU46" s="45"/>
      <c r="FV46" s="45"/>
      <c r="FW46" s="45"/>
      <c r="FX46" s="45"/>
      <c r="FY46" s="45"/>
      <c r="FZ46" s="45"/>
      <c r="GA46" s="45"/>
      <c r="GB46" s="45"/>
      <c r="GC46" s="45"/>
    </row>
    <row r="47" spans="1:185" s="46" customFormat="1" ht="34.5" customHeight="1">
      <c r="A47" s="98" t="s">
        <v>431</v>
      </c>
      <c r="B47" s="50" t="str">
        <f>LOWER(
  IF(
    RIGHT(
      SUBSTITUTE(SUBSTITUTE(SUBSTITUTE(SUBSTITUTE(SUBSTITUTE(SUBSTITUTE(SUBSTITUTE(C47,"(","_"),")","_"),"/","_"),":","_"),"-","_")," ","_"),"__","_"),
      1
    )="_",
    LEFT(
      SUBSTITUTE(SUBSTITUTE(SUBSTITUTE(SUBSTITUTE(SUBSTITUTE(SUBSTITUTE(SUBSTITUTE(C47,"(","_"),")","_"),"/","_"),":","_"),"-","_")," ","_"),"__","_"),
      LEN(
        SUBSTITUTE(SUBSTITUTE(SUBSTITUTE(SUBSTITUTE(SUBSTITUTE(SUBSTITUTE(SUBSTITUTE(C47,"(","_"),")","_"),"/","_"),":","_"),"-","_")," ","_"),"__","_")
      )-1
    ),
    SUBSTITUTE(SUBSTITUTE(SUBSTITUTE(SUBSTITUTE(SUBSTITUTE(SUBSTITUTE(SUBSTITUTE(C47,"(","_"),")","_"),"/","_"),":","_"),"-","_")," ","_"),"__","_")
  )
)</f>
        <v>library_selection</v>
      </c>
      <c r="C47" s="48" t="s">
        <v>432</v>
      </c>
      <c r="D47" s="50" t="s">
        <v>433</v>
      </c>
      <c r="E47" s="49" t="s">
        <v>98</v>
      </c>
      <c r="F47" s="49" t="s">
        <v>65</v>
      </c>
      <c r="G47" s="49" t="s">
        <v>434</v>
      </c>
      <c r="H47" s="49"/>
      <c r="I47" s="49" t="s">
        <v>435</v>
      </c>
      <c r="J47" s="49"/>
      <c r="K47" s="49" t="s">
        <v>436</v>
      </c>
      <c r="L47" s="49"/>
      <c r="M47" s="49"/>
      <c r="N47" s="49"/>
      <c r="O47" s="49"/>
      <c r="P47" s="49" t="s">
        <v>437</v>
      </c>
      <c r="Q47" s="49" t="s">
        <v>437</v>
      </c>
      <c r="R47" s="49"/>
      <c r="S47" s="49"/>
      <c r="T47" s="49"/>
      <c r="U47" s="49"/>
      <c r="V47" s="50" t="s">
        <v>390</v>
      </c>
      <c r="W47" s="50" t="s">
        <v>391</v>
      </c>
      <c r="X47" s="48" t="s">
        <v>288</v>
      </c>
      <c r="Y47" s="48"/>
      <c r="Z47" s="48" t="s">
        <v>93</v>
      </c>
      <c r="AA47" s="49" t="str">
        <f>"[" &amp; _xlfn.TEXTJOIN(", ", TRUE,
    IF(I47&lt;&gt;"", """" &amp; I$1 &amp; """", ""),
    IF(J47&lt;&gt;"", """" &amp; J$1 &amp; """", ""),
    IF(K47&lt;&gt;"", """" &amp; K$1 &amp; """", ""),
    IF(L47&lt;&gt;"", """" &amp; L$1 &amp; """", ""),
    IF(M47&lt;&gt;"", """" &amp; M$1 &amp; """", ""),    IF(N47&lt;&gt;"", """" &amp; N$1 &amp; """", ""),    IF(O47&lt;&gt;"", """" &amp; O$1 &amp; """", ""),     IF(P47&lt;&gt;"", """" &amp; P$1 &amp; """", ""),     IF(Q47&lt;&gt;"", """" &amp; Q$1 &amp; """", ""), IF(R47&lt;&gt;"", """" &amp; R$1 &amp; """", ""), IF(S47&lt;&gt;"", """" &amp; S$1 &amp; """", ""), IF(T47&lt;&gt;"", """" &amp; T$1 &amp; """", ""), IF(U47&lt;&gt;"", """" &amp; U$1 &amp; """", ""),
    IF(X47&lt;&gt;"", """" &amp; X47 &amp; """", ""), IF(V47&lt;&gt;"", """" &amp; V47 &amp; """", ""), IF(W47&lt;&gt;"", """" &amp; W47 &amp; """", ""),
    IF(Y47&lt;&gt;"", """" &amp; Y47 &amp; """", ""),
    IF(Z47&lt;&gt;"", """" &amp; Z47 &amp; """", "")
) &amp; "]"</f>
        <v>["ENA", "MIGS-VI", "ENA ERC32", "ENA ERC33", "Analysis", "ENA Experiment", "VJDB Experiment", "Workflows"]</v>
      </c>
      <c r="AB47" s="49"/>
      <c r="AC47" s="48"/>
      <c r="AD47" s="49" t="s">
        <v>118</v>
      </c>
      <c r="AE47" s="49" t="s">
        <v>82</v>
      </c>
      <c r="AF47" s="49"/>
      <c r="AG47" s="49"/>
      <c r="AH47" s="49"/>
      <c r="AI47" s="49"/>
      <c r="AJ47" s="49"/>
      <c r="AK47" s="49"/>
      <c r="AL47" s="49"/>
      <c r="AM47" s="49"/>
      <c r="AN47" s="49"/>
      <c r="AO47" s="49"/>
      <c r="AP47" s="49" t="s">
        <v>438</v>
      </c>
      <c r="AQ47" s="49"/>
      <c r="AR47" s="49"/>
      <c r="AS47" s="49" t="s">
        <v>438</v>
      </c>
      <c r="AT47" s="49"/>
      <c r="AU47" s="49" t="s">
        <v>139</v>
      </c>
      <c r="AV47" s="49" t="s">
        <v>130</v>
      </c>
      <c r="AW47" s="49" t="s">
        <v>130</v>
      </c>
      <c r="AX47" s="49" t="s">
        <v>439</v>
      </c>
      <c r="AY47" s="49" t="s">
        <v>141</v>
      </c>
      <c r="AZ47" s="48" t="s">
        <v>106</v>
      </c>
      <c r="BA47" s="48" t="s">
        <v>107</v>
      </c>
      <c r="BB47" s="49"/>
      <c r="BC47" s="49" t="s">
        <v>73</v>
      </c>
      <c r="BD47" s="49" t="s">
        <v>142</v>
      </c>
      <c r="BE47" s="49"/>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c r="FX47" s="45"/>
      <c r="FY47" s="45"/>
      <c r="FZ47" s="45"/>
      <c r="GA47" s="45"/>
      <c r="GB47" s="45"/>
      <c r="GC47" s="45"/>
    </row>
    <row r="48" spans="1:185" s="46" customFormat="1" ht="34.5" customHeight="1">
      <c r="A48" s="98" t="s">
        <v>440</v>
      </c>
      <c r="B48" s="50" t="str">
        <f>LOWER(
  IF(
    RIGHT(
      SUBSTITUTE(SUBSTITUTE(SUBSTITUTE(SUBSTITUTE(SUBSTITUTE(SUBSTITUTE(SUBSTITUTE(C48,"(","_"),")","_"),"/","_"),":","_"),"-","_")," ","_"),"__","_"),
      1
    )="_",
    LEFT(
      SUBSTITUTE(SUBSTITUTE(SUBSTITUTE(SUBSTITUTE(SUBSTITUTE(SUBSTITUTE(SUBSTITUTE(C48,"(","_"),")","_"),"/","_"),":","_"),"-","_")," ","_"),"__","_"),
      LEN(
        SUBSTITUTE(SUBSTITUTE(SUBSTITUTE(SUBSTITUTE(SUBSTITUTE(SUBSTITUTE(SUBSTITUTE(C48,"(","_"),")","_"),"/","_"),":","_"),"-","_")," ","_"),"__","_")
      )-1
    ),
    SUBSTITUTE(SUBSTITUTE(SUBSTITUTE(SUBSTITUTE(SUBSTITUTE(SUBSTITUTE(SUBSTITUTE(C48,"(","_"),")","_"),"/","_"),":","_"),"-","_")," ","_"),"__","_")
  )
)</f>
        <v>library_source</v>
      </c>
      <c r="C48" s="48" t="s">
        <v>441</v>
      </c>
      <c r="D48" s="50" t="s">
        <v>442</v>
      </c>
      <c r="E48" s="49" t="s">
        <v>98</v>
      </c>
      <c r="F48" s="49" t="s">
        <v>65</v>
      </c>
      <c r="G48" s="49" t="s">
        <v>443</v>
      </c>
      <c r="H48" s="49"/>
      <c r="I48" s="49" t="s">
        <v>444</v>
      </c>
      <c r="J48" s="49"/>
      <c r="K48" s="49"/>
      <c r="L48" s="49"/>
      <c r="M48" s="49"/>
      <c r="N48" s="49"/>
      <c r="O48" s="49"/>
      <c r="P48" s="49" t="s">
        <v>445</v>
      </c>
      <c r="Q48" s="49" t="s">
        <v>445</v>
      </c>
      <c r="R48" s="49"/>
      <c r="S48" s="49"/>
      <c r="T48" s="49"/>
      <c r="U48" s="49"/>
      <c r="V48" s="50" t="s">
        <v>390</v>
      </c>
      <c r="W48" s="50" t="s">
        <v>391</v>
      </c>
      <c r="X48" s="48" t="s">
        <v>288</v>
      </c>
      <c r="Y48" s="48"/>
      <c r="Z48" s="48" t="s">
        <v>93</v>
      </c>
      <c r="AA48" s="49" t="str">
        <f>"[" &amp; _xlfn.TEXTJOIN(", ", TRUE,
    IF(I48&lt;&gt;"", """" &amp; I$1 &amp; """", ""),
    IF(J48&lt;&gt;"", """" &amp; J$1 &amp; """", ""),
    IF(K48&lt;&gt;"", """" &amp; K$1 &amp; """", ""),
    IF(L48&lt;&gt;"", """" &amp; L$1 &amp; """", ""),
    IF(M48&lt;&gt;"", """" &amp; M$1 &amp; """", ""),    IF(N48&lt;&gt;"", """" &amp; N$1 &amp; """", ""),    IF(O48&lt;&gt;"", """" &amp; O$1 &amp; """", ""),     IF(P48&lt;&gt;"", """" &amp; P$1 &amp; """", ""),     IF(Q48&lt;&gt;"", """" &amp; Q$1 &amp; """", ""), IF(R48&lt;&gt;"", """" &amp; R$1 &amp; """", ""), IF(S48&lt;&gt;"", """" &amp; S$1 &amp; """", ""), IF(T48&lt;&gt;"", """" &amp; T$1 &amp; """", ""), IF(U48&lt;&gt;"", """" &amp; U$1 &amp; """", ""),
    IF(X48&lt;&gt;"", """" &amp; X48 &amp; """", ""), IF(V48&lt;&gt;"", """" &amp; V48 &amp; """", ""), IF(W48&lt;&gt;"", """" &amp; W48 &amp; """", ""),
    IF(Y48&lt;&gt;"", """" &amp; Y48 &amp; """", ""),
    IF(Z48&lt;&gt;"", """" &amp; Z48 &amp; """", "")
) &amp; "]"</f>
        <v>["ENA", "ENA ERC32", "ENA ERC33", "Analysis", "ENA Experiment", "VJDB Experiment", "Workflows"]</v>
      </c>
      <c r="AB48" s="49"/>
      <c r="AC48" s="48"/>
      <c r="AD48" s="49" t="s">
        <v>118</v>
      </c>
      <c r="AE48" s="49" t="s">
        <v>82</v>
      </c>
      <c r="AF48" s="49"/>
      <c r="AG48" s="49"/>
      <c r="AH48" s="49"/>
      <c r="AI48" s="49"/>
      <c r="AJ48" s="49"/>
      <c r="AK48" s="49"/>
      <c r="AL48" s="49"/>
      <c r="AM48" s="49"/>
      <c r="AN48" s="49"/>
      <c r="AO48" s="49"/>
      <c r="AP48" s="49" t="s">
        <v>446</v>
      </c>
      <c r="AQ48" s="49"/>
      <c r="AR48" s="49"/>
      <c r="AS48" s="49" t="s">
        <v>446</v>
      </c>
      <c r="AT48" s="49"/>
      <c r="AU48" s="49" t="s">
        <v>139</v>
      </c>
      <c r="AV48" s="49" t="s">
        <v>130</v>
      </c>
      <c r="AW48" s="49" t="s">
        <v>130</v>
      </c>
      <c r="AX48" s="49" t="s">
        <v>447</v>
      </c>
      <c r="AY48" s="49" t="s">
        <v>141</v>
      </c>
      <c r="AZ48" s="48" t="s">
        <v>106</v>
      </c>
      <c r="BA48" s="48" t="s">
        <v>107</v>
      </c>
      <c r="BB48" s="49"/>
      <c r="BC48" s="49" t="s">
        <v>73</v>
      </c>
      <c r="BD48" s="49" t="s">
        <v>142</v>
      </c>
      <c r="BE48" s="49"/>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c r="FX48" s="45"/>
      <c r="FY48" s="45"/>
      <c r="FZ48" s="45"/>
      <c r="GA48" s="45"/>
      <c r="GB48" s="45"/>
      <c r="GC48" s="45"/>
    </row>
    <row r="49" spans="1:185" s="46" customFormat="1" ht="34.5" customHeight="1">
      <c r="A49" s="98" t="s">
        <v>448</v>
      </c>
      <c r="B49" s="50" t="str">
        <f>LOWER(
  IF(
    RIGHT(
      SUBSTITUTE(SUBSTITUTE(SUBSTITUTE(SUBSTITUTE(SUBSTITUTE(SUBSTITUTE(SUBSTITUTE(C49,"(","_"),")","_"),"/","_"),":","_"),"-","_")," ","_"),"__","_"),
      1
    )="_",
    LEFT(
      SUBSTITUTE(SUBSTITUTE(SUBSTITUTE(SUBSTITUTE(SUBSTITUTE(SUBSTITUTE(SUBSTITUTE(C49,"(","_"),")","_"),"/","_"),":","_"),"-","_")," ","_"),"__","_"),
      LEN(
        SUBSTITUTE(SUBSTITUTE(SUBSTITUTE(SUBSTITUTE(SUBSTITUTE(SUBSTITUTE(SUBSTITUTE(C49,"(","_"),")","_"),"/","_"),":","_"),"-","_")," ","_"),"__","_")
      )-1
    ),
    SUBSTITUTE(SUBSTITUTE(SUBSTITUTE(SUBSTITUTE(SUBSTITUTE(SUBSTITUTE(SUBSTITUTE(C49,"(","_"),")","_"),"/","_"),":","_"),"-","_")," ","_"),"__","_")
  )
)</f>
        <v>library_strategy</v>
      </c>
      <c r="C49" s="48" t="s">
        <v>449</v>
      </c>
      <c r="D49" s="50" t="s">
        <v>450</v>
      </c>
      <c r="E49" s="49" t="s">
        <v>98</v>
      </c>
      <c r="F49" s="49" t="s">
        <v>65</v>
      </c>
      <c r="G49" s="49" t="s">
        <v>451</v>
      </c>
      <c r="H49" s="49" t="s">
        <v>452</v>
      </c>
      <c r="I49" s="49" t="s">
        <v>453</v>
      </c>
      <c r="J49" s="49"/>
      <c r="K49" s="49"/>
      <c r="L49" s="49"/>
      <c r="M49" s="49"/>
      <c r="N49" s="49"/>
      <c r="O49" s="49"/>
      <c r="P49" s="49" t="s">
        <v>454</v>
      </c>
      <c r="Q49" s="49" t="s">
        <v>454</v>
      </c>
      <c r="R49" s="49"/>
      <c r="S49" s="49"/>
      <c r="T49" s="49"/>
      <c r="U49" s="49"/>
      <c r="V49" s="50" t="s">
        <v>390</v>
      </c>
      <c r="W49" s="50" t="s">
        <v>391</v>
      </c>
      <c r="X49" s="48" t="s">
        <v>288</v>
      </c>
      <c r="Y49" s="48"/>
      <c r="Z49" s="48" t="s">
        <v>93</v>
      </c>
      <c r="AA49" s="49" t="str">
        <f>"[" &amp; _xlfn.TEXTJOIN(", ", TRUE,
    IF(I49&lt;&gt;"", """" &amp; I$1 &amp; """", ""),
    IF(J49&lt;&gt;"", """" &amp; J$1 &amp; """", ""),
    IF(K49&lt;&gt;"", """" &amp; K$1 &amp; """", ""),
    IF(L49&lt;&gt;"", """" &amp; L$1 &amp; """", ""),
    IF(M49&lt;&gt;"", """" &amp; M$1 &amp; """", ""),    IF(N49&lt;&gt;"", """" &amp; N$1 &amp; """", ""),    IF(O49&lt;&gt;"", """" &amp; O$1 &amp; """", ""),     IF(P49&lt;&gt;"", """" &amp; P$1 &amp; """", ""),     IF(Q49&lt;&gt;"", """" &amp; Q$1 &amp; """", ""), IF(R49&lt;&gt;"", """" &amp; R$1 &amp; """", ""), IF(S49&lt;&gt;"", """" &amp; S$1 &amp; """", ""), IF(T49&lt;&gt;"", """" &amp; T$1 &amp; """", ""), IF(U49&lt;&gt;"", """" &amp; U$1 &amp; """", ""),
    IF(X49&lt;&gt;"", """" &amp; X49 &amp; """", ""), IF(V49&lt;&gt;"", """" &amp; V49 &amp; """", ""), IF(W49&lt;&gt;"", """" &amp; W49 &amp; """", ""),
    IF(Y49&lt;&gt;"", """" &amp; Y49 &amp; """", ""),
    IF(Z49&lt;&gt;"", """" &amp; Z49 &amp; """", "")
) &amp; "]"</f>
        <v>["ENA", "ENA ERC32", "ENA ERC33", "Analysis", "ENA Experiment", "VJDB Experiment", "Workflows"]</v>
      </c>
      <c r="AB49" s="49"/>
      <c r="AC49" s="48"/>
      <c r="AD49" s="49" t="s">
        <v>118</v>
      </c>
      <c r="AE49" s="49" t="s">
        <v>82</v>
      </c>
      <c r="AF49" s="49"/>
      <c r="AG49" s="49"/>
      <c r="AH49" s="49"/>
      <c r="AI49" s="49"/>
      <c r="AJ49" s="49"/>
      <c r="AK49" s="49"/>
      <c r="AL49" s="49"/>
      <c r="AM49" s="49"/>
      <c r="AN49" s="49"/>
      <c r="AO49" s="49"/>
      <c r="AP49" s="49" t="s">
        <v>455</v>
      </c>
      <c r="AQ49" s="49"/>
      <c r="AR49" s="49"/>
      <c r="AS49" s="49" t="s">
        <v>455</v>
      </c>
      <c r="AT49" s="49"/>
      <c r="AU49" s="49" t="s">
        <v>139</v>
      </c>
      <c r="AV49" s="49" t="s">
        <v>130</v>
      </c>
      <c r="AW49" s="49" t="s">
        <v>130</v>
      </c>
      <c r="AX49" s="49" t="s">
        <v>456</v>
      </c>
      <c r="AY49" s="49" t="s">
        <v>141</v>
      </c>
      <c r="AZ49" s="48" t="s">
        <v>106</v>
      </c>
      <c r="BA49" s="48" t="s">
        <v>107</v>
      </c>
      <c r="BB49" s="49"/>
      <c r="BC49" s="49" t="s">
        <v>73</v>
      </c>
      <c r="BD49" s="49" t="s">
        <v>142</v>
      </c>
      <c r="BE49" s="49"/>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c r="FX49" s="45"/>
      <c r="FY49" s="45"/>
      <c r="FZ49" s="45"/>
      <c r="GA49" s="45"/>
      <c r="GB49" s="45"/>
      <c r="GC49" s="45"/>
    </row>
    <row r="50" spans="1:185" s="46" customFormat="1" ht="34.5" customHeight="1">
      <c r="A50" s="98" t="s">
        <v>457</v>
      </c>
      <c r="B50" s="50" t="str">
        <f>LOWER(
  IF(
    RIGHT(
      SUBSTITUTE(SUBSTITUTE(SUBSTITUTE(SUBSTITUTE(SUBSTITUTE(SUBSTITUTE(SUBSTITUTE(C50,"(","_"),")","_"),"/","_"),":","_"),"-","_")," ","_"),"__","_"),
      1
    )="_",
    LEFT(
      SUBSTITUTE(SUBSTITUTE(SUBSTITUTE(SUBSTITUTE(SUBSTITUTE(SUBSTITUTE(SUBSTITUTE(C50,"(","_"),")","_"),"/","_"),":","_"),"-","_")," ","_"),"__","_"),
      LEN(
        SUBSTITUTE(SUBSTITUTE(SUBSTITUTE(SUBSTITUTE(SUBSTITUTE(SUBSTITUTE(SUBSTITUTE(C50,"(","_"),")","_"),"/","_"),":","_"),"-","_")," ","_"),"__","_")
      )-1
    ),
    SUBSTITUTE(SUBSTITUTE(SUBSTITUTE(SUBSTITUTE(SUBSTITUTE(SUBSTITUTE(SUBSTITUTE(C50,"(","_"),")","_"),"/","_"),":","_"),"-","_")," ","_"),"__","_")
  )
)</f>
        <v>virus_id</v>
      </c>
      <c r="C50" s="48" t="s">
        <v>458</v>
      </c>
      <c r="D50" s="50" t="s">
        <v>459</v>
      </c>
      <c r="E50" s="49" t="s">
        <v>98</v>
      </c>
      <c r="F50" s="49" t="s">
        <v>65</v>
      </c>
      <c r="G50" s="49" t="s">
        <v>460</v>
      </c>
      <c r="H50" s="49" t="s">
        <v>461</v>
      </c>
      <c r="I50" s="49" t="s">
        <v>462</v>
      </c>
      <c r="J50" s="49" t="s">
        <v>463</v>
      </c>
      <c r="K50" s="49"/>
      <c r="L50" s="49"/>
      <c r="M50" s="49"/>
      <c r="N50" s="49"/>
      <c r="O50" s="49"/>
      <c r="P50" s="49" t="s">
        <v>462</v>
      </c>
      <c r="Q50" s="49" t="s">
        <v>462</v>
      </c>
      <c r="R50" s="49"/>
      <c r="S50" s="49"/>
      <c r="T50" s="49"/>
      <c r="U50" s="49"/>
      <c r="V50" s="50" t="s">
        <v>125</v>
      </c>
      <c r="W50" s="50" t="s">
        <v>126</v>
      </c>
      <c r="X50" s="48" t="s">
        <v>68</v>
      </c>
      <c r="Y50" s="48" t="s">
        <v>241</v>
      </c>
      <c r="Z50" s="48"/>
      <c r="AA50" s="49" t="str">
        <f>"[" &amp; _xlfn.TEXTJOIN(", ", TRUE,
    IF(I50&lt;&gt;"", """" &amp; I$1 &amp; """", ""),
    IF(J50&lt;&gt;"", """" &amp; J$1 &amp; """", ""),
    IF(K50&lt;&gt;"", """" &amp; K$1 &amp; """", ""),
    IF(L50&lt;&gt;"", """" &amp; L$1 &amp; """", ""),
    IF(M50&lt;&gt;"", """" &amp; M$1 &amp; """", ""),    IF(N50&lt;&gt;"", """" &amp; N$1 &amp; """", ""),    IF(O50&lt;&gt;"", """" &amp; O$1 &amp; """", ""),     IF(P50&lt;&gt;"", """" &amp; P$1 &amp; """", ""),     IF(Q50&lt;&gt;"", """" &amp; Q$1 &amp; """", ""), IF(R50&lt;&gt;"", """" &amp; R$1 &amp; """", ""), IF(S50&lt;&gt;"", """" &amp; S$1 &amp; """", ""), IF(T50&lt;&gt;"", """" &amp; T$1 &amp; """", ""), IF(U50&lt;&gt;"", """" &amp; U$1 &amp; """", ""),
    IF(X50&lt;&gt;"", """" &amp; X50 &amp; """", ""), IF(V50&lt;&gt;"", """" &amp; V50 &amp; """", ""), IF(W50&lt;&gt;"", """" &amp; W50 &amp; """", ""),
    IF(Y50&lt;&gt;"", """" &amp; Y50 &amp; """", ""),
    IF(Z50&lt;&gt;"", """" &amp; Z50 &amp; """", "")
) &amp; "]"</f>
        <v>["ENA", "RKI", "ENA ERC32", "ENA ERC33", "Sample", "ENA Sample", "VJDB Sample", "Clinical "]</v>
      </c>
      <c r="AB50" s="49"/>
      <c r="AC50" s="48" t="s">
        <v>196</v>
      </c>
      <c r="AD50" s="49" t="s">
        <v>118</v>
      </c>
      <c r="AE50" s="49" t="s">
        <v>82</v>
      </c>
      <c r="AF50" s="49"/>
      <c r="AG50" s="49"/>
      <c r="AH50" s="49"/>
      <c r="AI50" s="49"/>
      <c r="AJ50" s="49"/>
      <c r="AK50" s="49"/>
      <c r="AL50" s="49"/>
      <c r="AM50" s="49"/>
      <c r="AN50" s="49"/>
      <c r="AO50" s="49"/>
      <c r="AP50" s="49" t="s">
        <v>464</v>
      </c>
      <c r="AQ50" s="49"/>
      <c r="AR50" s="49"/>
      <c r="AS50" s="49" t="s">
        <v>464</v>
      </c>
      <c r="AT50" s="49"/>
      <c r="AU50" s="49" t="s">
        <v>151</v>
      </c>
      <c r="AV50" s="49" t="s">
        <v>86</v>
      </c>
      <c r="AW50" s="49" t="s">
        <v>86</v>
      </c>
      <c r="AX50" s="54"/>
      <c r="AY50" s="49"/>
      <c r="AZ50" s="48" t="s">
        <v>64</v>
      </c>
      <c r="BA50" s="48" t="s">
        <v>119</v>
      </c>
      <c r="BB50" s="49"/>
      <c r="BC50" s="49" t="s">
        <v>73</v>
      </c>
      <c r="BD50" s="49" t="s">
        <v>108</v>
      </c>
      <c r="BE50" s="49"/>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45"/>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c r="ER50" s="45"/>
      <c r="ES50" s="45"/>
      <c r="ET50" s="45"/>
      <c r="EU50" s="45"/>
      <c r="EV50" s="45"/>
      <c r="EW50" s="45"/>
      <c r="EX50" s="45"/>
      <c r="EY50" s="45"/>
      <c r="EZ50" s="45"/>
      <c r="FA50" s="45"/>
      <c r="FB50" s="45"/>
      <c r="FC50" s="45"/>
      <c r="FD50" s="45"/>
      <c r="FE50" s="45"/>
      <c r="FF50" s="45"/>
      <c r="FG50" s="45"/>
      <c r="FH50" s="45"/>
      <c r="FI50" s="45"/>
      <c r="FJ50" s="45"/>
      <c r="FK50" s="45"/>
      <c r="FL50" s="45"/>
      <c r="FM50" s="45"/>
      <c r="FN50" s="45"/>
      <c r="FO50" s="45"/>
      <c r="FP50" s="45"/>
      <c r="FQ50" s="45"/>
      <c r="FR50" s="45"/>
      <c r="FS50" s="45"/>
      <c r="FT50" s="45"/>
      <c r="FU50" s="45"/>
      <c r="FV50" s="45"/>
      <c r="FW50" s="45"/>
      <c r="FX50" s="45"/>
      <c r="FY50" s="45"/>
      <c r="FZ50" s="45"/>
      <c r="GA50" s="45"/>
      <c r="GB50" s="45"/>
      <c r="GC50" s="45"/>
    </row>
    <row r="51" spans="1:185" s="46" customFormat="1" ht="34.5" customHeight="1">
      <c r="A51" s="99" t="s">
        <v>465</v>
      </c>
      <c r="B51" s="50" t="str">
        <f>LOWER(
  IF(
    RIGHT(
      SUBSTITUTE(SUBSTITUTE(SUBSTITUTE(SUBSTITUTE(SUBSTITUTE(SUBSTITUTE(SUBSTITUTE(C51,"(","_"),")","_"),"/","_"),":","_"),"-","_")," ","_"),"__","_"),
      1
    )="_",
    LEFT(
      SUBSTITUTE(SUBSTITUTE(SUBSTITUTE(SUBSTITUTE(SUBSTITUTE(SUBSTITUTE(SUBSTITUTE(C51,"(","_"),")","_"),"/","_"),":","_"),"-","_")," ","_"),"__","_"),
      LEN(
        SUBSTITUTE(SUBSTITUTE(SUBSTITUTE(SUBSTITUTE(SUBSTITUTE(SUBSTITUTE(SUBSTITUTE(C51,"(","_"),")","_"),"/","_"),":","_"),"-","_")," ","_"),"__","_")
      )-1
    ),
    SUBSTITUTE(SUBSTITUTE(SUBSTITUTE(SUBSTITUTE(SUBSTITUTE(SUBSTITUTE(SUBSTITUTE(C51,"(","_"),")","_"),"/","_"),":","_"),"-","_")," ","_"),"__","_")
  )
)</f>
        <v>antiviral_treatment</v>
      </c>
      <c r="C51" s="49" t="s">
        <v>466</v>
      </c>
      <c r="D51" s="50" t="s">
        <v>467</v>
      </c>
      <c r="E51" s="49" t="s">
        <v>98</v>
      </c>
      <c r="F51" s="49" t="s">
        <v>65</v>
      </c>
      <c r="G51" s="49"/>
      <c r="H51" s="49"/>
      <c r="I51" s="49"/>
      <c r="J51" s="49"/>
      <c r="K51" s="49"/>
      <c r="L51" s="49"/>
      <c r="M51" s="49"/>
      <c r="N51" s="49"/>
      <c r="O51" s="49"/>
      <c r="P51" s="49" t="s">
        <v>468</v>
      </c>
      <c r="Q51" s="49"/>
      <c r="R51" s="49"/>
      <c r="S51" s="49"/>
      <c r="T51" s="49"/>
      <c r="U51" s="49"/>
      <c r="V51" s="50" t="s">
        <v>125</v>
      </c>
      <c r="W51" s="50" t="s">
        <v>126</v>
      </c>
      <c r="X51" s="48" t="s">
        <v>137</v>
      </c>
      <c r="Y51" s="48" t="s">
        <v>241</v>
      </c>
      <c r="Z51" s="48"/>
      <c r="AA51" s="49" t="str">
        <f>"[" &amp; _xlfn.TEXTJOIN(", ", TRUE,
    IF(I51&lt;&gt;"", """" &amp; I$1 &amp; """", ""),
    IF(J51&lt;&gt;"", """" &amp; J$1 &amp; """", ""),
    IF(K51&lt;&gt;"", """" &amp; K$1 &amp; """", ""),
    IF(L51&lt;&gt;"", """" &amp; L$1 &amp; """", ""),
    IF(M51&lt;&gt;"", """" &amp; M$1 &amp; """", ""),    IF(N51&lt;&gt;"", """" &amp; N$1 &amp; """", ""),    IF(O51&lt;&gt;"", """" &amp; O$1 &amp; """", ""),     IF(P51&lt;&gt;"", """" &amp; P$1 &amp; """", ""),     IF(Q51&lt;&gt;"", """" &amp; Q$1 &amp; """", ""), IF(R51&lt;&gt;"", """" &amp; R$1 &amp; """", ""), IF(S51&lt;&gt;"", """" &amp; S$1 &amp; """", ""), IF(T51&lt;&gt;"", """" &amp; T$1 &amp; """", ""), IF(U51&lt;&gt;"", """" &amp; U$1 &amp; """", ""),
    IF(X51&lt;&gt;"", """" &amp; X51 &amp; """", ""), IF(V51&lt;&gt;"", """" &amp; V51 &amp; """", ""), IF(W51&lt;&gt;"", """" &amp; W51 &amp; """", ""),
    IF(Y51&lt;&gt;"", """" &amp; Y51 &amp; """", ""),
    IF(Z51&lt;&gt;"", """" &amp; Z51 &amp; """", "")
) &amp; "]"</f>
        <v>["ENA ERC32", "Host", "ENA Sample", "VJDB Sample", "Clinical "]</v>
      </c>
      <c r="AB51" s="49"/>
      <c r="AC51" s="49"/>
      <c r="AD51" s="49"/>
      <c r="AE51" s="49"/>
      <c r="AF51" s="49"/>
      <c r="AG51" s="49"/>
      <c r="AH51" s="49"/>
      <c r="AI51" s="49"/>
      <c r="AJ51" s="49"/>
      <c r="AK51" s="49"/>
      <c r="AL51" s="49"/>
      <c r="AM51" s="49"/>
      <c r="AN51" s="49"/>
      <c r="AO51" s="49"/>
      <c r="AP51" s="49" t="s">
        <v>469</v>
      </c>
      <c r="AQ51" s="49"/>
      <c r="AR51" s="49"/>
      <c r="AS51" s="49"/>
      <c r="AT51" s="49"/>
      <c r="AU51" s="49"/>
      <c r="AV51" s="49" t="s">
        <v>227</v>
      </c>
      <c r="AW51" s="49" t="s">
        <v>227</v>
      </c>
      <c r="AX51" s="54" t="s">
        <v>470</v>
      </c>
      <c r="AY51" s="49" t="s">
        <v>131</v>
      </c>
      <c r="AZ51" s="48" t="s">
        <v>64</v>
      </c>
      <c r="BA51" s="48" t="s">
        <v>72</v>
      </c>
      <c r="BB51" s="49"/>
      <c r="BC51" s="49" t="s">
        <v>73</v>
      </c>
      <c r="BD51" s="49" t="s">
        <v>74</v>
      </c>
      <c r="BE51" s="49"/>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c r="FH51" s="45"/>
      <c r="FI51" s="45"/>
      <c r="FJ51" s="45"/>
      <c r="FK51" s="45"/>
      <c r="FL51" s="45"/>
      <c r="FM51" s="45"/>
      <c r="FN51" s="45"/>
      <c r="FO51" s="45"/>
      <c r="FP51" s="45"/>
      <c r="FQ51" s="45"/>
      <c r="FR51" s="45"/>
      <c r="FS51" s="45"/>
      <c r="FT51" s="45"/>
      <c r="FU51" s="45"/>
      <c r="FV51" s="45"/>
      <c r="FW51" s="45"/>
      <c r="FX51" s="45"/>
      <c r="FY51" s="45"/>
      <c r="FZ51" s="45"/>
      <c r="GA51" s="45"/>
      <c r="GB51" s="45"/>
      <c r="GC51" s="45"/>
    </row>
    <row r="52" spans="1:185" s="46" customFormat="1" ht="34.5" customHeight="1">
      <c r="A52" s="99" t="s">
        <v>471</v>
      </c>
      <c r="B52" s="50" t="str">
        <f>LOWER(
  IF(
    RIGHT(
      SUBSTITUTE(SUBSTITUTE(SUBSTITUTE(SUBSTITUTE(SUBSTITUTE(SUBSTITUTE(SUBSTITUTE(C52,"(","_"),")","_"),"/","_"),":","_"),"-","_")," ","_"),"__","_"),
      1
    )="_",
    LEFT(
      SUBSTITUTE(SUBSTITUTE(SUBSTITUTE(SUBSTITUTE(SUBSTITUTE(SUBSTITUTE(SUBSTITUTE(C52,"(","_"),")","_"),"/","_"),":","_"),"-","_")," ","_"),"__","_"),
      LEN(
        SUBSTITUTE(SUBSTITUTE(SUBSTITUTE(SUBSTITUTE(SUBSTITUTE(SUBSTITUTE(SUBSTITUTE(C52,"(","_"),")","_"),"/","_"),":","_"),"-","_")," ","_"),"__","_")
      )-1
    ),
    SUBSTITUTE(SUBSTITUTE(SUBSTITUTE(SUBSTITUTE(SUBSTITUTE(SUBSTITUTE(SUBSTITUTE(C52,"(","_"),")","_"),"/","_"),":","_"),"-","_")," ","_"),"__","_")
  )
)</f>
        <v>antiviral_treatment_dosage</v>
      </c>
      <c r="C52" s="49" t="s">
        <v>472</v>
      </c>
      <c r="D52" s="50" t="s">
        <v>473</v>
      </c>
      <c r="E52" s="49" t="s">
        <v>92</v>
      </c>
      <c r="F52" s="49" t="s">
        <v>65</v>
      </c>
      <c r="G52" s="49"/>
      <c r="H52" s="49"/>
      <c r="I52" s="49"/>
      <c r="J52" s="49"/>
      <c r="K52" s="49"/>
      <c r="L52" s="49"/>
      <c r="M52" s="49"/>
      <c r="N52" s="49"/>
      <c r="O52" s="49"/>
      <c r="P52" s="49" t="s">
        <v>474</v>
      </c>
      <c r="Q52" s="49"/>
      <c r="R52" s="49"/>
      <c r="S52" s="49"/>
      <c r="T52" s="49"/>
      <c r="U52" s="49"/>
      <c r="V52" s="50" t="s">
        <v>125</v>
      </c>
      <c r="W52" s="50" t="s">
        <v>126</v>
      </c>
      <c r="X52" s="48" t="s">
        <v>137</v>
      </c>
      <c r="Y52" s="48" t="s">
        <v>241</v>
      </c>
      <c r="Z52" s="48"/>
      <c r="AA52" s="49" t="str">
        <f>"[" &amp; _xlfn.TEXTJOIN(", ", TRUE,
    IF(I52&lt;&gt;"", """" &amp; I$1 &amp; """", ""),
    IF(J52&lt;&gt;"", """" &amp; J$1 &amp; """", ""),
    IF(K52&lt;&gt;"", """" &amp; K$1 &amp; """", ""),
    IF(L52&lt;&gt;"", """" &amp; L$1 &amp; """", ""),
    IF(M52&lt;&gt;"", """" &amp; M$1 &amp; """", ""),    IF(N52&lt;&gt;"", """" &amp; N$1 &amp; """", ""),    IF(O52&lt;&gt;"", """" &amp; O$1 &amp; """", ""),     IF(P52&lt;&gt;"", """" &amp; P$1 &amp; """", ""),     IF(Q52&lt;&gt;"", """" &amp; Q$1 &amp; """", ""), IF(R52&lt;&gt;"", """" &amp; R$1 &amp; """", ""), IF(S52&lt;&gt;"", """" &amp; S$1 &amp; """", ""), IF(T52&lt;&gt;"", """" &amp; T$1 &amp; """", ""), IF(U52&lt;&gt;"", """" &amp; U$1 &amp; """", ""),
    IF(X52&lt;&gt;"", """" &amp; X52 &amp; """", ""), IF(V52&lt;&gt;"", """" &amp; V52 &amp; """", ""), IF(W52&lt;&gt;"", """" &amp; W52 &amp; """", ""),
    IF(Y52&lt;&gt;"", """" &amp; Y52 &amp; """", ""),
    IF(Z52&lt;&gt;"", """" &amp; Z52 &amp; """", "")
) &amp; "]"</f>
        <v>["ENA ERC32", "Host", "ENA Sample", "VJDB Sample", "Clinical "]</v>
      </c>
      <c r="AB52" s="49"/>
      <c r="AC52" s="49"/>
      <c r="AD52" s="49"/>
      <c r="AE52" s="49"/>
      <c r="AF52" s="49"/>
      <c r="AG52" s="49"/>
      <c r="AH52" s="49"/>
      <c r="AI52" s="49"/>
      <c r="AJ52" s="49"/>
      <c r="AK52" s="49"/>
      <c r="AL52" s="49"/>
      <c r="AM52" s="49"/>
      <c r="AN52" s="49"/>
      <c r="AO52" s="49"/>
      <c r="AP52" s="49" t="s">
        <v>475</v>
      </c>
      <c r="AQ52" s="49"/>
      <c r="AR52" s="49"/>
      <c r="AS52" s="49"/>
      <c r="AT52" s="49"/>
      <c r="AU52" s="49"/>
      <c r="AV52" s="49" t="s">
        <v>227</v>
      </c>
      <c r="AW52" s="49" t="s">
        <v>227</v>
      </c>
      <c r="AX52" s="54" t="s">
        <v>476</v>
      </c>
      <c r="AY52" s="49" t="s">
        <v>477</v>
      </c>
      <c r="AZ52" s="48" t="s">
        <v>64</v>
      </c>
      <c r="BA52" s="48" t="s">
        <v>72</v>
      </c>
      <c r="BB52" s="49"/>
      <c r="BC52" s="49" t="s">
        <v>73</v>
      </c>
      <c r="BD52" s="49" t="s">
        <v>353</v>
      </c>
      <c r="BE52" s="49"/>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c r="FX52" s="45"/>
      <c r="FY52" s="45"/>
      <c r="FZ52" s="45"/>
      <c r="GA52" s="45"/>
      <c r="GB52" s="45"/>
      <c r="GC52" s="45"/>
    </row>
    <row r="53" spans="1:185" s="46" customFormat="1" ht="34.5" customHeight="1">
      <c r="A53" s="99" t="s">
        <v>478</v>
      </c>
      <c r="B53" s="50" t="str">
        <f>LOWER(
  IF(
    RIGHT(
      SUBSTITUTE(SUBSTITUTE(SUBSTITUTE(SUBSTITUTE(SUBSTITUTE(SUBSTITUTE(SUBSTITUTE(C53,"(","_"),")","_"),"/","_"),":","_"),"-","_")," ","_"),"__","_"),
      1
    )="_",
    LEFT(
      SUBSTITUTE(SUBSTITUTE(SUBSTITUTE(SUBSTITUTE(SUBSTITUTE(SUBSTITUTE(SUBSTITUTE(C53,"(","_"),")","_"),"/","_"),":","_"),"-","_")," ","_"),"__","_"),
      LEN(
        SUBSTITUTE(SUBSTITUTE(SUBSTITUTE(SUBSTITUTE(SUBSTITUTE(SUBSTITUTE(SUBSTITUTE(C53,"(","_"),")","_"),"/","_"),":","_"),"-","_")," ","_"),"__","_")
      )-1
    ),
    SUBSTITUTE(SUBSTITUTE(SUBSTITUTE(SUBSTITUTE(SUBSTITUTE(SUBSTITUTE(SUBSTITUTE(C53,"(","_"),")","_"),"/","_"),":","_"),"-","_")," ","_"),"__","_")
  )
)</f>
        <v>antiviral_treatment_duration</v>
      </c>
      <c r="C53" s="49" t="s">
        <v>479</v>
      </c>
      <c r="D53" s="50" t="s">
        <v>480</v>
      </c>
      <c r="E53" s="49" t="s">
        <v>334</v>
      </c>
      <c r="F53" s="49" t="s">
        <v>65</v>
      </c>
      <c r="G53" s="49"/>
      <c r="H53" s="49"/>
      <c r="I53" s="49"/>
      <c r="J53" s="49"/>
      <c r="K53" s="49"/>
      <c r="L53" s="49"/>
      <c r="M53" s="49"/>
      <c r="N53" s="49"/>
      <c r="O53" s="49"/>
      <c r="P53" s="49" t="s">
        <v>481</v>
      </c>
      <c r="Q53" s="49"/>
      <c r="R53" s="49"/>
      <c r="S53" s="49"/>
      <c r="T53" s="49"/>
      <c r="U53" s="49"/>
      <c r="V53" s="50" t="s">
        <v>125</v>
      </c>
      <c r="W53" s="50" t="s">
        <v>126</v>
      </c>
      <c r="X53" s="48" t="s">
        <v>137</v>
      </c>
      <c r="Y53" s="48" t="s">
        <v>241</v>
      </c>
      <c r="Z53" s="48"/>
      <c r="AA53" s="49" t="str">
        <f>"[" &amp; _xlfn.TEXTJOIN(", ", TRUE,
    IF(I53&lt;&gt;"", """" &amp; I$1 &amp; """", ""),
    IF(J53&lt;&gt;"", """" &amp; J$1 &amp; """", ""),
    IF(K53&lt;&gt;"", """" &amp; K$1 &amp; """", ""),
    IF(L53&lt;&gt;"", """" &amp; L$1 &amp; """", ""),
    IF(M53&lt;&gt;"", """" &amp; M$1 &amp; """", ""),    IF(N53&lt;&gt;"", """" &amp; N$1 &amp; """", ""),    IF(O53&lt;&gt;"", """" &amp; O$1 &amp; """", ""),     IF(P53&lt;&gt;"", """" &amp; P$1 &amp; """", ""),     IF(Q53&lt;&gt;"", """" &amp; Q$1 &amp; """", ""), IF(R53&lt;&gt;"", """" &amp; R$1 &amp; """", ""), IF(S53&lt;&gt;"", """" &amp; S$1 &amp; """", ""), IF(T53&lt;&gt;"", """" &amp; T$1 &amp; """", ""), IF(U53&lt;&gt;"", """" &amp; U$1 &amp; """", ""),
    IF(X53&lt;&gt;"", """" &amp; X53 &amp; """", ""), IF(V53&lt;&gt;"", """" &amp; V53 &amp; """", ""), IF(W53&lt;&gt;"", """" &amp; W53 &amp; """", ""),
    IF(Y53&lt;&gt;"", """" &amp; Y53 &amp; """", ""),
    IF(Z53&lt;&gt;"", """" &amp; Z53 &amp; """", "")
) &amp; "]"</f>
        <v>["ENA ERC32", "Host", "ENA Sample", "VJDB Sample", "Clinical "]</v>
      </c>
      <c r="AB53" s="49"/>
      <c r="AC53" s="49"/>
      <c r="AD53" s="49"/>
      <c r="AE53" s="49"/>
      <c r="AF53" s="49"/>
      <c r="AG53" s="49"/>
      <c r="AH53" s="49"/>
      <c r="AI53" s="49"/>
      <c r="AJ53" s="49"/>
      <c r="AK53" s="49"/>
      <c r="AL53" s="49"/>
      <c r="AM53" s="49"/>
      <c r="AN53" s="49"/>
      <c r="AO53" s="49"/>
      <c r="AP53" s="49" t="s">
        <v>482</v>
      </c>
      <c r="AQ53" s="49"/>
      <c r="AR53" s="49"/>
      <c r="AS53" s="49"/>
      <c r="AT53" s="49"/>
      <c r="AU53" s="49"/>
      <c r="AV53" s="49" t="s">
        <v>227</v>
      </c>
      <c r="AW53" s="49" t="s">
        <v>227</v>
      </c>
      <c r="AX53" s="54" t="s">
        <v>483</v>
      </c>
      <c r="AY53" s="49" t="s">
        <v>484</v>
      </c>
      <c r="AZ53" s="48" t="s">
        <v>64</v>
      </c>
      <c r="BA53" s="48" t="s">
        <v>119</v>
      </c>
      <c r="BB53" s="49"/>
      <c r="BC53" s="49" t="s">
        <v>73</v>
      </c>
      <c r="BD53" s="49" t="s">
        <v>94</v>
      </c>
      <c r="BE53" s="49"/>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c r="FH53" s="45"/>
      <c r="FI53" s="45"/>
      <c r="FJ53" s="45"/>
      <c r="FK53" s="45"/>
      <c r="FL53" s="45"/>
      <c r="FM53" s="45"/>
      <c r="FN53" s="45"/>
      <c r="FO53" s="45"/>
      <c r="FP53" s="45"/>
      <c r="FQ53" s="45"/>
      <c r="FR53" s="45"/>
      <c r="FS53" s="45"/>
      <c r="FT53" s="45"/>
      <c r="FU53" s="45"/>
      <c r="FV53" s="45"/>
      <c r="FW53" s="45"/>
      <c r="FX53" s="45"/>
      <c r="FY53" s="45"/>
      <c r="FZ53" s="45"/>
      <c r="GA53" s="45"/>
      <c r="GB53" s="45"/>
      <c r="GC53" s="45"/>
    </row>
    <row r="54" spans="1:185" s="46" customFormat="1" ht="34.5" customHeight="1">
      <c r="A54" s="99" t="s">
        <v>485</v>
      </c>
      <c r="B54" s="50" t="str">
        <f>LOWER(
  IF(
    RIGHT(
      SUBSTITUTE(SUBSTITUTE(SUBSTITUTE(SUBSTITUTE(SUBSTITUTE(SUBSTITUTE(SUBSTITUTE(C54,"(","_"),")","_"),"/","_"),":","_"),"-","_")," ","_"),"__","_"),
      1
    )="_",
    LEFT(
      SUBSTITUTE(SUBSTITUTE(SUBSTITUTE(SUBSTITUTE(SUBSTITUTE(SUBSTITUTE(SUBSTITUTE(C54,"(","_"),")","_"),"/","_"),":","_"),"-","_")," ","_"),"__","_"),
      LEN(
        SUBSTITUTE(SUBSTITUTE(SUBSTITUTE(SUBSTITUTE(SUBSTITUTE(SUBSTITUTE(SUBSTITUTE(C54,"(","_"),")","_"),"/","_"),":","_"),"-","_")," ","_"),"__","_")
      )-1
    ),
    SUBSTITUTE(SUBSTITUTE(SUBSTITUTE(SUBSTITUTE(SUBSTITUTE(SUBSTITUTE(SUBSTITUTE(C54,"(","_"),")","_"),"/","_"),":","_"),"-","_")," ","_"),"__","_")
  )
)</f>
        <v>antiviral_treatment_initiation</v>
      </c>
      <c r="C54" s="49" t="s">
        <v>486</v>
      </c>
      <c r="D54" s="50" t="s">
        <v>487</v>
      </c>
      <c r="E54" s="49" t="s">
        <v>98</v>
      </c>
      <c r="F54" s="49" t="s">
        <v>65</v>
      </c>
      <c r="G54" s="49"/>
      <c r="H54" s="49"/>
      <c r="I54" s="49"/>
      <c r="J54" s="49"/>
      <c r="K54" s="49"/>
      <c r="L54" s="49"/>
      <c r="M54" s="49"/>
      <c r="N54" s="49"/>
      <c r="O54" s="49"/>
      <c r="P54" s="49" t="s">
        <v>488</v>
      </c>
      <c r="Q54" s="49"/>
      <c r="R54" s="49"/>
      <c r="S54" s="49"/>
      <c r="T54" s="49"/>
      <c r="U54" s="49"/>
      <c r="V54" s="50" t="s">
        <v>125</v>
      </c>
      <c r="W54" s="50" t="s">
        <v>126</v>
      </c>
      <c r="X54" s="48" t="s">
        <v>137</v>
      </c>
      <c r="Y54" s="48" t="s">
        <v>241</v>
      </c>
      <c r="Z54" s="48"/>
      <c r="AA54" s="49" t="str">
        <f>"[" &amp; _xlfn.TEXTJOIN(", ", TRUE,
    IF(I54&lt;&gt;"", """" &amp; I$1 &amp; """", ""),
    IF(J54&lt;&gt;"", """" &amp; J$1 &amp; """", ""),
    IF(K54&lt;&gt;"", """" &amp; K$1 &amp; """", ""),
    IF(L54&lt;&gt;"", """" &amp; L$1 &amp; """", ""),
    IF(M54&lt;&gt;"", """" &amp; M$1 &amp; """", ""),    IF(N54&lt;&gt;"", """" &amp; N$1 &amp; """", ""),    IF(O54&lt;&gt;"", """" &amp; O$1 &amp; """", ""),     IF(P54&lt;&gt;"", """" &amp; P$1 &amp; """", ""),     IF(Q54&lt;&gt;"", """" &amp; Q$1 &amp; """", ""), IF(R54&lt;&gt;"", """" &amp; R$1 &amp; """", ""), IF(S54&lt;&gt;"", """" &amp; S$1 &amp; """", ""), IF(T54&lt;&gt;"", """" &amp; T$1 &amp; """", ""), IF(U54&lt;&gt;"", """" &amp; U$1 &amp; """", ""),
    IF(X54&lt;&gt;"", """" &amp; X54 &amp; """", ""), IF(V54&lt;&gt;"", """" &amp; V54 &amp; """", ""), IF(W54&lt;&gt;"", """" &amp; W54 &amp; """", ""),
    IF(Y54&lt;&gt;"", """" &amp; Y54 &amp; """", ""),
    IF(Z54&lt;&gt;"", """" &amp; Z54 &amp; """", "")
) &amp; "]"</f>
        <v>["ENA ERC32", "Host", "ENA Sample", "VJDB Sample", "Clinical "]</v>
      </c>
      <c r="AB54" s="49"/>
      <c r="AC54" s="49"/>
      <c r="AD54" s="49"/>
      <c r="AE54" s="49"/>
      <c r="AF54" s="49"/>
      <c r="AG54" s="49"/>
      <c r="AH54" s="49"/>
      <c r="AI54" s="49"/>
      <c r="AJ54" s="49"/>
      <c r="AK54" s="49"/>
      <c r="AL54" s="49"/>
      <c r="AM54" s="49"/>
      <c r="AN54" s="49"/>
      <c r="AO54" s="49"/>
      <c r="AP54" s="49" t="s">
        <v>489</v>
      </c>
      <c r="AQ54" s="49"/>
      <c r="AR54" s="49"/>
      <c r="AS54" s="49"/>
      <c r="AT54" s="49"/>
      <c r="AU54" s="49"/>
      <c r="AV54" s="49" t="s">
        <v>227</v>
      </c>
      <c r="AW54" s="49" t="s">
        <v>227</v>
      </c>
      <c r="AX54" s="54" t="s">
        <v>490</v>
      </c>
      <c r="AY54" s="49" t="s">
        <v>491</v>
      </c>
      <c r="AZ54" s="48" t="s">
        <v>64</v>
      </c>
      <c r="BA54" s="48" t="s">
        <v>119</v>
      </c>
      <c r="BB54" s="49"/>
      <c r="BC54" s="49" t="s">
        <v>73</v>
      </c>
      <c r="BD54" s="49" t="s">
        <v>94</v>
      </c>
      <c r="BE54" s="49"/>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c r="DO54" s="45"/>
      <c r="DP54" s="45"/>
      <c r="DQ54" s="45"/>
      <c r="DR54" s="45"/>
      <c r="DS54" s="45"/>
      <c r="DT54" s="45"/>
      <c r="DU54" s="45"/>
      <c r="DV54" s="45"/>
      <c r="DW54" s="45"/>
      <c r="DX54" s="45"/>
      <c r="DY54" s="45"/>
      <c r="DZ54" s="45"/>
      <c r="EA54" s="45"/>
      <c r="EB54" s="45"/>
      <c r="EC54" s="45"/>
      <c r="ED54" s="45"/>
      <c r="EE54" s="45"/>
      <c r="EF54" s="45"/>
      <c r="EG54" s="45"/>
      <c r="EH54" s="45"/>
      <c r="EI54" s="45"/>
      <c r="EJ54" s="45"/>
      <c r="EK54" s="45"/>
      <c r="EL54" s="45"/>
      <c r="EM54" s="45"/>
      <c r="EN54" s="45"/>
      <c r="EO54" s="45"/>
      <c r="EP54" s="45"/>
      <c r="EQ54" s="45"/>
      <c r="ER54" s="45"/>
      <c r="ES54" s="45"/>
      <c r="ET54" s="45"/>
      <c r="EU54" s="45"/>
      <c r="EV54" s="45"/>
      <c r="EW54" s="45"/>
      <c r="EX54" s="45"/>
      <c r="EY54" s="45"/>
      <c r="EZ54" s="45"/>
      <c r="FA54" s="45"/>
      <c r="FB54" s="45"/>
      <c r="FC54" s="45"/>
      <c r="FD54" s="45"/>
      <c r="FE54" s="45"/>
      <c r="FF54" s="45"/>
      <c r="FG54" s="45"/>
      <c r="FH54" s="45"/>
      <c r="FI54" s="45"/>
      <c r="FJ54" s="45"/>
      <c r="FK54" s="45"/>
      <c r="FL54" s="45"/>
      <c r="FM54" s="45"/>
      <c r="FN54" s="45"/>
      <c r="FO54" s="45"/>
      <c r="FP54" s="45"/>
      <c r="FQ54" s="45"/>
      <c r="FR54" s="45"/>
      <c r="FS54" s="45"/>
      <c r="FT54" s="45"/>
      <c r="FU54" s="45"/>
      <c r="FV54" s="45"/>
      <c r="FW54" s="45"/>
      <c r="FX54" s="45"/>
      <c r="FY54" s="45"/>
      <c r="FZ54" s="45"/>
      <c r="GA54" s="45"/>
      <c r="GB54" s="45"/>
      <c r="GC54" s="45"/>
    </row>
    <row r="55" spans="1:185" s="70" customFormat="1" ht="34.5" customHeight="1">
      <c r="A55" s="99" t="s">
        <v>492</v>
      </c>
      <c r="B55" s="50" t="str">
        <f>LOWER(
  IF(
    RIGHT(
      SUBSTITUTE(SUBSTITUTE(SUBSTITUTE(SUBSTITUTE(SUBSTITUTE(SUBSTITUTE(SUBSTITUTE(C55,"(","_"),")","_"),"/","_"),":","_"),"-","_")," ","_"),"__","_"),
      1
    )="_",
    LEFT(
      SUBSTITUTE(SUBSTITUTE(SUBSTITUTE(SUBSTITUTE(SUBSTITUTE(SUBSTITUTE(SUBSTITUTE(C55,"(","_"),")","_"),"/","_"),":","_"),"-","_")," ","_"),"__","_"),
      LEN(
        SUBSTITUTE(SUBSTITUTE(SUBSTITUTE(SUBSTITUTE(SUBSTITUTE(SUBSTITUTE(SUBSTITUTE(C55,"(","_"),")","_"),"/","_"),":","_"),"-","_")," ","_"),"__","_")
      )-1
    ),
    SUBSTITUTE(SUBSTITUTE(SUBSTITUTE(SUBSTITUTE(SUBSTITUTE(SUBSTITUTE(SUBSTITUTE(C55,"(","_"),")","_"),"/","_"),":","_"),"-","_")," ","_"),"__","_")
  )
)</f>
        <v>gravidity</v>
      </c>
      <c r="C55" s="49" t="s">
        <v>493</v>
      </c>
      <c r="D55" s="50" t="s">
        <v>494</v>
      </c>
      <c r="E55" s="49" t="s">
        <v>98</v>
      </c>
      <c r="F55" s="49" t="s">
        <v>65</v>
      </c>
      <c r="G55" s="49"/>
      <c r="H55" s="49"/>
      <c r="I55" s="49"/>
      <c r="J55" s="49"/>
      <c r="K55" s="49"/>
      <c r="L55" s="49"/>
      <c r="M55" s="49"/>
      <c r="N55" s="49"/>
      <c r="O55" s="49"/>
      <c r="P55" s="49" t="s">
        <v>495</v>
      </c>
      <c r="Q55" s="49" t="s">
        <v>495</v>
      </c>
      <c r="R55" s="49"/>
      <c r="S55" s="49"/>
      <c r="T55" s="49"/>
      <c r="U55" s="49"/>
      <c r="V55" s="50" t="s">
        <v>125</v>
      </c>
      <c r="W55" s="50" t="s">
        <v>126</v>
      </c>
      <c r="X55" s="48" t="s">
        <v>68</v>
      </c>
      <c r="Y55" s="48" t="s">
        <v>241</v>
      </c>
      <c r="Z55" s="48"/>
      <c r="AA55" s="49" t="str">
        <f>"[" &amp; _xlfn.TEXTJOIN(", ", TRUE,
    IF(I55&lt;&gt;"", """" &amp; I$1 &amp; """", ""),
    IF(J55&lt;&gt;"", """" &amp; J$1 &amp; """", ""),
    IF(K55&lt;&gt;"", """" &amp; K$1 &amp; """", ""),
    IF(L55&lt;&gt;"", """" &amp; L$1 &amp; """", ""),
    IF(M55&lt;&gt;"", """" &amp; M$1 &amp; """", ""),    IF(N55&lt;&gt;"", """" &amp; N$1 &amp; """", ""),    IF(O55&lt;&gt;"", """" &amp; O$1 &amp; """", ""),     IF(P55&lt;&gt;"", """" &amp; P$1 &amp; """", ""),     IF(Q55&lt;&gt;"", """" &amp; Q$1 &amp; """", ""), IF(R55&lt;&gt;"", """" &amp; R$1 &amp; """", ""), IF(S55&lt;&gt;"", """" &amp; S$1 &amp; """", ""), IF(T55&lt;&gt;"", """" &amp; T$1 &amp; """", ""), IF(U55&lt;&gt;"", """" &amp; U$1 &amp; """", ""),
    IF(X55&lt;&gt;"", """" &amp; X55 &amp; """", ""), IF(V55&lt;&gt;"", """" &amp; V55 &amp; """", ""), IF(W55&lt;&gt;"", """" &amp; W55 &amp; """", ""),
    IF(Y55&lt;&gt;"", """" &amp; Y55 &amp; """", ""),
    IF(Z55&lt;&gt;"", """" &amp; Z55 &amp; """", "")
) &amp; "]"</f>
        <v>["ENA ERC32", "ENA ERC33", "Sample", "ENA Sample", "VJDB Sample", "Clinical "]</v>
      </c>
      <c r="AB55" s="49"/>
      <c r="AC55" s="49"/>
      <c r="AD55" s="49"/>
      <c r="AE55" s="49"/>
      <c r="AF55" s="49"/>
      <c r="AG55" s="49"/>
      <c r="AH55" s="49"/>
      <c r="AI55" s="49"/>
      <c r="AJ55" s="49"/>
      <c r="AK55" s="49"/>
      <c r="AL55" s="49"/>
      <c r="AM55" s="49"/>
      <c r="AN55" s="49"/>
      <c r="AO55" s="49"/>
      <c r="AP55" s="49" t="s">
        <v>496</v>
      </c>
      <c r="AQ55" s="49"/>
      <c r="AR55" s="49"/>
      <c r="AS55" s="49" t="s">
        <v>496</v>
      </c>
      <c r="AT55" s="49"/>
      <c r="AU55" s="49" t="s">
        <v>151</v>
      </c>
      <c r="AV55" s="49" t="s">
        <v>227</v>
      </c>
      <c r="AW55" s="49" t="s">
        <v>227</v>
      </c>
      <c r="AX55" s="54" t="s">
        <v>497</v>
      </c>
      <c r="AY55" s="49" t="s">
        <v>498</v>
      </c>
      <c r="AZ55" s="49" t="s">
        <v>64</v>
      </c>
      <c r="BA55" s="48" t="s">
        <v>72</v>
      </c>
      <c r="BB55" s="49"/>
      <c r="BC55" s="49" t="s">
        <v>73</v>
      </c>
      <c r="BD55" s="49" t="s">
        <v>499</v>
      </c>
      <c r="BE55" s="49"/>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c r="CE55" s="45"/>
      <c r="CF55" s="45"/>
      <c r="CG55" s="45"/>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c r="DO55" s="45"/>
      <c r="DP55" s="45"/>
      <c r="DQ55" s="45"/>
      <c r="DR55" s="45"/>
      <c r="DS55" s="45"/>
      <c r="DT55" s="45"/>
      <c r="DU55" s="45"/>
      <c r="DV55" s="45"/>
      <c r="DW55" s="45"/>
      <c r="DX55" s="45"/>
      <c r="DY55" s="45"/>
      <c r="DZ55" s="45"/>
      <c r="EA55" s="45"/>
      <c r="EB55" s="45"/>
      <c r="EC55" s="45"/>
      <c r="ED55" s="45"/>
      <c r="EE55" s="45"/>
      <c r="EF55" s="45"/>
      <c r="EG55" s="45"/>
      <c r="EH55" s="45"/>
      <c r="EI55" s="45"/>
      <c r="EJ55" s="45"/>
      <c r="EK55" s="45"/>
      <c r="EL55" s="45"/>
      <c r="EM55" s="45"/>
      <c r="EN55" s="45"/>
      <c r="EO55" s="45"/>
      <c r="EP55" s="45"/>
      <c r="EQ55" s="45"/>
      <c r="ER55" s="45"/>
      <c r="ES55" s="45"/>
      <c r="ET55" s="45"/>
      <c r="EU55" s="45"/>
      <c r="EV55" s="45"/>
      <c r="EW55" s="45"/>
      <c r="EX55" s="45"/>
      <c r="EY55" s="45"/>
      <c r="EZ55" s="45"/>
      <c r="FA55" s="45"/>
      <c r="FB55" s="45"/>
      <c r="FC55" s="45"/>
      <c r="FD55" s="45"/>
      <c r="FE55" s="45"/>
      <c r="FF55" s="45"/>
      <c r="FG55" s="45"/>
      <c r="FH55" s="45"/>
      <c r="FI55" s="45"/>
      <c r="FJ55" s="45"/>
      <c r="FK55" s="45"/>
      <c r="FL55" s="45"/>
      <c r="FM55" s="45"/>
      <c r="FN55" s="45"/>
      <c r="FO55" s="45"/>
      <c r="FP55" s="45"/>
      <c r="FQ55" s="45"/>
      <c r="FR55" s="45"/>
      <c r="FS55" s="45"/>
      <c r="FT55" s="45"/>
      <c r="FU55" s="45"/>
      <c r="FV55" s="45"/>
      <c r="FW55" s="45"/>
      <c r="FX55" s="45"/>
      <c r="FY55" s="45"/>
      <c r="FZ55" s="45"/>
      <c r="GA55" s="45"/>
      <c r="GB55" s="45"/>
      <c r="GC55" s="45"/>
    </row>
    <row r="56" spans="1:185" s="46" customFormat="1" ht="34.5" customHeight="1">
      <c r="A56" s="99" t="s">
        <v>500</v>
      </c>
      <c r="B56" s="50" t="str">
        <f>LOWER(
  IF(
    RIGHT(
      SUBSTITUTE(SUBSTITUTE(SUBSTITUTE(SUBSTITUTE(SUBSTITUTE(SUBSTITUTE(SUBSTITUTE(C56,"(","_"),")","_"),"/","_"),":","_"),"-","_")," ","_"),"__","_"),
      1
    )="_",
    LEFT(
      SUBSTITUTE(SUBSTITUTE(SUBSTITUTE(SUBSTITUTE(SUBSTITUTE(SUBSTITUTE(SUBSTITUTE(C56,"(","_"),")","_"),"/","_"),":","_"),"-","_")," ","_"),"__","_"),
      LEN(
        SUBSTITUTE(SUBSTITUTE(SUBSTITUTE(SUBSTITUTE(SUBSTITUTE(SUBSTITUTE(SUBSTITUTE(C56,"(","_"),")","_"),"/","_"),":","_"),"-","_")," ","_"),"__","_")
      )-1
    ),
    SUBSTITUTE(SUBSTITUTE(SUBSTITUTE(SUBSTITUTE(SUBSTITUTE(SUBSTITUTE(SUBSTITUTE(C56,"(","_"),")","_"),"/","_"),":","_"),"-","_")," ","_"),"__","_")
  )
)</f>
        <v>hospitalisation</v>
      </c>
      <c r="C56" s="49" t="s">
        <v>501</v>
      </c>
      <c r="D56" s="50" t="s">
        <v>502</v>
      </c>
      <c r="E56" s="49" t="s">
        <v>98</v>
      </c>
      <c r="F56" s="49" t="s">
        <v>65</v>
      </c>
      <c r="G56" s="49"/>
      <c r="H56" s="49"/>
      <c r="I56" s="49"/>
      <c r="J56" s="49"/>
      <c r="K56" s="49"/>
      <c r="L56" s="49"/>
      <c r="M56" s="49"/>
      <c r="N56" s="49"/>
      <c r="O56" s="49"/>
      <c r="P56" s="49" t="s">
        <v>503</v>
      </c>
      <c r="Q56" s="49" t="s">
        <v>503</v>
      </c>
      <c r="R56" s="49"/>
      <c r="S56" s="49"/>
      <c r="T56" s="49"/>
      <c r="U56" s="49"/>
      <c r="V56" s="50" t="s">
        <v>125</v>
      </c>
      <c r="W56" s="50" t="s">
        <v>126</v>
      </c>
      <c r="X56" s="48" t="s">
        <v>68</v>
      </c>
      <c r="Y56" s="48" t="s">
        <v>241</v>
      </c>
      <c r="Z56" s="48"/>
      <c r="AA56" s="49" t="str">
        <f>"[" &amp; _xlfn.TEXTJOIN(", ", TRUE,
    IF(I56&lt;&gt;"", """" &amp; I$1 &amp; """", ""),
    IF(J56&lt;&gt;"", """" &amp; J$1 &amp; """", ""),
    IF(K56&lt;&gt;"", """" &amp; K$1 &amp; """", ""),
    IF(L56&lt;&gt;"", """" &amp; L$1 &amp; """", ""),
    IF(M56&lt;&gt;"", """" &amp; M$1 &amp; """", ""),    IF(N56&lt;&gt;"", """" &amp; N$1 &amp; """", ""),    IF(O56&lt;&gt;"", """" &amp; O$1 &amp; """", ""),     IF(P56&lt;&gt;"", """" &amp; P$1 &amp; """", ""),     IF(Q56&lt;&gt;"", """" &amp; Q$1 &amp; """", ""), IF(R56&lt;&gt;"", """" &amp; R$1 &amp; """", ""), IF(S56&lt;&gt;"", """" &amp; S$1 &amp; """", ""), IF(T56&lt;&gt;"", """" &amp; T$1 &amp; """", ""), IF(U56&lt;&gt;"", """" &amp; U$1 &amp; """", ""),
    IF(X56&lt;&gt;"", """" &amp; X56 &amp; """", ""), IF(V56&lt;&gt;"", """" &amp; V56 &amp; """", ""), IF(W56&lt;&gt;"", """" &amp; W56 &amp; """", ""),
    IF(Y56&lt;&gt;"", """" &amp; Y56 &amp; """", ""),
    IF(Z56&lt;&gt;"", """" &amp; Z56 &amp; """", "")
) &amp; "]"</f>
        <v>["ENA ERC32", "ENA ERC33", "Sample", "ENA Sample", "VJDB Sample", "Clinical "]</v>
      </c>
      <c r="AB56" s="49"/>
      <c r="AC56" s="49"/>
      <c r="AD56" s="49"/>
      <c r="AE56" s="49"/>
      <c r="AF56" s="49"/>
      <c r="AG56" s="49"/>
      <c r="AH56" s="49"/>
      <c r="AI56" s="49"/>
      <c r="AJ56" s="49"/>
      <c r="AK56" s="49"/>
      <c r="AL56" s="49"/>
      <c r="AM56" s="49"/>
      <c r="AN56" s="49"/>
      <c r="AO56" s="49"/>
      <c r="AP56" s="49" t="s">
        <v>504</v>
      </c>
      <c r="AQ56" s="49"/>
      <c r="AR56" s="49"/>
      <c r="AS56" s="49" t="s">
        <v>504</v>
      </c>
      <c r="AT56" s="49"/>
      <c r="AU56" s="49" t="s">
        <v>139</v>
      </c>
      <c r="AV56" s="49" t="s">
        <v>227</v>
      </c>
      <c r="AW56" s="49" t="s">
        <v>227</v>
      </c>
      <c r="AX56" s="54" t="s">
        <v>505</v>
      </c>
      <c r="AY56" s="49" t="s">
        <v>141</v>
      </c>
      <c r="AZ56" s="49" t="s">
        <v>106</v>
      </c>
      <c r="BA56" s="48" t="s">
        <v>107</v>
      </c>
      <c r="BB56" s="49"/>
      <c r="BC56" s="49" t="s">
        <v>73</v>
      </c>
      <c r="BD56" s="49" t="s">
        <v>499</v>
      </c>
      <c r="BE56" s="49"/>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45"/>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c r="FX56" s="45"/>
      <c r="FY56" s="45"/>
      <c r="FZ56" s="45"/>
      <c r="GA56" s="45"/>
      <c r="GB56" s="45"/>
      <c r="GC56" s="45"/>
    </row>
    <row r="57" spans="1:185" s="46" customFormat="1" ht="34.5" customHeight="1">
      <c r="A57" s="99" t="s">
        <v>506</v>
      </c>
      <c r="B57" s="50" t="str">
        <f>LOWER(
  IF(
    RIGHT(
      SUBSTITUTE(SUBSTITUTE(SUBSTITUTE(SUBSTITUTE(SUBSTITUTE(SUBSTITUTE(SUBSTITUTE(C57,"(","_"),")","_"),"/","_"),":","_"),"-","_")," ","_"),"__","_"),
      1
    )="_",
    LEFT(
      SUBSTITUTE(SUBSTITUTE(SUBSTITUTE(SUBSTITUTE(SUBSTITUTE(SUBSTITUTE(SUBSTITUTE(C57,"(","_"),")","_"),"/","_"),":","_"),"-","_")," ","_"),"__","_"),
      LEN(
        SUBSTITUTE(SUBSTITUTE(SUBSTITUTE(SUBSTITUTE(SUBSTITUTE(SUBSTITUTE(SUBSTITUTE(C57,"(","_"),")","_"),"/","_"),":","_"),"-","_")," ","_"),"__","_")
      )-1
    ),
    SUBSTITUTE(SUBSTITUTE(SUBSTITUTE(SUBSTITUTE(SUBSTITUTE(SUBSTITUTE(SUBSTITUTE(C57,"(","_"),")","_"),"/","_"),":","_"),"-","_")," ","_"),"__","_")
  )
)</f>
        <v>host_description</v>
      </c>
      <c r="C57" s="49" t="s">
        <v>507</v>
      </c>
      <c r="D57" s="50" t="s">
        <v>508</v>
      </c>
      <c r="E57" s="49" t="s">
        <v>64</v>
      </c>
      <c r="F57" s="49" t="s">
        <v>65</v>
      </c>
      <c r="G57" s="49"/>
      <c r="H57" s="49"/>
      <c r="I57" s="49"/>
      <c r="J57" s="49"/>
      <c r="K57" s="49"/>
      <c r="L57" s="49"/>
      <c r="M57" s="49"/>
      <c r="N57" s="49"/>
      <c r="O57" s="49"/>
      <c r="P57" s="49" t="s">
        <v>509</v>
      </c>
      <c r="Q57" s="49" t="s">
        <v>509</v>
      </c>
      <c r="R57" s="49"/>
      <c r="S57" s="49"/>
      <c r="T57" s="49"/>
      <c r="U57" s="49"/>
      <c r="V57" s="50" t="s">
        <v>125</v>
      </c>
      <c r="W57" s="50" t="s">
        <v>126</v>
      </c>
      <c r="X57" s="48" t="s">
        <v>137</v>
      </c>
      <c r="Y57" s="48" t="s">
        <v>241</v>
      </c>
      <c r="Z57" s="48"/>
      <c r="AA57" s="49" t="str">
        <f>"[" &amp; _xlfn.TEXTJOIN(", ", TRUE,
    IF(I57&lt;&gt;"", """" &amp; I$1 &amp; """", ""),
    IF(J57&lt;&gt;"", """" &amp; J$1 &amp; """", ""),
    IF(K57&lt;&gt;"", """" &amp; K$1 &amp; """", ""),
    IF(L57&lt;&gt;"", """" &amp; L$1 &amp; """", ""),
    IF(M57&lt;&gt;"", """" &amp; M$1 &amp; """", ""),    IF(N57&lt;&gt;"", """" &amp; N$1 &amp; """", ""),    IF(O57&lt;&gt;"", """" &amp; O$1 &amp; """", ""),     IF(P57&lt;&gt;"", """" &amp; P$1 &amp; """", ""),     IF(Q57&lt;&gt;"", """" &amp; Q$1 &amp; """", ""), IF(R57&lt;&gt;"", """" &amp; R$1 &amp; """", ""), IF(S57&lt;&gt;"", """" &amp; S$1 &amp; """", ""), IF(T57&lt;&gt;"", """" &amp; T$1 &amp; """", ""), IF(U57&lt;&gt;"", """" &amp; U$1 &amp; """", ""),
    IF(X57&lt;&gt;"", """" &amp; X57 &amp; """", ""), IF(V57&lt;&gt;"", """" &amp; V57 &amp; """", ""), IF(W57&lt;&gt;"", """" &amp; W57 &amp; """", ""),
    IF(Y57&lt;&gt;"", """" &amp; Y57 &amp; """", ""),
    IF(Z57&lt;&gt;"", """" &amp; Z57 &amp; """", "")
) &amp; "]"</f>
        <v>["ENA ERC32", "ENA ERC33", "Host", "ENA Sample", "VJDB Sample", "Clinical "]</v>
      </c>
      <c r="AB57" s="49"/>
      <c r="AC57" s="49" t="s">
        <v>70</v>
      </c>
      <c r="AD57" s="49"/>
      <c r="AE57" s="49"/>
      <c r="AF57" s="49"/>
      <c r="AG57" s="49"/>
      <c r="AH57" s="49"/>
      <c r="AI57" s="49"/>
      <c r="AJ57" s="49"/>
      <c r="AK57" s="49"/>
      <c r="AL57" s="49"/>
      <c r="AM57" s="49"/>
      <c r="AN57" s="49"/>
      <c r="AO57" s="49"/>
      <c r="AP57" s="49" t="s">
        <v>510</v>
      </c>
      <c r="AQ57" s="49"/>
      <c r="AR57" s="49"/>
      <c r="AS57" s="49" t="s">
        <v>510</v>
      </c>
      <c r="AT57" s="49"/>
      <c r="AU57" s="49" t="s">
        <v>151</v>
      </c>
      <c r="AV57" s="49" t="s">
        <v>227</v>
      </c>
      <c r="AW57" s="49" t="s">
        <v>227</v>
      </c>
      <c r="AX57" s="54"/>
      <c r="AY57" s="49" t="s">
        <v>131</v>
      </c>
      <c r="AZ57" s="48" t="s">
        <v>511</v>
      </c>
      <c r="BA57" s="48" t="s">
        <v>72</v>
      </c>
      <c r="BB57" s="49"/>
      <c r="BC57" s="49" t="s">
        <v>73</v>
      </c>
      <c r="BD57" s="49" t="s">
        <v>499</v>
      </c>
      <c r="BE57" s="49"/>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c r="DO57" s="45"/>
      <c r="DP57" s="45"/>
      <c r="DQ57" s="45"/>
      <c r="DR57" s="45"/>
      <c r="DS57" s="45"/>
      <c r="DT57" s="45"/>
      <c r="DU57" s="45"/>
      <c r="DV57" s="45"/>
      <c r="DW57" s="45"/>
      <c r="DX57" s="45"/>
      <c r="DY57" s="45"/>
      <c r="DZ57" s="45"/>
      <c r="EA57" s="45"/>
      <c r="EB57" s="45"/>
      <c r="EC57" s="45"/>
      <c r="ED57" s="45"/>
      <c r="EE57" s="45"/>
      <c r="EF57" s="45"/>
      <c r="EG57" s="45"/>
      <c r="EH57" s="45"/>
      <c r="EI57" s="45"/>
      <c r="EJ57" s="45"/>
      <c r="EK57" s="45"/>
      <c r="EL57" s="45"/>
      <c r="EM57" s="45"/>
      <c r="EN57" s="45"/>
      <c r="EO57" s="45"/>
      <c r="EP57" s="45"/>
      <c r="EQ57" s="45"/>
      <c r="ER57" s="45"/>
      <c r="ES57" s="45"/>
      <c r="ET57" s="45"/>
      <c r="EU57" s="45"/>
      <c r="EV57" s="45"/>
      <c r="EW57" s="45"/>
      <c r="EX57" s="45"/>
      <c r="EY57" s="45"/>
      <c r="EZ57" s="45"/>
      <c r="FA57" s="45"/>
      <c r="FB57" s="45"/>
      <c r="FC57" s="45"/>
      <c r="FD57" s="45"/>
      <c r="FE57" s="45"/>
      <c r="FF57" s="45"/>
      <c r="FG57" s="45"/>
      <c r="FH57" s="45"/>
      <c r="FI57" s="45"/>
      <c r="FJ57" s="45"/>
      <c r="FK57" s="45"/>
      <c r="FL57" s="45"/>
      <c r="FM57" s="45"/>
      <c r="FN57" s="45"/>
      <c r="FO57" s="45"/>
      <c r="FP57" s="45"/>
      <c r="FQ57" s="45"/>
      <c r="FR57" s="45"/>
      <c r="FS57" s="45"/>
      <c r="FT57" s="45"/>
      <c r="FU57" s="45"/>
      <c r="FV57" s="45"/>
      <c r="FW57" s="45"/>
      <c r="FX57" s="45"/>
      <c r="FY57" s="45"/>
      <c r="FZ57" s="45"/>
      <c r="GA57" s="45"/>
      <c r="GB57" s="45"/>
      <c r="GC57" s="45"/>
    </row>
    <row r="58" spans="1:185" s="46" customFormat="1" ht="34.5" customHeight="1">
      <c r="A58" s="99" t="s">
        <v>512</v>
      </c>
      <c r="B58" s="50" t="str">
        <f>LOWER(
  IF(
    RIGHT(
      SUBSTITUTE(SUBSTITUTE(SUBSTITUTE(SUBSTITUTE(SUBSTITUTE(SUBSTITUTE(SUBSTITUTE(C58,"(","_"),")","_"),"/","_"),":","_"),"-","_")," ","_"),"__","_"),
      1
    )="_",
    LEFT(
      SUBSTITUTE(SUBSTITUTE(SUBSTITUTE(SUBSTITUTE(SUBSTITUTE(SUBSTITUTE(SUBSTITUTE(C58,"(","_"),")","_"),"/","_"),":","_"),"-","_")," ","_"),"__","_"),
      LEN(
        SUBSTITUTE(SUBSTITUTE(SUBSTITUTE(SUBSTITUTE(SUBSTITUTE(SUBSTITUTE(SUBSTITUTE(C58,"(","_"),")","_"),"/","_"),":","_"),"-","_")," ","_"),"__","_")
      )-1
    ),
    SUBSTITUTE(SUBSTITUTE(SUBSTITUTE(SUBSTITUTE(SUBSTITUTE(SUBSTITUTE(SUBSTITUTE(C58,"(","_"),")","_"),"/","_"),":","_"),"-","_")," ","_"),"__","_")
  )
)</f>
        <v>illness_duration</v>
      </c>
      <c r="C58" s="49" t="s">
        <v>513</v>
      </c>
      <c r="D58" s="50" t="s">
        <v>514</v>
      </c>
      <c r="E58" s="49" t="s">
        <v>334</v>
      </c>
      <c r="F58" s="49" t="s">
        <v>65</v>
      </c>
      <c r="G58" s="49"/>
      <c r="H58" s="49"/>
      <c r="I58" s="49"/>
      <c r="J58" s="49"/>
      <c r="K58" s="49"/>
      <c r="L58" s="49"/>
      <c r="M58" s="49"/>
      <c r="N58" s="49"/>
      <c r="O58" s="49"/>
      <c r="P58" s="49" t="s">
        <v>515</v>
      </c>
      <c r="Q58" s="49" t="s">
        <v>515</v>
      </c>
      <c r="R58" s="49"/>
      <c r="S58" s="49"/>
      <c r="T58" s="49"/>
      <c r="U58" s="49"/>
      <c r="V58" s="50" t="s">
        <v>125</v>
      </c>
      <c r="W58" s="50" t="s">
        <v>126</v>
      </c>
      <c r="X58" s="48" t="s">
        <v>137</v>
      </c>
      <c r="Y58" s="48" t="s">
        <v>241</v>
      </c>
      <c r="Z58" s="48"/>
      <c r="AA58" s="49" t="str">
        <f>"[" &amp; _xlfn.TEXTJOIN(", ", TRUE,
    IF(I58&lt;&gt;"", """" &amp; I$1 &amp; """", ""),
    IF(J58&lt;&gt;"", """" &amp; J$1 &amp; """", ""),
    IF(K58&lt;&gt;"", """" &amp; K$1 &amp; """", ""),
    IF(L58&lt;&gt;"", """" &amp; L$1 &amp; """", ""),
    IF(M58&lt;&gt;"", """" &amp; M$1 &amp; """", ""),    IF(N58&lt;&gt;"", """" &amp; N$1 &amp; """", ""),    IF(O58&lt;&gt;"", """" &amp; O$1 &amp; """", ""),     IF(P58&lt;&gt;"", """" &amp; P$1 &amp; """", ""),     IF(Q58&lt;&gt;"", """" &amp; Q$1 &amp; """", ""), IF(R58&lt;&gt;"", """" &amp; R$1 &amp; """", ""), IF(S58&lt;&gt;"", """" &amp; S$1 &amp; """", ""), IF(T58&lt;&gt;"", """" &amp; T$1 &amp; """", ""), IF(U58&lt;&gt;"", """" &amp; U$1 &amp; """", ""),
    IF(X58&lt;&gt;"", """" &amp; X58 &amp; """", ""), IF(V58&lt;&gt;"", """" &amp; V58 &amp; """", ""), IF(W58&lt;&gt;"", """" &amp; W58 &amp; """", ""),
    IF(Y58&lt;&gt;"", """" &amp; Y58 &amp; """", ""),
    IF(Z58&lt;&gt;"", """" &amp; Z58 &amp; """", "")
) &amp; "]"</f>
        <v>["ENA ERC32", "ENA ERC33", "Host", "ENA Sample", "VJDB Sample", "Clinical "]</v>
      </c>
      <c r="AB58" s="49"/>
      <c r="AC58" s="49"/>
      <c r="AD58" s="49"/>
      <c r="AE58" s="49"/>
      <c r="AF58" s="49"/>
      <c r="AG58" s="49"/>
      <c r="AH58" s="49"/>
      <c r="AI58" s="49"/>
      <c r="AJ58" s="49"/>
      <c r="AK58" s="49"/>
      <c r="AL58" s="49"/>
      <c r="AM58" s="49"/>
      <c r="AN58" s="49"/>
      <c r="AO58" s="49"/>
      <c r="AP58" s="49" t="s">
        <v>516</v>
      </c>
      <c r="AQ58" s="49"/>
      <c r="AR58" s="49"/>
      <c r="AS58" s="49" t="s">
        <v>516</v>
      </c>
      <c r="AT58" s="49"/>
      <c r="AU58" s="49" t="s">
        <v>151</v>
      </c>
      <c r="AV58" s="49" t="s">
        <v>227</v>
      </c>
      <c r="AW58" s="49" t="s">
        <v>227</v>
      </c>
      <c r="AX58" s="54" t="s">
        <v>517</v>
      </c>
      <c r="AY58" s="49" t="s">
        <v>518</v>
      </c>
      <c r="AZ58" s="48" t="s">
        <v>64</v>
      </c>
      <c r="BA58" s="48" t="s">
        <v>119</v>
      </c>
      <c r="BB58" s="49"/>
      <c r="BC58" s="49" t="s">
        <v>73</v>
      </c>
      <c r="BD58" s="49" t="s">
        <v>499</v>
      </c>
      <c r="BE58" s="49"/>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c r="DJ58" s="45"/>
      <c r="DK58" s="45"/>
      <c r="DL58" s="45"/>
      <c r="DM58" s="45"/>
      <c r="DN58" s="45"/>
      <c r="DO58" s="45"/>
      <c r="DP58" s="45"/>
      <c r="DQ58" s="45"/>
      <c r="DR58" s="45"/>
      <c r="DS58" s="45"/>
      <c r="DT58" s="45"/>
      <c r="DU58" s="45"/>
      <c r="DV58" s="45"/>
      <c r="DW58" s="45"/>
      <c r="DX58" s="45"/>
      <c r="DY58" s="45"/>
      <c r="DZ58" s="45"/>
      <c r="EA58" s="45"/>
      <c r="EB58" s="45"/>
      <c r="EC58" s="45"/>
      <c r="ED58" s="45"/>
      <c r="EE58" s="45"/>
      <c r="EF58" s="45"/>
      <c r="EG58" s="45"/>
      <c r="EH58" s="45"/>
      <c r="EI58" s="45"/>
      <c r="EJ58" s="45"/>
      <c r="EK58" s="45"/>
      <c r="EL58" s="45"/>
      <c r="EM58" s="45"/>
      <c r="EN58" s="45"/>
      <c r="EO58" s="45"/>
      <c r="EP58" s="45"/>
      <c r="EQ58" s="45"/>
      <c r="ER58" s="45"/>
      <c r="ES58" s="45"/>
      <c r="ET58" s="45"/>
      <c r="EU58" s="45"/>
      <c r="EV58" s="45"/>
      <c r="EW58" s="45"/>
      <c r="EX58" s="45"/>
      <c r="EY58" s="45"/>
      <c r="EZ58" s="45"/>
      <c r="FA58" s="45"/>
      <c r="FB58" s="45"/>
      <c r="FC58" s="45"/>
      <c r="FD58" s="45"/>
      <c r="FE58" s="45"/>
      <c r="FF58" s="45"/>
      <c r="FG58" s="45"/>
      <c r="FH58" s="45"/>
      <c r="FI58" s="45"/>
      <c r="FJ58" s="45"/>
      <c r="FK58" s="45"/>
      <c r="FL58" s="45"/>
      <c r="FM58" s="45"/>
      <c r="FN58" s="45"/>
      <c r="FO58" s="45"/>
      <c r="FP58" s="45"/>
      <c r="FQ58" s="45"/>
      <c r="FR58" s="45"/>
      <c r="FS58" s="45"/>
      <c r="FT58" s="45"/>
      <c r="FU58" s="45"/>
      <c r="FV58" s="45"/>
      <c r="FW58" s="45"/>
      <c r="FX58" s="45"/>
      <c r="FY58" s="45"/>
      <c r="FZ58" s="45"/>
      <c r="GA58" s="45"/>
      <c r="GB58" s="45"/>
      <c r="GC58" s="45"/>
    </row>
    <row r="59" spans="1:185" s="46" customFormat="1" ht="34.5" customHeight="1">
      <c r="A59" s="99" t="s">
        <v>519</v>
      </c>
      <c r="B59" s="50" t="str">
        <f>LOWER(
  IF(
    RIGHT(
      SUBSTITUTE(SUBSTITUTE(SUBSTITUTE(SUBSTITUTE(SUBSTITUTE(SUBSTITUTE(SUBSTITUTE(C59,"(","_"),")","_"),"/","_"),":","_"),"-","_")," ","_"),"__","_"),
      1
    )="_",
    LEFT(
      SUBSTITUTE(SUBSTITUTE(SUBSTITUTE(SUBSTITUTE(SUBSTITUTE(SUBSTITUTE(SUBSTITUTE(C59,"(","_"),")","_"),"/","_"),":","_"),"-","_")," ","_"),"__","_"),
      LEN(
        SUBSTITUTE(SUBSTITUTE(SUBSTITUTE(SUBSTITUTE(SUBSTITUTE(SUBSTITUTE(SUBSTITUTE(C59,"(","_"),")","_"),"/","_"),":","_"),"-","_")," ","_"),"__","_")
      )-1
    ),
    SUBSTITUTE(SUBSTITUTE(SUBSTITUTE(SUBSTITUTE(SUBSTITUTE(SUBSTITUTE(SUBSTITUTE(C59,"(","_"),")","_"),"/","_"),":","_"),"-","_")," ","_"),"__","_")
  )
)</f>
        <v>illness_onset_date</v>
      </c>
      <c r="C59" s="49" t="s">
        <v>520</v>
      </c>
      <c r="D59" s="50" t="s">
        <v>521</v>
      </c>
      <c r="E59" s="49" t="s">
        <v>292</v>
      </c>
      <c r="F59" s="49" t="s">
        <v>65</v>
      </c>
      <c r="G59" s="49"/>
      <c r="H59" s="49"/>
      <c r="I59" s="49"/>
      <c r="J59" s="49"/>
      <c r="K59" s="49"/>
      <c r="L59" s="49"/>
      <c r="M59" s="49"/>
      <c r="N59" s="49"/>
      <c r="O59" s="49"/>
      <c r="P59" s="49" t="s">
        <v>522</v>
      </c>
      <c r="Q59" s="49"/>
      <c r="R59" s="49"/>
      <c r="S59" s="49"/>
      <c r="T59" s="49"/>
      <c r="U59" s="49"/>
      <c r="V59" s="50" t="s">
        <v>125</v>
      </c>
      <c r="W59" s="50" t="s">
        <v>126</v>
      </c>
      <c r="X59" s="48" t="s">
        <v>137</v>
      </c>
      <c r="Y59" s="48" t="s">
        <v>241</v>
      </c>
      <c r="Z59" s="48"/>
      <c r="AA59" s="49" t="str">
        <f>"[" &amp; _xlfn.TEXTJOIN(", ", TRUE,
    IF(I59&lt;&gt;"", """" &amp; I$1 &amp; """", ""),
    IF(J59&lt;&gt;"", """" &amp; J$1 &amp; """", ""),
    IF(K59&lt;&gt;"", """" &amp; K$1 &amp; """", ""),
    IF(L59&lt;&gt;"", """" &amp; L$1 &amp; """", ""),
    IF(M59&lt;&gt;"", """" &amp; M$1 &amp; """", ""),    IF(N59&lt;&gt;"", """" &amp; N$1 &amp; """", ""),    IF(O59&lt;&gt;"", """" &amp; O$1 &amp; """", ""),     IF(P59&lt;&gt;"", """" &amp; P$1 &amp; """", ""),     IF(Q59&lt;&gt;"", """" &amp; Q$1 &amp; """", ""), IF(R59&lt;&gt;"", """" &amp; R$1 &amp; """", ""), IF(S59&lt;&gt;"", """" &amp; S$1 &amp; """", ""), IF(T59&lt;&gt;"", """" &amp; T$1 &amp; """", ""), IF(U59&lt;&gt;"", """" &amp; U$1 &amp; """", ""),
    IF(X59&lt;&gt;"", """" &amp; X59 &amp; """", ""), IF(V59&lt;&gt;"", """" &amp; V59 &amp; """", ""), IF(W59&lt;&gt;"", """" &amp; W59 &amp; """", ""),
    IF(Y59&lt;&gt;"", """" &amp; Y59 &amp; """", ""),
    IF(Z59&lt;&gt;"", """" &amp; Z59 &amp; """", "")
) &amp; "]"</f>
        <v>["ENA ERC32", "Host", "ENA Sample", "VJDB Sample", "Clinical "]</v>
      </c>
      <c r="AB59" s="49"/>
      <c r="AC59" s="49"/>
      <c r="AD59" s="49"/>
      <c r="AE59" s="49"/>
      <c r="AF59" s="49"/>
      <c r="AG59" s="49"/>
      <c r="AH59" s="49"/>
      <c r="AI59" s="49"/>
      <c r="AJ59" s="49"/>
      <c r="AK59" s="49"/>
      <c r="AL59" s="49"/>
      <c r="AM59" s="49"/>
      <c r="AN59" s="49"/>
      <c r="AO59" s="49"/>
      <c r="AP59" s="49" t="s">
        <v>523</v>
      </c>
      <c r="AQ59" s="49"/>
      <c r="AR59" s="49"/>
      <c r="AS59" s="49"/>
      <c r="AT59" s="49"/>
      <c r="AU59" s="49"/>
      <c r="AV59" s="49" t="s">
        <v>227</v>
      </c>
      <c r="AW59" s="49" t="s">
        <v>227</v>
      </c>
      <c r="AX59" s="54" t="s">
        <v>524</v>
      </c>
      <c r="AY59" s="49" t="s">
        <v>297</v>
      </c>
      <c r="AZ59" s="48" t="s">
        <v>292</v>
      </c>
      <c r="BA59" s="48" t="s">
        <v>72</v>
      </c>
      <c r="BB59" s="49"/>
      <c r="BC59" s="49" t="s">
        <v>73</v>
      </c>
      <c r="BD59" s="49" t="s">
        <v>499</v>
      </c>
      <c r="BE59" s="49"/>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c r="DJ59" s="45"/>
      <c r="DK59" s="45"/>
      <c r="DL59" s="45"/>
      <c r="DM59" s="45"/>
      <c r="DN59" s="45"/>
      <c r="DO59" s="45"/>
      <c r="DP59" s="45"/>
      <c r="DQ59" s="45"/>
      <c r="DR59" s="45"/>
      <c r="DS59" s="45"/>
      <c r="DT59" s="45"/>
      <c r="DU59" s="45"/>
      <c r="DV59" s="45"/>
      <c r="DW59" s="45"/>
      <c r="DX59" s="45"/>
      <c r="DY59" s="45"/>
      <c r="DZ59" s="45"/>
      <c r="EA59" s="45"/>
      <c r="EB59" s="45"/>
      <c r="EC59" s="45"/>
      <c r="ED59" s="45"/>
      <c r="EE59" s="45"/>
      <c r="EF59" s="45"/>
      <c r="EG59" s="45"/>
      <c r="EH59" s="45"/>
      <c r="EI59" s="45"/>
      <c r="EJ59" s="45"/>
      <c r="EK59" s="45"/>
      <c r="EL59" s="45"/>
      <c r="EM59" s="45"/>
      <c r="EN59" s="45"/>
      <c r="EO59" s="45"/>
      <c r="EP59" s="45"/>
      <c r="EQ59" s="45"/>
      <c r="ER59" s="45"/>
      <c r="ES59" s="45"/>
      <c r="ET59" s="45"/>
      <c r="EU59" s="45"/>
      <c r="EV59" s="45"/>
      <c r="EW59" s="45"/>
      <c r="EX59" s="45"/>
      <c r="EY59" s="45"/>
      <c r="EZ59" s="45"/>
      <c r="FA59" s="45"/>
      <c r="FB59" s="45"/>
      <c r="FC59" s="45"/>
      <c r="FD59" s="45"/>
      <c r="FE59" s="45"/>
      <c r="FF59" s="45"/>
      <c r="FG59" s="45"/>
      <c r="FH59" s="45"/>
      <c r="FI59" s="45"/>
      <c r="FJ59" s="45"/>
      <c r="FK59" s="45"/>
      <c r="FL59" s="45"/>
      <c r="FM59" s="45"/>
      <c r="FN59" s="45"/>
      <c r="FO59" s="45"/>
      <c r="FP59" s="45"/>
      <c r="FQ59" s="45"/>
      <c r="FR59" s="45"/>
      <c r="FS59" s="45"/>
      <c r="FT59" s="45"/>
      <c r="FU59" s="45"/>
      <c r="FV59" s="45"/>
      <c r="FW59" s="45"/>
      <c r="FX59" s="45"/>
      <c r="FY59" s="45"/>
      <c r="FZ59" s="45"/>
      <c r="GA59" s="45"/>
      <c r="GB59" s="45"/>
      <c r="GC59" s="45"/>
    </row>
    <row r="60" spans="1:185" s="46" customFormat="1" ht="34.5" customHeight="1">
      <c r="A60" s="99" t="s">
        <v>525</v>
      </c>
      <c r="B60" s="50" t="str">
        <f>LOWER(
  IF(
    RIGHT(
      SUBSTITUTE(SUBSTITUTE(SUBSTITUTE(SUBSTITUTE(SUBSTITUTE(SUBSTITUTE(SUBSTITUTE(C60,"(","_"),")","_"),"/","_"),":","_"),"-","_")," ","_"),"__","_"),
      1
    )="_",
    LEFT(
      SUBSTITUTE(SUBSTITUTE(SUBSTITUTE(SUBSTITUTE(SUBSTITUTE(SUBSTITUTE(SUBSTITUTE(C60,"(","_"),")","_"),"/","_"),":","_"),"-","_")," ","_"),"__","_"),
      LEN(
        SUBSTITUTE(SUBSTITUTE(SUBSTITUTE(SUBSTITUTE(SUBSTITUTE(SUBSTITUTE(SUBSTITUTE(C60,"(","_"),")","_"),"/","_"),":","_"),"-","_")," ","_"),"__","_")
      )-1
    ),
    SUBSTITUTE(SUBSTITUTE(SUBSTITUTE(SUBSTITUTE(SUBSTITUTE(SUBSTITUTE(SUBSTITUTE(C60,"(","_"),")","_"),"/","_"),":","_"),"-","_")," ","_"),"__","_")
  )
)</f>
        <v>illness_symptoms</v>
      </c>
      <c r="C60" s="49" t="s">
        <v>526</v>
      </c>
      <c r="D60" s="50" t="s">
        <v>527</v>
      </c>
      <c r="E60" s="49" t="s">
        <v>64</v>
      </c>
      <c r="F60" s="49" t="s">
        <v>65</v>
      </c>
      <c r="G60" s="49"/>
      <c r="H60" s="49"/>
      <c r="I60" s="49"/>
      <c r="J60" s="49"/>
      <c r="K60" s="49"/>
      <c r="L60" s="49"/>
      <c r="M60" s="49"/>
      <c r="N60" s="49"/>
      <c r="O60" s="49"/>
      <c r="P60" s="49" t="s">
        <v>226</v>
      </c>
      <c r="Q60" s="49" t="s">
        <v>226</v>
      </c>
      <c r="R60" s="49"/>
      <c r="S60" s="49"/>
      <c r="T60" s="49"/>
      <c r="U60" s="49"/>
      <c r="V60" s="50" t="s">
        <v>125</v>
      </c>
      <c r="W60" s="50" t="s">
        <v>126</v>
      </c>
      <c r="X60" s="48" t="s">
        <v>137</v>
      </c>
      <c r="Y60" s="48" t="s">
        <v>241</v>
      </c>
      <c r="Z60" s="48"/>
      <c r="AA60" s="49" t="str">
        <f>"[" &amp; _xlfn.TEXTJOIN(", ", TRUE,
    IF(I60&lt;&gt;"", """" &amp; I$1 &amp; """", ""),
    IF(J60&lt;&gt;"", """" &amp; J$1 &amp; """", ""),
    IF(K60&lt;&gt;"", """" &amp; K$1 &amp; """", ""),
    IF(L60&lt;&gt;"", """" &amp; L$1 &amp; """", ""),
    IF(M60&lt;&gt;"", """" &amp; M$1 &amp; """", ""),    IF(N60&lt;&gt;"", """" &amp; N$1 &amp; """", ""),    IF(O60&lt;&gt;"", """" &amp; O$1 &amp; """", ""),     IF(P60&lt;&gt;"", """" &amp; P$1 &amp; """", ""),     IF(Q60&lt;&gt;"", """" &amp; Q$1 &amp; """", ""), IF(R60&lt;&gt;"", """" &amp; R$1 &amp; """", ""), IF(S60&lt;&gt;"", """" &amp; S$1 &amp; """", ""), IF(T60&lt;&gt;"", """" &amp; T$1 &amp; """", ""), IF(U60&lt;&gt;"", """" &amp; U$1 &amp; """", ""),
    IF(X60&lt;&gt;"", """" &amp; X60 &amp; """", ""), IF(V60&lt;&gt;"", """" &amp; V60 &amp; """", ""), IF(W60&lt;&gt;"", """" &amp; W60 &amp; """", ""),
    IF(Y60&lt;&gt;"", """" &amp; Y60 &amp; """", ""),
    IF(Z60&lt;&gt;"", """" &amp; Z60 &amp; """", "")
) &amp; "]"</f>
        <v>["ENA ERC32", "ENA ERC33", "Host", "ENA Sample", "VJDB Sample", "Clinical "]</v>
      </c>
      <c r="AB60" s="49"/>
      <c r="AC60" s="49"/>
      <c r="AD60" s="49"/>
      <c r="AE60" s="49"/>
      <c r="AF60" s="49"/>
      <c r="AG60" s="49"/>
      <c r="AH60" s="49"/>
      <c r="AI60" s="49"/>
      <c r="AJ60" s="49"/>
      <c r="AK60" s="49"/>
      <c r="AL60" s="49"/>
      <c r="AM60" s="49"/>
      <c r="AN60" s="49"/>
      <c r="AO60" s="49"/>
      <c r="AP60" s="49" t="s">
        <v>528</v>
      </c>
      <c r="AQ60" s="49"/>
      <c r="AR60" s="49"/>
      <c r="AS60" s="49" t="s">
        <v>528</v>
      </c>
      <c r="AT60" s="49"/>
      <c r="AU60" s="49" t="s">
        <v>129</v>
      </c>
      <c r="AV60" s="49" t="s">
        <v>227</v>
      </c>
      <c r="AW60" s="49" t="s">
        <v>227</v>
      </c>
      <c r="AX60" s="54" t="s">
        <v>529</v>
      </c>
      <c r="AY60" s="49" t="s">
        <v>530</v>
      </c>
      <c r="AZ60" s="48" t="s">
        <v>64</v>
      </c>
      <c r="BA60" s="48" t="s">
        <v>72</v>
      </c>
      <c r="BB60" s="49"/>
      <c r="BC60" s="49" t="s">
        <v>73</v>
      </c>
      <c r="BD60" s="49" t="s">
        <v>499</v>
      </c>
      <c r="BE60" s="49"/>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c r="DC60" s="45"/>
      <c r="DD60" s="45"/>
      <c r="DE60" s="45"/>
      <c r="DF60" s="45"/>
      <c r="DG60" s="45"/>
      <c r="DH60" s="45"/>
      <c r="DI60" s="45"/>
      <c r="DJ60" s="45"/>
      <c r="DK60" s="45"/>
      <c r="DL60" s="45"/>
      <c r="DM60" s="45"/>
      <c r="DN60" s="45"/>
      <c r="DO60" s="45"/>
      <c r="DP60" s="45"/>
      <c r="DQ60" s="45"/>
      <c r="DR60" s="45"/>
      <c r="DS60" s="45"/>
      <c r="DT60" s="45"/>
      <c r="DU60" s="45"/>
      <c r="DV60" s="45"/>
      <c r="DW60" s="45"/>
      <c r="DX60" s="45"/>
      <c r="DY60" s="45"/>
      <c r="DZ60" s="45"/>
      <c r="EA60" s="45"/>
      <c r="EB60" s="45"/>
      <c r="EC60" s="45"/>
      <c r="ED60" s="45"/>
      <c r="EE60" s="45"/>
      <c r="EF60" s="45"/>
      <c r="EG60" s="45"/>
      <c r="EH60" s="45"/>
      <c r="EI60" s="45"/>
      <c r="EJ60" s="45"/>
      <c r="EK60" s="45"/>
      <c r="EL60" s="45"/>
      <c r="EM60" s="45"/>
      <c r="EN60" s="45"/>
      <c r="EO60" s="45"/>
      <c r="EP60" s="45"/>
      <c r="EQ60" s="45"/>
      <c r="ER60" s="45"/>
      <c r="ES60" s="45"/>
      <c r="ET60" s="45"/>
      <c r="EU60" s="45"/>
      <c r="EV60" s="45"/>
      <c r="EW60" s="45"/>
      <c r="EX60" s="45"/>
      <c r="EY60" s="45"/>
      <c r="EZ60" s="45"/>
      <c r="FA60" s="45"/>
      <c r="FB60" s="45"/>
      <c r="FC60" s="45"/>
      <c r="FD60" s="45"/>
      <c r="FE60" s="45"/>
      <c r="FF60" s="45"/>
      <c r="FG60" s="45"/>
      <c r="FH60" s="45"/>
      <c r="FI60" s="45"/>
      <c r="FJ60" s="45"/>
      <c r="FK60" s="45"/>
      <c r="FL60" s="45"/>
      <c r="FM60" s="45"/>
      <c r="FN60" s="45"/>
      <c r="FO60" s="45"/>
      <c r="FP60" s="45"/>
      <c r="FQ60" s="45"/>
      <c r="FR60" s="45"/>
      <c r="FS60" s="45"/>
      <c r="FT60" s="45"/>
      <c r="FU60" s="45"/>
      <c r="FV60" s="45"/>
      <c r="FW60" s="45"/>
      <c r="FX60" s="45"/>
      <c r="FY60" s="45"/>
      <c r="FZ60" s="45"/>
      <c r="GA60" s="45"/>
      <c r="GB60" s="45"/>
      <c r="GC60" s="45"/>
    </row>
    <row r="61" spans="1:185" s="46" customFormat="1" ht="34.5" customHeight="1">
      <c r="A61" s="99" t="s">
        <v>531</v>
      </c>
      <c r="B61" s="50" t="str">
        <f>LOWER(
  IF(
    RIGHT(
      SUBSTITUTE(SUBSTITUTE(SUBSTITUTE(SUBSTITUTE(SUBSTITUTE(SUBSTITUTE(SUBSTITUTE(C61,"(","_"),")","_"),"/","_"),":","_"),"-","_")," ","_"),"__","_"),
      1
    )="_",
    LEFT(
      SUBSTITUTE(SUBSTITUTE(SUBSTITUTE(SUBSTITUTE(SUBSTITUTE(SUBSTITUTE(SUBSTITUTE(C61,"(","_"),")","_"),"/","_"),":","_"),"-","_")," ","_"),"__","_"),
      LEN(
        SUBSTITUTE(SUBSTITUTE(SUBSTITUTE(SUBSTITUTE(SUBSTITUTE(SUBSTITUTE(SUBSTITUTE(C61,"(","_"),")","_"),"/","_"),":","_"),"-","_")," ","_"),"__","_")
      )-1
    ),
    SUBSTITUTE(SUBSTITUTE(SUBSTITUTE(SUBSTITUTE(SUBSTITUTE(SUBSTITUTE(SUBSTITUTE(C61,"(","_"),")","_"),"/","_"),":","_"),"-","_")," ","_"),"__","_")
  )
)</f>
        <v>influenza_strain_unique_number</v>
      </c>
      <c r="C61" s="49" t="s">
        <v>532</v>
      </c>
      <c r="D61" s="50" t="s">
        <v>533</v>
      </c>
      <c r="E61" s="49" t="s">
        <v>64</v>
      </c>
      <c r="F61" s="49" t="s">
        <v>65</v>
      </c>
      <c r="G61" s="49"/>
      <c r="H61" s="49"/>
      <c r="I61" s="49"/>
      <c r="J61" s="49"/>
      <c r="K61" s="49"/>
      <c r="L61" s="49"/>
      <c r="M61" s="49"/>
      <c r="N61" s="49"/>
      <c r="O61" s="49"/>
      <c r="P61" s="49" t="s">
        <v>534</v>
      </c>
      <c r="Q61" s="49"/>
      <c r="R61" s="49"/>
      <c r="S61" s="49"/>
      <c r="T61" s="49"/>
      <c r="U61" s="49"/>
      <c r="V61" s="50" t="s">
        <v>125</v>
      </c>
      <c r="W61" s="50" t="s">
        <v>126</v>
      </c>
      <c r="X61" s="48" t="s">
        <v>68</v>
      </c>
      <c r="Y61" s="48" t="s">
        <v>241</v>
      </c>
      <c r="Z61" s="48"/>
      <c r="AA61" s="49" t="str">
        <f>"[" &amp; _xlfn.TEXTJOIN(", ", TRUE,
    IF(I61&lt;&gt;"", """" &amp; I$1 &amp; """", ""),
    IF(J61&lt;&gt;"", """" &amp; J$1 &amp; """", ""),
    IF(K61&lt;&gt;"", """" &amp; K$1 &amp; """", ""),
    IF(L61&lt;&gt;"", """" &amp; L$1 &amp; """", ""),
    IF(M61&lt;&gt;"", """" &amp; M$1 &amp; """", ""),    IF(N61&lt;&gt;"", """" &amp; N$1 &amp; """", ""),    IF(O61&lt;&gt;"", """" &amp; O$1 &amp; """", ""),     IF(P61&lt;&gt;"", """" &amp; P$1 &amp; """", ""),     IF(Q61&lt;&gt;"", """" &amp; Q$1 &amp; """", ""), IF(R61&lt;&gt;"", """" &amp; R$1 &amp; """", ""), IF(S61&lt;&gt;"", """" &amp; S$1 &amp; """", ""), IF(T61&lt;&gt;"", """" &amp; T$1 &amp; """", ""), IF(U61&lt;&gt;"", """" &amp; U$1 &amp; """", ""),
    IF(X61&lt;&gt;"", """" &amp; X61 &amp; """", ""), IF(V61&lt;&gt;"", """" &amp; V61 &amp; """", ""), IF(W61&lt;&gt;"", """" &amp; W61 &amp; """", ""),
    IF(Y61&lt;&gt;"", """" &amp; Y61 &amp; """", ""),
    IF(Z61&lt;&gt;"", """" &amp; Z61 &amp; """", "")
) &amp; "]"</f>
        <v>["ENA ERC32", "Sample", "ENA Sample", "VJDB Sample", "Clinical "]</v>
      </c>
      <c r="AB61" s="49"/>
      <c r="AC61" s="49"/>
      <c r="AD61" s="49"/>
      <c r="AE61" s="49"/>
      <c r="AF61" s="49"/>
      <c r="AG61" s="49"/>
      <c r="AH61" s="49"/>
      <c r="AI61" s="49"/>
      <c r="AJ61" s="49"/>
      <c r="AK61" s="49"/>
      <c r="AL61" s="49"/>
      <c r="AM61" s="49"/>
      <c r="AN61" s="49"/>
      <c r="AO61" s="49"/>
      <c r="AP61" s="49" t="s">
        <v>535</v>
      </c>
      <c r="AQ61" s="49"/>
      <c r="AR61" s="49"/>
      <c r="AS61" s="49"/>
      <c r="AT61" s="49"/>
      <c r="AU61" s="49"/>
      <c r="AV61" s="49" t="s">
        <v>227</v>
      </c>
      <c r="AW61" s="49" t="s">
        <v>227</v>
      </c>
      <c r="AX61" s="54" t="s">
        <v>536</v>
      </c>
      <c r="AY61" s="49" t="s">
        <v>518</v>
      </c>
      <c r="AZ61" s="48" t="s">
        <v>64</v>
      </c>
      <c r="BA61" s="48" t="s">
        <v>119</v>
      </c>
      <c r="BB61" s="49"/>
      <c r="BC61" s="49" t="s">
        <v>73</v>
      </c>
      <c r="BD61" s="49" t="s">
        <v>499</v>
      </c>
      <c r="BE61" s="49"/>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c r="DC61" s="45"/>
      <c r="DD61" s="45"/>
      <c r="DE61" s="45"/>
      <c r="DF61" s="45"/>
      <c r="DG61" s="45"/>
      <c r="DH61" s="45"/>
      <c r="DI61" s="45"/>
      <c r="DJ61" s="45"/>
      <c r="DK61" s="45"/>
      <c r="DL61" s="45"/>
      <c r="DM61" s="45"/>
      <c r="DN61" s="45"/>
      <c r="DO61" s="45"/>
      <c r="DP61" s="45"/>
      <c r="DQ61" s="45"/>
      <c r="DR61" s="45"/>
      <c r="DS61" s="45"/>
      <c r="DT61" s="45"/>
      <c r="DU61" s="45"/>
      <c r="DV61" s="45"/>
      <c r="DW61" s="45"/>
      <c r="DX61" s="45"/>
      <c r="DY61" s="45"/>
      <c r="DZ61" s="45"/>
      <c r="EA61" s="45"/>
      <c r="EB61" s="45"/>
      <c r="EC61" s="45"/>
      <c r="ED61" s="45"/>
      <c r="EE61" s="45"/>
      <c r="EF61" s="45"/>
      <c r="EG61" s="45"/>
      <c r="EH61" s="45"/>
      <c r="EI61" s="45"/>
      <c r="EJ61" s="45"/>
      <c r="EK61" s="45"/>
      <c r="EL61" s="45"/>
      <c r="EM61" s="45"/>
      <c r="EN61" s="45"/>
      <c r="EO61" s="45"/>
      <c r="EP61" s="45"/>
      <c r="EQ61" s="45"/>
      <c r="ER61" s="45"/>
      <c r="ES61" s="45"/>
      <c r="ET61" s="45"/>
      <c r="EU61" s="45"/>
      <c r="EV61" s="45"/>
      <c r="EW61" s="45"/>
      <c r="EX61" s="45"/>
      <c r="EY61" s="45"/>
      <c r="EZ61" s="45"/>
      <c r="FA61" s="45"/>
      <c r="FB61" s="45"/>
      <c r="FC61" s="45"/>
      <c r="FD61" s="45"/>
      <c r="FE61" s="45"/>
      <c r="FF61" s="45"/>
      <c r="FG61" s="45"/>
      <c r="FH61" s="45"/>
      <c r="FI61" s="45"/>
      <c r="FJ61" s="45"/>
      <c r="FK61" s="45"/>
      <c r="FL61" s="45"/>
      <c r="FM61" s="45"/>
      <c r="FN61" s="45"/>
      <c r="FO61" s="45"/>
      <c r="FP61" s="45"/>
      <c r="FQ61" s="45"/>
      <c r="FR61" s="45"/>
      <c r="FS61" s="45"/>
      <c r="FT61" s="45"/>
      <c r="FU61" s="45"/>
      <c r="FV61" s="45"/>
      <c r="FW61" s="45"/>
      <c r="FX61" s="45"/>
      <c r="FY61" s="45"/>
      <c r="FZ61" s="45"/>
      <c r="GA61" s="45"/>
      <c r="GB61" s="45"/>
      <c r="GC61" s="45"/>
    </row>
    <row r="62" spans="1:185" s="46" customFormat="1" ht="34.5" customHeight="1">
      <c r="A62" s="99" t="s">
        <v>537</v>
      </c>
      <c r="B62" s="50" t="str">
        <f>LOWER(
  IF(
    RIGHT(
      SUBSTITUTE(SUBSTITUTE(SUBSTITUTE(SUBSTITUTE(SUBSTITUTE(SUBSTITUTE(SUBSTITUTE(C62,"(","_"),")","_"),"/","_"),":","_"),"-","_")," ","_"),"__","_"),
      1
    )="_",
    LEFT(
      SUBSTITUTE(SUBSTITUTE(SUBSTITUTE(SUBSTITUTE(SUBSTITUTE(SUBSTITUTE(SUBSTITUTE(C62,"(","_"),")","_"),"/","_"),":","_"),"-","_")," ","_"),"__","_"),
      LEN(
        SUBSTITUTE(SUBSTITUTE(SUBSTITUTE(SUBSTITUTE(SUBSTITUTE(SUBSTITUTE(SUBSTITUTE(C62,"(","_"),")","_"),"/","_"),":","_"),"-","_")," ","_"),"__","_")
      )-1
    ),
    SUBSTITUTE(SUBSTITUTE(SUBSTITUTE(SUBSTITUTE(SUBSTITUTE(SUBSTITUTE(SUBSTITUTE(C62,"(","_"),")","_"),"/","_"),":","_"),"-","_")," ","_"),"__","_")
  )
)</f>
        <v>influenza_vaccination_date</v>
      </c>
      <c r="C62" s="49" t="s">
        <v>538</v>
      </c>
      <c r="D62" s="50" t="s">
        <v>539</v>
      </c>
      <c r="E62" s="49" t="s">
        <v>292</v>
      </c>
      <c r="F62" s="49" t="s">
        <v>65</v>
      </c>
      <c r="G62" s="49"/>
      <c r="H62" s="49"/>
      <c r="I62" s="49"/>
      <c r="J62" s="49"/>
      <c r="K62" s="49"/>
      <c r="L62" s="49"/>
      <c r="M62" s="49"/>
      <c r="N62" s="49"/>
      <c r="O62" s="49"/>
      <c r="P62" s="49" t="s">
        <v>540</v>
      </c>
      <c r="Q62" s="49"/>
      <c r="R62" s="49"/>
      <c r="S62" s="49"/>
      <c r="T62" s="49"/>
      <c r="U62" s="49"/>
      <c r="V62" s="50" t="s">
        <v>125</v>
      </c>
      <c r="W62" s="50" t="s">
        <v>126</v>
      </c>
      <c r="X62" s="48" t="s">
        <v>68</v>
      </c>
      <c r="Y62" s="48" t="s">
        <v>241</v>
      </c>
      <c r="Z62" s="48"/>
      <c r="AA62" s="49" t="str">
        <f>"[" &amp; _xlfn.TEXTJOIN(", ", TRUE,
    IF(I62&lt;&gt;"", """" &amp; I$1 &amp; """", ""),
    IF(J62&lt;&gt;"", """" &amp; J$1 &amp; """", ""),
    IF(K62&lt;&gt;"", """" &amp; K$1 &amp; """", ""),
    IF(L62&lt;&gt;"", """" &amp; L$1 &amp; """", ""),
    IF(M62&lt;&gt;"", """" &amp; M$1 &amp; """", ""),    IF(N62&lt;&gt;"", """" &amp; N$1 &amp; """", ""),    IF(O62&lt;&gt;"", """" &amp; O$1 &amp; """", ""),     IF(P62&lt;&gt;"", """" &amp; P$1 &amp; """", ""),     IF(Q62&lt;&gt;"", """" &amp; Q$1 &amp; """", ""), IF(R62&lt;&gt;"", """" &amp; R$1 &amp; """", ""), IF(S62&lt;&gt;"", """" &amp; S$1 &amp; """", ""), IF(T62&lt;&gt;"", """" &amp; T$1 &amp; """", ""), IF(U62&lt;&gt;"", """" &amp; U$1 &amp; """", ""),
    IF(X62&lt;&gt;"", """" &amp; X62 &amp; """", ""), IF(V62&lt;&gt;"", """" &amp; V62 &amp; """", ""), IF(W62&lt;&gt;"", """" &amp; W62 &amp; """", ""),
    IF(Y62&lt;&gt;"", """" &amp; Y62 &amp; """", ""),
    IF(Z62&lt;&gt;"", """" &amp; Z62 &amp; """", "")
) &amp; "]"</f>
        <v>["ENA ERC32", "Sample", "ENA Sample", "VJDB Sample", "Clinical "]</v>
      </c>
      <c r="AB62" s="49"/>
      <c r="AC62" s="49"/>
      <c r="AD62" s="49"/>
      <c r="AE62" s="49"/>
      <c r="AF62" s="49"/>
      <c r="AG62" s="49"/>
      <c r="AH62" s="49"/>
      <c r="AI62" s="49"/>
      <c r="AJ62" s="49"/>
      <c r="AK62" s="49"/>
      <c r="AL62" s="49"/>
      <c r="AM62" s="49"/>
      <c r="AN62" s="49"/>
      <c r="AO62" s="49"/>
      <c r="AP62" s="49" t="s">
        <v>541</v>
      </c>
      <c r="AQ62" s="49"/>
      <c r="AR62" s="49"/>
      <c r="AS62" s="49"/>
      <c r="AT62" s="49"/>
      <c r="AU62" s="49"/>
      <c r="AV62" s="49" t="s">
        <v>227</v>
      </c>
      <c r="AW62" s="49" t="s">
        <v>227</v>
      </c>
      <c r="AX62" s="54" t="s">
        <v>542</v>
      </c>
      <c r="AY62" s="49" t="s">
        <v>297</v>
      </c>
      <c r="AZ62" s="48" t="s">
        <v>292</v>
      </c>
      <c r="BA62" s="48" t="s">
        <v>72</v>
      </c>
      <c r="BB62" s="49"/>
      <c r="BC62" s="49" t="s">
        <v>73</v>
      </c>
      <c r="BD62" s="49" t="s">
        <v>499</v>
      </c>
      <c r="BE62" s="49"/>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c r="DL62" s="45"/>
      <c r="DM62" s="45"/>
      <c r="DN62" s="45"/>
      <c r="DO62" s="45"/>
      <c r="DP62" s="45"/>
      <c r="DQ62" s="45"/>
      <c r="DR62" s="45"/>
      <c r="DS62" s="45"/>
      <c r="DT62" s="45"/>
      <c r="DU62" s="45"/>
      <c r="DV62" s="45"/>
      <c r="DW62" s="45"/>
      <c r="DX62" s="45"/>
      <c r="DY62" s="45"/>
      <c r="DZ62" s="45"/>
      <c r="EA62" s="45"/>
      <c r="EB62" s="45"/>
      <c r="EC62" s="45"/>
      <c r="ED62" s="45"/>
      <c r="EE62" s="45"/>
      <c r="EF62" s="45"/>
      <c r="EG62" s="45"/>
      <c r="EH62" s="45"/>
      <c r="EI62" s="45"/>
      <c r="EJ62" s="45"/>
      <c r="EK62" s="45"/>
      <c r="EL62" s="45"/>
      <c r="EM62" s="45"/>
      <c r="EN62" s="45"/>
      <c r="EO62" s="45"/>
      <c r="EP62" s="45"/>
      <c r="EQ62" s="45"/>
      <c r="ER62" s="45"/>
      <c r="ES62" s="45"/>
      <c r="ET62" s="45"/>
      <c r="EU62" s="45"/>
      <c r="EV62" s="45"/>
      <c r="EW62" s="45"/>
      <c r="EX62" s="45"/>
      <c r="EY62" s="45"/>
      <c r="EZ62" s="45"/>
      <c r="FA62" s="45"/>
      <c r="FB62" s="45"/>
      <c r="FC62" s="45"/>
      <c r="FD62" s="45"/>
      <c r="FE62" s="45"/>
      <c r="FF62" s="45"/>
      <c r="FG62" s="45"/>
      <c r="FH62" s="45"/>
      <c r="FI62" s="45"/>
      <c r="FJ62" s="45"/>
      <c r="FK62" s="45"/>
      <c r="FL62" s="45"/>
      <c r="FM62" s="45"/>
      <c r="FN62" s="45"/>
      <c r="FO62" s="45"/>
      <c r="FP62" s="45"/>
      <c r="FQ62" s="45"/>
      <c r="FR62" s="45"/>
      <c r="FS62" s="45"/>
      <c r="FT62" s="45"/>
      <c r="FU62" s="45"/>
      <c r="FV62" s="45"/>
      <c r="FW62" s="45"/>
      <c r="FX62" s="45"/>
      <c r="FY62" s="45"/>
      <c r="FZ62" s="45"/>
      <c r="GA62" s="45"/>
      <c r="GB62" s="45"/>
      <c r="GC62" s="45"/>
    </row>
    <row r="63" spans="1:185" s="46" customFormat="1" ht="34.5" customHeight="1">
      <c r="A63" s="99" t="s">
        <v>543</v>
      </c>
      <c r="B63" s="50" t="str">
        <f>LOWER(
  IF(
    RIGHT(
      SUBSTITUTE(SUBSTITUTE(SUBSTITUTE(SUBSTITUTE(SUBSTITUTE(SUBSTITUTE(SUBSTITUTE(C63,"(","_"),")","_"),"/","_"),":","_"),"-","_")," ","_"),"__","_"),
      1
    )="_",
    LEFT(
      SUBSTITUTE(SUBSTITUTE(SUBSTITUTE(SUBSTITUTE(SUBSTITUTE(SUBSTITUTE(SUBSTITUTE(C63,"(","_"),")","_"),"/","_"),":","_"),"-","_")," ","_"),"__","_"),
      LEN(
        SUBSTITUTE(SUBSTITUTE(SUBSTITUTE(SUBSTITUTE(SUBSTITUTE(SUBSTITUTE(SUBSTITUTE(C63,"(","_"),")","_"),"/","_"),":","_"),"-","_")," ","_"),"__","_")
      )-1
    ),
    SUBSTITUTE(SUBSTITUTE(SUBSTITUTE(SUBSTITUTE(SUBSTITUTE(SUBSTITUTE(SUBSTITUTE(C63,"(","_"),")","_"),"/","_"),":","_"),"-","_")," ","_"),"__","_")
  )
)</f>
        <v>influenza_vaccination_type</v>
      </c>
      <c r="C63" s="49" t="s">
        <v>544</v>
      </c>
      <c r="D63" s="50" t="s">
        <v>545</v>
      </c>
      <c r="E63" s="49" t="s">
        <v>98</v>
      </c>
      <c r="F63" s="49" t="s">
        <v>65</v>
      </c>
      <c r="G63" s="49"/>
      <c r="H63" s="49"/>
      <c r="I63" s="49"/>
      <c r="J63" s="49"/>
      <c r="K63" s="49"/>
      <c r="L63" s="49"/>
      <c r="M63" s="49"/>
      <c r="N63" s="49"/>
      <c r="O63" s="49"/>
      <c r="P63" s="49" t="s">
        <v>546</v>
      </c>
      <c r="Q63" s="49"/>
      <c r="R63" s="49"/>
      <c r="S63" s="49"/>
      <c r="T63" s="49"/>
      <c r="U63" s="49"/>
      <c r="V63" s="50" t="s">
        <v>125</v>
      </c>
      <c r="W63" s="50" t="s">
        <v>126</v>
      </c>
      <c r="X63" s="48" t="s">
        <v>68</v>
      </c>
      <c r="Y63" s="48" t="s">
        <v>241</v>
      </c>
      <c r="Z63" s="48"/>
      <c r="AA63" s="49" t="str">
        <f>"[" &amp; _xlfn.TEXTJOIN(", ", TRUE,
    IF(I63&lt;&gt;"", """" &amp; I$1 &amp; """", ""),
    IF(J63&lt;&gt;"", """" &amp; J$1 &amp; """", ""),
    IF(K63&lt;&gt;"", """" &amp; K$1 &amp; """", ""),
    IF(L63&lt;&gt;"", """" &amp; L$1 &amp; """", ""),
    IF(M63&lt;&gt;"", """" &amp; M$1 &amp; """", ""),    IF(N63&lt;&gt;"", """" &amp; N$1 &amp; """", ""),    IF(O63&lt;&gt;"", """" &amp; O$1 &amp; """", ""),     IF(P63&lt;&gt;"", """" &amp; P$1 &amp; """", ""),     IF(Q63&lt;&gt;"", """" &amp; Q$1 &amp; """", ""), IF(R63&lt;&gt;"", """" &amp; R$1 &amp; """", ""), IF(S63&lt;&gt;"", """" &amp; S$1 &amp; """", ""), IF(T63&lt;&gt;"", """" &amp; T$1 &amp; """", ""), IF(U63&lt;&gt;"", """" &amp; U$1 &amp; """", ""),
    IF(X63&lt;&gt;"", """" &amp; X63 &amp; """", ""), IF(V63&lt;&gt;"", """" &amp; V63 &amp; """", ""), IF(W63&lt;&gt;"", """" &amp; W63 &amp; """", ""),
    IF(Y63&lt;&gt;"", """" &amp; Y63 &amp; """", ""),
    IF(Z63&lt;&gt;"", """" &amp; Z63 &amp; """", "")
) &amp; "]"</f>
        <v>["ENA ERC32", "Sample", "ENA Sample", "VJDB Sample", "Clinical "]</v>
      </c>
      <c r="AB63" s="49"/>
      <c r="AC63" s="49"/>
      <c r="AD63" s="49"/>
      <c r="AE63" s="49"/>
      <c r="AF63" s="49"/>
      <c r="AG63" s="49"/>
      <c r="AH63" s="49"/>
      <c r="AI63" s="49"/>
      <c r="AJ63" s="49"/>
      <c r="AK63" s="49"/>
      <c r="AL63" s="49"/>
      <c r="AM63" s="49"/>
      <c r="AN63" s="49"/>
      <c r="AO63" s="49"/>
      <c r="AP63" s="49" t="s">
        <v>547</v>
      </c>
      <c r="AQ63" s="49"/>
      <c r="AR63" s="49"/>
      <c r="AS63" s="49"/>
      <c r="AT63" s="49"/>
      <c r="AU63" s="49"/>
      <c r="AV63" s="49" t="s">
        <v>227</v>
      </c>
      <c r="AW63" s="49" t="s">
        <v>227</v>
      </c>
      <c r="AX63" s="54" t="s">
        <v>548</v>
      </c>
      <c r="AY63" s="49" t="s">
        <v>131</v>
      </c>
      <c r="AZ63" s="48" t="s">
        <v>64</v>
      </c>
      <c r="BA63" s="48" t="s">
        <v>72</v>
      </c>
      <c r="BB63" s="49"/>
      <c r="BC63" s="49" t="s">
        <v>73</v>
      </c>
      <c r="BD63" s="49" t="s">
        <v>499</v>
      </c>
      <c r="BE63" s="49"/>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5"/>
      <c r="DP63" s="45"/>
      <c r="DQ63" s="45"/>
      <c r="DR63" s="45"/>
      <c r="DS63" s="45"/>
      <c r="DT63" s="45"/>
      <c r="DU63" s="45"/>
      <c r="DV63" s="45"/>
      <c r="DW63" s="45"/>
      <c r="DX63" s="45"/>
      <c r="DY63" s="45"/>
      <c r="DZ63" s="45"/>
      <c r="EA63" s="45"/>
      <c r="EB63" s="45"/>
      <c r="EC63" s="45"/>
      <c r="ED63" s="45"/>
      <c r="EE63" s="45"/>
      <c r="EF63" s="45"/>
      <c r="EG63" s="45"/>
      <c r="EH63" s="45"/>
      <c r="EI63" s="45"/>
      <c r="EJ63" s="45"/>
      <c r="EK63" s="45"/>
      <c r="EL63" s="45"/>
      <c r="EM63" s="45"/>
      <c r="EN63" s="45"/>
      <c r="EO63" s="45"/>
      <c r="EP63" s="45"/>
      <c r="EQ63" s="45"/>
      <c r="ER63" s="45"/>
      <c r="ES63" s="45"/>
      <c r="ET63" s="45"/>
      <c r="EU63" s="45"/>
      <c r="EV63" s="45"/>
      <c r="EW63" s="45"/>
      <c r="EX63" s="45"/>
      <c r="EY63" s="45"/>
      <c r="EZ63" s="45"/>
      <c r="FA63" s="45"/>
      <c r="FB63" s="45"/>
      <c r="FC63" s="45"/>
      <c r="FD63" s="45"/>
      <c r="FE63" s="45"/>
      <c r="FF63" s="45"/>
      <c r="FG63" s="45"/>
      <c r="FH63" s="45"/>
      <c r="FI63" s="45"/>
      <c r="FJ63" s="45"/>
      <c r="FK63" s="45"/>
      <c r="FL63" s="45"/>
      <c r="FM63" s="45"/>
      <c r="FN63" s="45"/>
      <c r="FO63" s="45"/>
      <c r="FP63" s="45"/>
      <c r="FQ63" s="45"/>
      <c r="FR63" s="45"/>
      <c r="FS63" s="45"/>
      <c r="FT63" s="45"/>
      <c r="FU63" s="45"/>
      <c r="FV63" s="45"/>
      <c r="FW63" s="45"/>
      <c r="FX63" s="45"/>
      <c r="FY63" s="45"/>
      <c r="FZ63" s="45"/>
      <c r="GA63" s="45"/>
      <c r="GB63" s="45"/>
      <c r="GC63" s="45"/>
    </row>
    <row r="64" spans="1:185" s="46" customFormat="1" ht="34.5" customHeight="1">
      <c r="A64" s="99" t="s">
        <v>549</v>
      </c>
      <c r="B64" s="50" t="str">
        <f>LOWER(
  IF(
    RIGHT(
      SUBSTITUTE(SUBSTITUTE(SUBSTITUTE(SUBSTITUTE(SUBSTITUTE(SUBSTITUTE(SUBSTITUTE(C64,"(","_"),")","_"),"/","_"),":","_"),"-","_")," ","_"),"__","_"),
      1
    )="_",
    LEFT(
      SUBSTITUTE(SUBSTITUTE(SUBSTITUTE(SUBSTITUTE(SUBSTITUTE(SUBSTITUTE(SUBSTITUTE(C64,"(","_"),")","_"),"/","_"),":","_"),"-","_")," ","_"),"__","_"),
      LEN(
        SUBSTITUTE(SUBSTITUTE(SUBSTITUTE(SUBSTITUTE(SUBSTITUTE(SUBSTITUTE(SUBSTITUTE(C64,"(","_"),")","_"),"/","_"),":","_"),"-","_")," ","_"),"__","_")
      )-1
    ),
    SUBSTITUTE(SUBSTITUTE(SUBSTITUTE(SUBSTITUTE(SUBSTITUTE(SUBSTITUTE(SUBSTITUTE(C64,"(","_"),")","_"),"/","_"),":","_"),"-","_")," ","_"),"__","_")
  )
)</f>
        <v>influenza_like_illness_at_the_time_of_sample_collection</v>
      </c>
      <c r="C64" s="49" t="s">
        <v>550</v>
      </c>
      <c r="D64" s="50" t="s">
        <v>551</v>
      </c>
      <c r="E64" s="49" t="s">
        <v>98</v>
      </c>
      <c r="F64" s="49" t="s">
        <v>65</v>
      </c>
      <c r="G64" s="49"/>
      <c r="H64" s="49"/>
      <c r="I64" s="49"/>
      <c r="J64" s="49"/>
      <c r="K64" s="49"/>
      <c r="L64" s="49"/>
      <c r="M64" s="49"/>
      <c r="N64" s="49"/>
      <c r="O64" s="49"/>
      <c r="P64" s="49" t="s">
        <v>552</v>
      </c>
      <c r="Q64" s="49"/>
      <c r="R64" s="49"/>
      <c r="S64" s="49"/>
      <c r="T64" s="49"/>
      <c r="U64" s="49"/>
      <c r="V64" s="50" t="s">
        <v>125</v>
      </c>
      <c r="W64" s="50" t="s">
        <v>126</v>
      </c>
      <c r="X64" s="48" t="s">
        <v>68</v>
      </c>
      <c r="Y64" s="48" t="s">
        <v>241</v>
      </c>
      <c r="Z64" s="48"/>
      <c r="AA64" s="49" t="str">
        <f>"[" &amp; _xlfn.TEXTJOIN(", ", TRUE,
    IF(I64&lt;&gt;"", """" &amp; I$1 &amp; """", ""),
    IF(J64&lt;&gt;"", """" &amp; J$1 &amp; """", ""),
    IF(K64&lt;&gt;"", """" &amp; K$1 &amp; """", ""),
    IF(L64&lt;&gt;"", """" &amp; L$1 &amp; """", ""),
    IF(M64&lt;&gt;"", """" &amp; M$1 &amp; """", ""),    IF(N64&lt;&gt;"", """" &amp; N$1 &amp; """", ""),    IF(O64&lt;&gt;"", """" &amp; O$1 &amp; """", ""),     IF(P64&lt;&gt;"", """" &amp; P$1 &amp; """", ""),     IF(Q64&lt;&gt;"", """" &amp; Q$1 &amp; """", ""), IF(R64&lt;&gt;"", """" &amp; R$1 &amp; """", ""), IF(S64&lt;&gt;"", """" &amp; S$1 &amp; """", ""), IF(T64&lt;&gt;"", """" &amp; T$1 &amp; """", ""), IF(U64&lt;&gt;"", """" &amp; U$1 &amp; """", ""),
    IF(X64&lt;&gt;"", """" &amp; X64 &amp; """", ""), IF(V64&lt;&gt;"", """" &amp; V64 &amp; """", ""), IF(W64&lt;&gt;"", """" &amp; W64 &amp; """", ""),
    IF(Y64&lt;&gt;"", """" &amp; Y64 &amp; """", ""),
    IF(Z64&lt;&gt;"", """" &amp; Z64 &amp; """", "")
) &amp; "]"</f>
        <v>["ENA ERC32", "Sample", "ENA Sample", "VJDB Sample", "Clinical "]</v>
      </c>
      <c r="AB64" s="49"/>
      <c r="AC64" s="49"/>
      <c r="AD64" s="49"/>
      <c r="AE64" s="49"/>
      <c r="AF64" s="49"/>
      <c r="AG64" s="49"/>
      <c r="AH64" s="49"/>
      <c r="AI64" s="49"/>
      <c r="AJ64" s="49"/>
      <c r="AK64" s="49"/>
      <c r="AL64" s="49"/>
      <c r="AM64" s="49"/>
      <c r="AN64" s="49"/>
      <c r="AO64" s="49"/>
      <c r="AP64" s="49" t="s">
        <v>553</v>
      </c>
      <c r="AQ64" s="49"/>
      <c r="AR64" s="49"/>
      <c r="AS64" s="49"/>
      <c r="AT64" s="49"/>
      <c r="AU64" s="49"/>
      <c r="AV64" s="49" t="s">
        <v>227</v>
      </c>
      <c r="AW64" s="49" t="s">
        <v>227</v>
      </c>
      <c r="AX64" s="54" t="s">
        <v>505</v>
      </c>
      <c r="AY64" s="49" t="s">
        <v>141</v>
      </c>
      <c r="AZ64" s="48" t="s">
        <v>64</v>
      </c>
      <c r="BA64" s="48" t="s">
        <v>72</v>
      </c>
      <c r="BB64" s="49"/>
      <c r="BC64" s="49" t="s">
        <v>73</v>
      </c>
      <c r="BD64" s="49" t="s">
        <v>499</v>
      </c>
      <c r="BE64" s="49"/>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c r="FH64" s="45"/>
      <c r="FI64" s="45"/>
      <c r="FJ64" s="45"/>
      <c r="FK64" s="45"/>
      <c r="FL64" s="45"/>
      <c r="FM64" s="45"/>
      <c r="FN64" s="45"/>
      <c r="FO64" s="45"/>
      <c r="FP64" s="45"/>
      <c r="FQ64" s="45"/>
      <c r="FR64" s="45"/>
      <c r="FS64" s="45"/>
      <c r="FT64" s="45"/>
      <c r="FU64" s="45"/>
      <c r="FV64" s="45"/>
      <c r="FW64" s="45"/>
      <c r="FX64" s="45"/>
      <c r="FY64" s="45"/>
      <c r="FZ64" s="45"/>
      <c r="GA64" s="45"/>
      <c r="GB64" s="45"/>
      <c r="GC64" s="45"/>
    </row>
    <row r="65" spans="1:185" s="46" customFormat="1" ht="34.5" customHeight="1">
      <c r="A65" s="99" t="s">
        <v>554</v>
      </c>
      <c r="B65" s="50" t="str">
        <f>LOWER(
  IF(
    RIGHT(
      SUBSTITUTE(SUBSTITUTE(SUBSTITUTE(SUBSTITUTE(SUBSTITUTE(SUBSTITUTE(SUBSTITUTE(C65,"(","_"),")","_"),"/","_"),":","_"),"-","_")," ","_"),"__","_"),
      1
    )="_",
    LEFT(
      SUBSTITUTE(SUBSTITUTE(SUBSTITUTE(SUBSTITUTE(SUBSTITUTE(SUBSTITUTE(SUBSTITUTE(C65,"(","_"),")","_"),"/","_"),":","_"),"-","_")," ","_"),"__","_"),
      LEN(
        SUBSTITUTE(SUBSTITUTE(SUBSTITUTE(SUBSTITUTE(SUBSTITUTE(SUBSTITUTE(SUBSTITUTE(C65,"(","_"),")","_"),"/","_"),":","_"),"-","_")," ","_"),"__","_")
      )-1
    ),
    SUBSTITUTE(SUBSTITUTE(SUBSTITUTE(SUBSTITUTE(SUBSTITUTE(SUBSTITUTE(SUBSTITUTE(C65,"(","_"),")","_"),"/","_"),":","_"),"-","_")," ","_"),"__","_")
  )
)</f>
        <v>inoculation_dose</v>
      </c>
      <c r="C65" s="49" t="s">
        <v>555</v>
      </c>
      <c r="D65" s="50" t="s">
        <v>556</v>
      </c>
      <c r="E65" s="49" t="s">
        <v>98</v>
      </c>
      <c r="F65" s="49" t="s">
        <v>65</v>
      </c>
      <c r="G65" s="49"/>
      <c r="H65" s="49"/>
      <c r="I65" s="49"/>
      <c r="J65" s="49"/>
      <c r="K65" s="49"/>
      <c r="L65" s="49"/>
      <c r="M65" s="49"/>
      <c r="N65" s="49"/>
      <c r="O65" s="49"/>
      <c r="P65" s="49" t="s">
        <v>557</v>
      </c>
      <c r="Q65" s="49"/>
      <c r="R65" s="49"/>
      <c r="S65" s="49"/>
      <c r="T65" s="49"/>
      <c r="U65" s="49"/>
      <c r="V65" s="50" t="s">
        <v>125</v>
      </c>
      <c r="W65" s="50" t="s">
        <v>126</v>
      </c>
      <c r="X65" s="48" t="s">
        <v>68</v>
      </c>
      <c r="Y65" s="48" t="s">
        <v>241</v>
      </c>
      <c r="Z65" s="48"/>
      <c r="AA65" s="49" t="str">
        <f>"[" &amp; _xlfn.TEXTJOIN(", ", TRUE,
    IF(I65&lt;&gt;"", """" &amp; I$1 &amp; """", ""),
    IF(J65&lt;&gt;"", """" &amp; J$1 &amp; """", ""),
    IF(K65&lt;&gt;"", """" &amp; K$1 &amp; """", ""),
    IF(L65&lt;&gt;"", """" &amp; L$1 &amp; """", ""),
    IF(M65&lt;&gt;"", """" &amp; M$1 &amp; """", ""),    IF(N65&lt;&gt;"", """" &amp; N$1 &amp; """", ""),    IF(O65&lt;&gt;"", """" &amp; O$1 &amp; """", ""),     IF(P65&lt;&gt;"", """" &amp; P$1 &amp; """", ""),     IF(Q65&lt;&gt;"", """" &amp; Q$1 &amp; """", ""), IF(R65&lt;&gt;"", """" &amp; R$1 &amp; """", ""), IF(S65&lt;&gt;"", """" &amp; S$1 &amp; """", ""), IF(T65&lt;&gt;"", """" &amp; T$1 &amp; """", ""), IF(U65&lt;&gt;"", """" &amp; U$1 &amp; """", ""),
    IF(X65&lt;&gt;"", """" &amp; X65 &amp; """", ""), IF(V65&lt;&gt;"", """" &amp; V65 &amp; """", ""), IF(W65&lt;&gt;"", """" &amp; W65 &amp; """", ""),
    IF(Y65&lt;&gt;"", """" &amp; Y65 &amp; """", ""),
    IF(Z65&lt;&gt;"", """" &amp; Z65 &amp; """", "")
) &amp; "]"</f>
        <v>["ENA ERC32", "Sample", "ENA Sample", "VJDB Sample", "Clinical "]</v>
      </c>
      <c r="AB65" s="49"/>
      <c r="AC65" s="49" t="s">
        <v>196</v>
      </c>
      <c r="AD65" s="49"/>
      <c r="AE65" s="49"/>
      <c r="AF65" s="49"/>
      <c r="AG65" s="49"/>
      <c r="AH65" s="49"/>
      <c r="AI65" s="49"/>
      <c r="AJ65" s="49"/>
      <c r="AK65" s="49"/>
      <c r="AL65" s="49"/>
      <c r="AM65" s="49"/>
      <c r="AN65" s="49"/>
      <c r="AO65" s="49"/>
      <c r="AP65" s="49" t="s">
        <v>558</v>
      </c>
      <c r="AQ65" s="49"/>
      <c r="AR65" s="49"/>
      <c r="AS65" s="49"/>
      <c r="AT65" s="49"/>
      <c r="AU65" s="49"/>
      <c r="AV65" s="49" t="s">
        <v>227</v>
      </c>
      <c r="AW65" s="49" t="s">
        <v>227</v>
      </c>
      <c r="AX65" s="54"/>
      <c r="AY65" s="49" t="s">
        <v>131</v>
      </c>
      <c r="AZ65" s="48" t="s">
        <v>64</v>
      </c>
      <c r="BA65" s="48" t="s">
        <v>72</v>
      </c>
      <c r="BB65" s="49"/>
      <c r="BC65" s="49" t="s">
        <v>73</v>
      </c>
      <c r="BD65" s="49" t="s">
        <v>499</v>
      </c>
      <c r="BE65" s="49"/>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5"/>
      <c r="DP65" s="45"/>
      <c r="DQ65" s="45"/>
      <c r="DR65" s="45"/>
      <c r="DS65" s="45"/>
      <c r="DT65" s="45"/>
      <c r="DU65" s="45"/>
      <c r="DV65" s="45"/>
      <c r="DW65" s="45"/>
      <c r="DX65" s="45"/>
      <c r="DY65" s="45"/>
      <c r="DZ65" s="45"/>
      <c r="EA65" s="45"/>
      <c r="EB65" s="45"/>
      <c r="EC65" s="45"/>
      <c r="ED65" s="45"/>
      <c r="EE65" s="45"/>
      <c r="EF65" s="45"/>
      <c r="EG65" s="45"/>
      <c r="EH65" s="45"/>
      <c r="EI65" s="45"/>
      <c r="EJ65" s="45"/>
      <c r="EK65" s="45"/>
      <c r="EL65" s="45"/>
      <c r="EM65" s="45"/>
      <c r="EN65" s="45"/>
      <c r="EO65" s="45"/>
      <c r="EP65" s="45"/>
      <c r="EQ65" s="45"/>
      <c r="ER65" s="45"/>
      <c r="ES65" s="45"/>
      <c r="ET65" s="45"/>
      <c r="EU65" s="45"/>
      <c r="EV65" s="45"/>
      <c r="EW65" s="45"/>
      <c r="EX65" s="45"/>
      <c r="EY65" s="45"/>
      <c r="EZ65" s="45"/>
      <c r="FA65" s="45"/>
      <c r="FB65" s="45"/>
      <c r="FC65" s="45"/>
      <c r="FD65" s="45"/>
      <c r="FE65" s="45"/>
      <c r="FF65" s="45"/>
      <c r="FG65" s="45"/>
      <c r="FH65" s="45"/>
      <c r="FI65" s="45"/>
      <c r="FJ65" s="45"/>
      <c r="FK65" s="45"/>
      <c r="FL65" s="45"/>
      <c r="FM65" s="45"/>
      <c r="FN65" s="45"/>
      <c r="FO65" s="45"/>
      <c r="FP65" s="45"/>
      <c r="FQ65" s="45"/>
      <c r="FR65" s="45"/>
      <c r="FS65" s="45"/>
      <c r="FT65" s="45"/>
      <c r="FU65" s="45"/>
      <c r="FV65" s="45"/>
      <c r="FW65" s="45"/>
      <c r="FX65" s="45"/>
      <c r="FY65" s="45"/>
      <c r="FZ65" s="45"/>
      <c r="GA65" s="45"/>
      <c r="GB65" s="45"/>
      <c r="GC65" s="45"/>
    </row>
    <row r="66" spans="1:185" s="46" customFormat="1" ht="34.5" customHeight="1">
      <c r="A66" s="99" t="s">
        <v>559</v>
      </c>
      <c r="B66" s="50" t="str">
        <f>LOWER(
  IF(
    RIGHT(
      SUBSTITUTE(SUBSTITUTE(SUBSTITUTE(SUBSTITUTE(SUBSTITUTE(SUBSTITUTE(SUBSTITUTE(C66,"(","_"),")","_"),"/","_"),":","_"),"-","_")," ","_"),"__","_"),
      1
    )="_",
    LEFT(
      SUBSTITUTE(SUBSTITUTE(SUBSTITUTE(SUBSTITUTE(SUBSTITUTE(SUBSTITUTE(SUBSTITUTE(C66,"(","_"),")","_"),"/","_"),":","_"),"-","_")," ","_"),"__","_"),
      LEN(
        SUBSTITUTE(SUBSTITUTE(SUBSTITUTE(SUBSTITUTE(SUBSTITUTE(SUBSTITUTE(SUBSTITUTE(C66,"(","_"),")","_"),"/","_"),":","_"),"-","_")," ","_"),"__","_")
      )-1
    ),
    SUBSTITUTE(SUBSTITUTE(SUBSTITUTE(SUBSTITUTE(SUBSTITUTE(SUBSTITUTE(SUBSTITUTE(C66,"(","_"),")","_"),"/","_"),":","_"),"-","_")," ","_"),"__","_")
  )
)</f>
        <v>inoculation_route</v>
      </c>
      <c r="C66" s="49" t="s">
        <v>560</v>
      </c>
      <c r="D66" s="50" t="s">
        <v>561</v>
      </c>
      <c r="E66" s="49" t="s">
        <v>64</v>
      </c>
      <c r="F66" s="49" t="s">
        <v>65</v>
      </c>
      <c r="G66" s="49"/>
      <c r="H66" s="49"/>
      <c r="I66" s="49"/>
      <c r="J66" s="49"/>
      <c r="K66" s="49"/>
      <c r="L66" s="49"/>
      <c r="M66" s="49"/>
      <c r="N66" s="49"/>
      <c r="O66" s="49"/>
      <c r="P66" s="49" t="s">
        <v>562</v>
      </c>
      <c r="Q66" s="49"/>
      <c r="R66" s="49"/>
      <c r="S66" s="49"/>
      <c r="T66" s="49"/>
      <c r="U66" s="49"/>
      <c r="V66" s="50" t="s">
        <v>125</v>
      </c>
      <c r="W66" s="50" t="s">
        <v>126</v>
      </c>
      <c r="X66" s="48" t="s">
        <v>68</v>
      </c>
      <c r="Y66" s="48" t="s">
        <v>241</v>
      </c>
      <c r="Z66" s="48"/>
      <c r="AA66" s="49" t="str">
        <f>"[" &amp; _xlfn.TEXTJOIN(", ", TRUE,
    IF(I66&lt;&gt;"", """" &amp; I$1 &amp; """", ""),
    IF(J66&lt;&gt;"", """" &amp; J$1 &amp; """", ""),
    IF(K66&lt;&gt;"", """" &amp; K$1 &amp; """", ""),
    IF(L66&lt;&gt;"", """" &amp; L$1 &amp; """", ""),
    IF(M66&lt;&gt;"", """" &amp; M$1 &amp; """", ""),    IF(N66&lt;&gt;"", """" &amp; N$1 &amp; """", ""),    IF(O66&lt;&gt;"", """" &amp; O$1 &amp; """", ""),     IF(P66&lt;&gt;"", """" &amp; P$1 &amp; """", ""),     IF(Q66&lt;&gt;"", """" &amp; Q$1 &amp; """", ""), IF(R66&lt;&gt;"", """" &amp; R$1 &amp; """", ""), IF(S66&lt;&gt;"", """" &amp; S$1 &amp; """", ""), IF(T66&lt;&gt;"", """" &amp; T$1 &amp; """", ""), IF(U66&lt;&gt;"", """" &amp; U$1 &amp; """", ""),
    IF(X66&lt;&gt;"", """" &amp; X66 &amp; """", ""), IF(V66&lt;&gt;"", """" &amp; V66 &amp; """", ""), IF(W66&lt;&gt;"", """" &amp; W66 &amp; """", ""),
    IF(Y66&lt;&gt;"", """" &amp; Y66 &amp; """", ""),
    IF(Z66&lt;&gt;"", """" &amp; Z66 &amp; """", "")
) &amp; "]"</f>
        <v>["ENA ERC32", "Sample", "ENA Sample", "VJDB Sample", "Clinical "]</v>
      </c>
      <c r="AB66" s="49"/>
      <c r="AC66" s="49" t="s">
        <v>196</v>
      </c>
      <c r="AD66" s="49"/>
      <c r="AE66" s="49"/>
      <c r="AF66" s="49"/>
      <c r="AG66" s="49"/>
      <c r="AH66" s="49"/>
      <c r="AI66" s="49"/>
      <c r="AJ66" s="49"/>
      <c r="AK66" s="49"/>
      <c r="AL66" s="49"/>
      <c r="AM66" s="49"/>
      <c r="AN66" s="49"/>
      <c r="AO66" s="49"/>
      <c r="AP66" s="49" t="s">
        <v>563</v>
      </c>
      <c r="AQ66" s="49"/>
      <c r="AR66" s="49"/>
      <c r="AS66" s="49"/>
      <c r="AT66" s="49"/>
      <c r="AU66" s="49"/>
      <c r="AV66" s="49" t="s">
        <v>227</v>
      </c>
      <c r="AW66" s="49" t="s">
        <v>227</v>
      </c>
      <c r="AX66" s="54"/>
      <c r="AY66" s="49" t="s">
        <v>131</v>
      </c>
      <c r="AZ66" s="48" t="s">
        <v>64</v>
      </c>
      <c r="BA66" s="48" t="s">
        <v>72</v>
      </c>
      <c r="BB66" s="49"/>
      <c r="BC66" s="49" t="s">
        <v>73</v>
      </c>
      <c r="BD66" s="49" t="s">
        <v>499</v>
      </c>
      <c r="BE66" s="49"/>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c r="DC66" s="45"/>
      <c r="DD66" s="45"/>
      <c r="DE66" s="45"/>
      <c r="DF66" s="45"/>
      <c r="DG66" s="45"/>
      <c r="DH66" s="45"/>
      <c r="DI66" s="45"/>
      <c r="DJ66" s="45"/>
      <c r="DK66" s="45"/>
      <c r="DL66" s="45"/>
      <c r="DM66" s="45"/>
      <c r="DN66" s="45"/>
      <c r="DO66" s="45"/>
      <c r="DP66" s="45"/>
      <c r="DQ66" s="45"/>
      <c r="DR66" s="45"/>
      <c r="DS66" s="45"/>
      <c r="DT66" s="45"/>
      <c r="DU66" s="45"/>
      <c r="DV66" s="45"/>
      <c r="DW66" s="45"/>
      <c r="DX66" s="45"/>
      <c r="DY66" s="45"/>
      <c r="DZ66" s="45"/>
      <c r="EA66" s="45"/>
      <c r="EB66" s="45"/>
      <c r="EC66" s="45"/>
      <c r="ED66" s="45"/>
      <c r="EE66" s="45"/>
      <c r="EF66" s="45"/>
      <c r="EG66" s="45"/>
      <c r="EH66" s="45"/>
      <c r="EI66" s="45"/>
      <c r="EJ66" s="45"/>
      <c r="EK66" s="45"/>
      <c r="EL66" s="45"/>
      <c r="EM66" s="45"/>
      <c r="EN66" s="45"/>
      <c r="EO66" s="45"/>
      <c r="EP66" s="45"/>
      <c r="EQ66" s="45"/>
      <c r="ER66" s="45"/>
      <c r="ES66" s="45"/>
      <c r="ET66" s="45"/>
      <c r="EU66" s="45"/>
      <c r="EV66" s="45"/>
      <c r="EW66" s="45"/>
      <c r="EX66" s="45"/>
      <c r="EY66" s="45"/>
      <c r="EZ66" s="45"/>
      <c r="FA66" s="45"/>
      <c r="FB66" s="45"/>
      <c r="FC66" s="45"/>
      <c r="FD66" s="45"/>
      <c r="FE66" s="45"/>
      <c r="FF66" s="45"/>
      <c r="FG66" s="45"/>
      <c r="FH66" s="45"/>
      <c r="FI66" s="45"/>
      <c r="FJ66" s="45"/>
      <c r="FK66" s="45"/>
      <c r="FL66" s="45"/>
      <c r="FM66" s="45"/>
      <c r="FN66" s="45"/>
      <c r="FO66" s="45"/>
      <c r="FP66" s="45"/>
      <c r="FQ66" s="45"/>
      <c r="FR66" s="45"/>
      <c r="FS66" s="45"/>
      <c r="FT66" s="45"/>
      <c r="FU66" s="45"/>
      <c r="FV66" s="45"/>
      <c r="FW66" s="45"/>
      <c r="FX66" s="45"/>
      <c r="FY66" s="45"/>
      <c r="FZ66" s="45"/>
      <c r="GA66" s="45"/>
      <c r="GB66" s="45"/>
      <c r="GC66" s="45"/>
    </row>
    <row r="67" spans="1:185" s="46" customFormat="1" ht="34.5" customHeight="1">
      <c r="A67" s="99" t="s">
        <v>564</v>
      </c>
      <c r="B67" s="50" t="str">
        <f>LOWER(
  IF(
    RIGHT(
      SUBSTITUTE(SUBSTITUTE(SUBSTITUTE(SUBSTITUTE(SUBSTITUTE(SUBSTITUTE(SUBSTITUTE(C67,"(","_"),")","_"),"/","_"),":","_"),"-","_")," ","_"),"__","_"),
      1
    )="_",
    LEFT(
      SUBSTITUTE(SUBSTITUTE(SUBSTITUTE(SUBSTITUTE(SUBSTITUTE(SUBSTITUTE(SUBSTITUTE(C67,"(","_"),")","_"),"/","_"),":","_"),"-","_")," ","_"),"__","_"),
      LEN(
        SUBSTITUTE(SUBSTITUTE(SUBSTITUTE(SUBSTITUTE(SUBSTITUTE(SUBSTITUTE(SUBSTITUTE(C67,"(","_"),")","_"),"/","_"),":","_"),"-","_")," ","_"),"__","_")
      )-1
    ),
    SUBSTITUTE(SUBSTITUTE(SUBSTITUTE(SUBSTITUTE(SUBSTITUTE(SUBSTITUTE(SUBSTITUTE(C67,"(","_"),")","_"),"/","_"),":","_"),"-","_")," ","_"),"__","_")
  )
)</f>
        <v>inoculation_stock_availability</v>
      </c>
      <c r="C67" s="49" t="s">
        <v>565</v>
      </c>
      <c r="D67" s="50" t="s">
        <v>566</v>
      </c>
      <c r="E67" s="49" t="s">
        <v>64</v>
      </c>
      <c r="F67" s="49" t="s">
        <v>65</v>
      </c>
      <c r="G67" s="49"/>
      <c r="H67" s="49"/>
      <c r="I67" s="49"/>
      <c r="J67" s="49"/>
      <c r="K67" s="49"/>
      <c r="L67" s="49"/>
      <c r="M67" s="49"/>
      <c r="N67" s="49"/>
      <c r="O67" s="49"/>
      <c r="P67" s="49" t="s">
        <v>567</v>
      </c>
      <c r="Q67" s="49"/>
      <c r="R67" s="49"/>
      <c r="S67" s="49"/>
      <c r="T67" s="49"/>
      <c r="U67" s="49"/>
      <c r="V67" s="50" t="s">
        <v>125</v>
      </c>
      <c r="W67" s="50" t="s">
        <v>126</v>
      </c>
      <c r="X67" s="48" t="s">
        <v>68</v>
      </c>
      <c r="Y67" s="48" t="s">
        <v>241</v>
      </c>
      <c r="Z67" s="48"/>
      <c r="AA67" s="49" t="str">
        <f>"[" &amp; _xlfn.TEXTJOIN(", ", TRUE,
    IF(I67&lt;&gt;"", """" &amp; I$1 &amp; """", ""),
    IF(J67&lt;&gt;"", """" &amp; J$1 &amp; """", ""),
    IF(K67&lt;&gt;"", """" &amp; K$1 &amp; """", ""),
    IF(L67&lt;&gt;"", """" &amp; L$1 &amp; """", ""),
    IF(M67&lt;&gt;"", """" &amp; M$1 &amp; """", ""),    IF(N67&lt;&gt;"", """" &amp; N$1 &amp; """", ""),    IF(O67&lt;&gt;"", """" &amp; O$1 &amp; """", ""),     IF(P67&lt;&gt;"", """" &amp; P$1 &amp; """", ""),     IF(Q67&lt;&gt;"", """" &amp; Q$1 &amp; """", ""), IF(R67&lt;&gt;"", """" &amp; R$1 &amp; """", ""), IF(S67&lt;&gt;"", """" &amp; S$1 &amp; """", ""), IF(T67&lt;&gt;"", """" &amp; T$1 &amp; """", ""), IF(U67&lt;&gt;"", """" &amp; U$1 &amp; """", ""),
    IF(X67&lt;&gt;"", """" &amp; X67 &amp; """", ""), IF(V67&lt;&gt;"", """" &amp; V67 &amp; """", ""), IF(W67&lt;&gt;"", """" &amp; W67 &amp; """", ""),
    IF(Y67&lt;&gt;"", """" &amp; Y67 &amp; """", ""),
    IF(Z67&lt;&gt;"", """" &amp; Z67 &amp; """", "")
) &amp; "]"</f>
        <v>["ENA ERC32", "Sample", "ENA Sample", "VJDB Sample", "Clinical "]</v>
      </c>
      <c r="AB67" s="49"/>
      <c r="AC67" s="49" t="s">
        <v>196</v>
      </c>
      <c r="AD67" s="49"/>
      <c r="AE67" s="49"/>
      <c r="AF67" s="49"/>
      <c r="AG67" s="49"/>
      <c r="AH67" s="49"/>
      <c r="AI67" s="49"/>
      <c r="AJ67" s="49"/>
      <c r="AK67" s="49"/>
      <c r="AL67" s="49"/>
      <c r="AM67" s="49"/>
      <c r="AN67" s="49"/>
      <c r="AO67" s="49"/>
      <c r="AP67" s="49" t="s">
        <v>568</v>
      </c>
      <c r="AQ67" s="49"/>
      <c r="AR67" s="49"/>
      <c r="AS67" s="49"/>
      <c r="AT67" s="49"/>
      <c r="AU67" s="49"/>
      <c r="AV67" s="49" t="s">
        <v>227</v>
      </c>
      <c r="AW67" s="49" t="s">
        <v>227</v>
      </c>
      <c r="AX67" s="54"/>
      <c r="AY67" s="49" t="s">
        <v>131</v>
      </c>
      <c r="AZ67" s="48" t="s">
        <v>106</v>
      </c>
      <c r="BA67" s="48" t="s">
        <v>107</v>
      </c>
      <c r="BB67" s="49"/>
      <c r="BC67" s="49" t="s">
        <v>73</v>
      </c>
      <c r="BD67" s="49" t="s">
        <v>499</v>
      </c>
      <c r="BE67" s="49"/>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5"/>
      <c r="CV67" s="45"/>
      <c r="CW67" s="45"/>
      <c r="CX67" s="45"/>
      <c r="CY67" s="45"/>
      <c r="CZ67" s="45"/>
      <c r="DA67" s="45"/>
      <c r="DB67" s="45"/>
      <c r="DC67" s="45"/>
      <c r="DD67" s="45"/>
      <c r="DE67" s="45"/>
      <c r="DF67" s="45"/>
      <c r="DG67" s="45"/>
      <c r="DH67" s="45"/>
      <c r="DI67" s="45"/>
      <c r="DJ67" s="45"/>
      <c r="DK67" s="45"/>
      <c r="DL67" s="45"/>
      <c r="DM67" s="45"/>
      <c r="DN67" s="45"/>
      <c r="DO67" s="45"/>
      <c r="DP67" s="45"/>
      <c r="DQ67" s="45"/>
      <c r="DR67" s="45"/>
      <c r="DS67" s="45"/>
      <c r="DT67" s="45"/>
      <c r="DU67" s="45"/>
      <c r="DV67" s="45"/>
      <c r="DW67" s="45"/>
      <c r="DX67" s="45"/>
      <c r="DY67" s="45"/>
      <c r="DZ67" s="45"/>
      <c r="EA67" s="45"/>
      <c r="EB67" s="45"/>
      <c r="EC67" s="45"/>
      <c r="ED67" s="45"/>
      <c r="EE67" s="45"/>
      <c r="EF67" s="45"/>
      <c r="EG67" s="45"/>
      <c r="EH67" s="45"/>
      <c r="EI67" s="45"/>
      <c r="EJ67" s="45"/>
      <c r="EK67" s="45"/>
      <c r="EL67" s="45"/>
      <c r="EM67" s="45"/>
      <c r="EN67" s="45"/>
      <c r="EO67" s="45"/>
      <c r="EP67" s="45"/>
      <c r="EQ67" s="45"/>
      <c r="ER67" s="45"/>
      <c r="ES67" s="45"/>
      <c r="ET67" s="45"/>
      <c r="EU67" s="45"/>
      <c r="EV67" s="45"/>
      <c r="EW67" s="45"/>
      <c r="EX67" s="45"/>
      <c r="EY67" s="45"/>
      <c r="EZ67" s="45"/>
      <c r="FA67" s="45"/>
      <c r="FB67" s="45"/>
      <c r="FC67" s="45"/>
      <c r="FD67" s="45"/>
      <c r="FE67" s="45"/>
      <c r="FF67" s="45"/>
      <c r="FG67" s="45"/>
      <c r="FH67" s="45"/>
      <c r="FI67" s="45"/>
      <c r="FJ67" s="45"/>
      <c r="FK67" s="45"/>
      <c r="FL67" s="45"/>
      <c r="FM67" s="45"/>
      <c r="FN67" s="45"/>
      <c r="FO67" s="45"/>
      <c r="FP67" s="45"/>
      <c r="FQ67" s="45"/>
      <c r="FR67" s="45"/>
      <c r="FS67" s="45"/>
      <c r="FT67" s="45"/>
      <c r="FU67" s="45"/>
      <c r="FV67" s="45"/>
      <c r="FW67" s="45"/>
      <c r="FX67" s="45"/>
      <c r="FY67" s="45"/>
      <c r="FZ67" s="45"/>
      <c r="GA67" s="45"/>
      <c r="GB67" s="45"/>
      <c r="GC67" s="45"/>
    </row>
    <row r="68" spans="1:185" s="46" customFormat="1" ht="34.5" customHeight="1">
      <c r="A68" s="99" t="s">
        <v>569</v>
      </c>
      <c r="B68" s="50" t="str">
        <f>LOWER(
  IF(
    RIGHT(
      SUBSTITUTE(SUBSTITUTE(SUBSTITUTE(SUBSTITUTE(SUBSTITUTE(SUBSTITUTE(SUBSTITUTE(C68,"(","_"),")","_"),"/","_"),":","_"),"-","_")," ","_"),"__","_"),
      1
    )="_",
    LEFT(
      SUBSTITUTE(SUBSTITUTE(SUBSTITUTE(SUBSTITUTE(SUBSTITUTE(SUBSTITUTE(SUBSTITUTE(C68,"(","_"),")","_"),"/","_"),":","_"),"-","_")," ","_"),"__","_"),
      LEN(
        SUBSTITUTE(SUBSTITUTE(SUBSTITUTE(SUBSTITUTE(SUBSTITUTE(SUBSTITUTE(SUBSTITUTE(C68,"(","_"),")","_"),"/","_"),":","_"),"-","_")," ","_"),"__","_")
      )-1
    ),
    SUBSTITUTE(SUBSTITUTE(SUBSTITUTE(SUBSTITUTE(SUBSTITUTE(SUBSTITUTE(SUBSTITUTE(C68,"(","_"),")","_"),"/","_"),":","_"),"-","_")," ","_"),"__","_")
  )
)</f>
        <v>lineage_swl_required_for_h1n1_viruses</v>
      </c>
      <c r="C68" s="49" t="s">
        <v>570</v>
      </c>
      <c r="D68" s="50" t="s">
        <v>571</v>
      </c>
      <c r="E68" s="49" t="s">
        <v>98</v>
      </c>
      <c r="F68" s="49" t="s">
        <v>65</v>
      </c>
      <c r="G68" s="49"/>
      <c r="H68" s="49"/>
      <c r="I68" s="49"/>
      <c r="J68" s="49"/>
      <c r="K68" s="49"/>
      <c r="L68" s="49"/>
      <c r="M68" s="49"/>
      <c r="N68" s="49"/>
      <c r="O68" s="49"/>
      <c r="P68" s="49" t="s">
        <v>572</v>
      </c>
      <c r="Q68" s="49"/>
      <c r="R68" s="49"/>
      <c r="S68" s="49"/>
      <c r="T68" s="49"/>
      <c r="U68" s="49"/>
      <c r="V68" s="50" t="s">
        <v>125</v>
      </c>
      <c r="W68" s="50" t="s">
        <v>126</v>
      </c>
      <c r="X68" s="48" t="s">
        <v>288</v>
      </c>
      <c r="Y68" s="48" t="s">
        <v>241</v>
      </c>
      <c r="Z68" s="48"/>
      <c r="AA68" s="49" t="str">
        <f>"[" &amp; _xlfn.TEXTJOIN(", ", TRUE,
    IF(I68&lt;&gt;"", """" &amp; I$1 &amp; """", ""),
    IF(J68&lt;&gt;"", """" &amp; J$1 &amp; """", ""),
    IF(K68&lt;&gt;"", """" &amp; K$1 &amp; """", ""),
    IF(L68&lt;&gt;"", """" &amp; L$1 &amp; """", ""),
    IF(M68&lt;&gt;"", """" &amp; M$1 &amp; """", ""),    IF(N68&lt;&gt;"", """" &amp; N$1 &amp; """", ""),    IF(O68&lt;&gt;"", """" &amp; O$1 &amp; """", ""),     IF(P68&lt;&gt;"", """" &amp; P$1 &amp; """", ""),     IF(Q68&lt;&gt;"", """" &amp; Q$1 &amp; """", ""), IF(R68&lt;&gt;"", """" &amp; R$1 &amp; """", ""), IF(S68&lt;&gt;"", """" &amp; S$1 &amp; """", ""), IF(T68&lt;&gt;"", """" &amp; T$1 &amp; """", ""), IF(U68&lt;&gt;"", """" &amp; U$1 &amp; """", ""),
    IF(X68&lt;&gt;"", """" &amp; X68 &amp; """", ""), IF(V68&lt;&gt;"", """" &amp; V68 &amp; """", ""), IF(W68&lt;&gt;"", """" &amp; W68 &amp; """", ""),
    IF(Y68&lt;&gt;"", """" &amp; Y68 &amp; """", ""),
    IF(Z68&lt;&gt;"", """" &amp; Z68 &amp; """", "")
) &amp; "]"</f>
        <v>["ENA ERC32", "Analysis", "ENA Sample", "VJDB Sample", "Clinical "]</v>
      </c>
      <c r="AB68" s="49"/>
      <c r="AC68" s="49" t="s">
        <v>196</v>
      </c>
      <c r="AD68" s="49"/>
      <c r="AE68" s="49"/>
      <c r="AF68" s="49"/>
      <c r="AG68" s="49"/>
      <c r="AH68" s="49"/>
      <c r="AI68" s="49"/>
      <c r="AJ68" s="49"/>
      <c r="AK68" s="49"/>
      <c r="AL68" s="49"/>
      <c r="AM68" s="49"/>
      <c r="AN68" s="49"/>
      <c r="AO68" s="49"/>
      <c r="AP68" s="49" t="s">
        <v>573</v>
      </c>
      <c r="AQ68" s="49"/>
      <c r="AR68" s="49"/>
      <c r="AS68" s="49"/>
      <c r="AT68" s="49"/>
      <c r="AU68" s="49"/>
      <c r="AV68" s="49" t="s">
        <v>227</v>
      </c>
      <c r="AW68" s="49" t="s">
        <v>227</v>
      </c>
      <c r="AX68" s="54"/>
      <c r="AY68" s="49" t="s">
        <v>131</v>
      </c>
      <c r="AZ68" s="48" t="s">
        <v>106</v>
      </c>
      <c r="BA68" s="48" t="s">
        <v>107</v>
      </c>
      <c r="BB68" s="49"/>
      <c r="BC68" s="49" t="s">
        <v>73</v>
      </c>
      <c r="BD68" s="49" t="s">
        <v>499</v>
      </c>
      <c r="BE68" s="49"/>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45"/>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c r="FH68" s="45"/>
      <c r="FI68" s="45"/>
      <c r="FJ68" s="45"/>
      <c r="FK68" s="45"/>
      <c r="FL68" s="45"/>
      <c r="FM68" s="45"/>
      <c r="FN68" s="45"/>
      <c r="FO68" s="45"/>
      <c r="FP68" s="45"/>
      <c r="FQ68" s="45"/>
      <c r="FR68" s="45"/>
      <c r="FS68" s="45"/>
      <c r="FT68" s="45"/>
      <c r="FU68" s="45"/>
      <c r="FV68" s="45"/>
      <c r="FW68" s="45"/>
      <c r="FX68" s="45"/>
      <c r="FY68" s="45"/>
      <c r="FZ68" s="45"/>
      <c r="GA68" s="45"/>
      <c r="GB68" s="45"/>
      <c r="GC68" s="45"/>
    </row>
    <row r="69" spans="1:185" s="46" customFormat="1" ht="34.5" customHeight="1">
      <c r="A69" s="99" t="s">
        <v>574</v>
      </c>
      <c r="B69" s="50" t="str">
        <f>LOWER(
  IF(
    RIGHT(
      SUBSTITUTE(SUBSTITUTE(SUBSTITUTE(SUBSTITUTE(SUBSTITUTE(SUBSTITUTE(SUBSTITUTE(C69,"(","_"),")","_"),"/","_"),":","_"),"-","_")," ","_"),"__","_"),
      1
    )="_",
    LEFT(
      SUBSTITUTE(SUBSTITUTE(SUBSTITUTE(SUBSTITUTE(SUBSTITUTE(SUBSTITUTE(SUBSTITUTE(C69,"(","_"),")","_"),"/","_"),":","_"),"-","_")," ","_"),"__","_"),
      LEN(
        SUBSTITUTE(SUBSTITUTE(SUBSTITUTE(SUBSTITUTE(SUBSTITUTE(SUBSTITUTE(SUBSTITUTE(C69,"(","_"),")","_"),"/","_"),":","_"),"-","_")," ","_"),"__","_")
      )-1
    ),
    SUBSTITUTE(SUBSTITUTE(SUBSTITUTE(SUBSTITUTE(SUBSTITUTE(SUBSTITUTE(SUBSTITUTE(C69,"(","_"),")","_"),"/","_"),":","_"),"-","_")," ","_"),"__","_")
  )
)</f>
        <v>meaning_of_cut_off_value</v>
      </c>
      <c r="C69" s="49" t="s">
        <v>575</v>
      </c>
      <c r="D69" s="50" t="s">
        <v>576</v>
      </c>
      <c r="E69" s="49" t="s">
        <v>98</v>
      </c>
      <c r="F69" s="49" t="s">
        <v>65</v>
      </c>
      <c r="G69" s="49"/>
      <c r="H69" s="49"/>
      <c r="I69" s="49"/>
      <c r="J69" s="49"/>
      <c r="K69" s="49"/>
      <c r="L69" s="49"/>
      <c r="M69" s="49"/>
      <c r="N69" s="49"/>
      <c r="O69" s="49"/>
      <c r="P69" s="49" t="s">
        <v>577</v>
      </c>
      <c r="Q69" s="49"/>
      <c r="R69" s="49"/>
      <c r="S69" s="49"/>
      <c r="T69" s="49"/>
      <c r="U69" s="49"/>
      <c r="V69" s="50" t="s">
        <v>125</v>
      </c>
      <c r="W69" s="50" t="s">
        <v>126</v>
      </c>
      <c r="X69" s="48" t="s">
        <v>68</v>
      </c>
      <c r="Y69" s="48" t="s">
        <v>241</v>
      </c>
      <c r="Z69" s="48"/>
      <c r="AA69" s="49" t="str">
        <f>"[" &amp; _xlfn.TEXTJOIN(", ", TRUE,
    IF(I69&lt;&gt;"", """" &amp; I$1 &amp; """", ""),
    IF(J69&lt;&gt;"", """" &amp; J$1 &amp; """", ""),
    IF(K69&lt;&gt;"", """" &amp; K$1 &amp; """", ""),
    IF(L69&lt;&gt;"", """" &amp; L$1 &amp; """", ""),
    IF(M69&lt;&gt;"", """" &amp; M$1 &amp; """", ""),    IF(N69&lt;&gt;"", """" &amp; N$1 &amp; """", ""),    IF(O69&lt;&gt;"", """" &amp; O$1 &amp; """", ""),     IF(P69&lt;&gt;"", """" &amp; P$1 &amp; """", ""),     IF(Q69&lt;&gt;"", """" &amp; Q$1 &amp; """", ""), IF(R69&lt;&gt;"", """" &amp; R$1 &amp; """", ""), IF(S69&lt;&gt;"", """" &amp; S$1 &amp; """", ""), IF(T69&lt;&gt;"", """" &amp; T$1 &amp; """", ""), IF(U69&lt;&gt;"", """" &amp; U$1 &amp; """", ""),
    IF(X69&lt;&gt;"", """" &amp; X69 &amp; """", ""), IF(V69&lt;&gt;"", """" &amp; V69 &amp; """", ""), IF(W69&lt;&gt;"", """" &amp; W69 &amp; """", ""),
    IF(Y69&lt;&gt;"", """" &amp; Y69 &amp; """", ""),
    IF(Z69&lt;&gt;"", """" &amp; Z69 &amp; """", "")
) &amp; "]"</f>
        <v>["ENA ERC32", "Sample", "ENA Sample", "VJDB Sample", "Clinical "]</v>
      </c>
      <c r="AB69" s="49"/>
      <c r="AC69" s="49" t="s">
        <v>70</v>
      </c>
      <c r="AD69" s="49"/>
      <c r="AE69" s="49"/>
      <c r="AF69" s="49"/>
      <c r="AG69" s="49"/>
      <c r="AH69" s="49"/>
      <c r="AI69" s="49"/>
      <c r="AJ69" s="49"/>
      <c r="AK69" s="49"/>
      <c r="AL69" s="49"/>
      <c r="AM69" s="49"/>
      <c r="AN69" s="49"/>
      <c r="AO69" s="49"/>
      <c r="AP69" s="49" t="s">
        <v>578</v>
      </c>
      <c r="AQ69" s="49"/>
      <c r="AR69" s="49"/>
      <c r="AS69" s="49"/>
      <c r="AT69" s="49"/>
      <c r="AU69" s="49"/>
      <c r="AV69" s="49" t="s">
        <v>227</v>
      </c>
      <c r="AW69" s="49" t="s">
        <v>227</v>
      </c>
      <c r="AX69" s="54"/>
      <c r="AY69" s="49" t="s">
        <v>131</v>
      </c>
      <c r="AZ69" s="48" t="s">
        <v>64</v>
      </c>
      <c r="BA69" s="48" t="s">
        <v>72</v>
      </c>
      <c r="BB69" s="49"/>
      <c r="BC69" s="49" t="s">
        <v>73</v>
      </c>
      <c r="BD69" s="49" t="s">
        <v>499</v>
      </c>
      <c r="BE69" s="49"/>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5"/>
      <c r="CV69" s="45"/>
      <c r="CW69" s="45"/>
      <c r="CX69" s="45"/>
      <c r="CY69" s="45"/>
      <c r="CZ69" s="45"/>
      <c r="DA69" s="45"/>
      <c r="DB69" s="45"/>
      <c r="DC69" s="45"/>
      <c r="DD69" s="45"/>
      <c r="DE69" s="45"/>
      <c r="DF69" s="45"/>
      <c r="DG69" s="45"/>
      <c r="DH69" s="45"/>
      <c r="DI69" s="45"/>
      <c r="DJ69" s="45"/>
      <c r="DK69" s="45"/>
      <c r="DL69" s="45"/>
      <c r="DM69" s="45"/>
      <c r="DN69" s="45"/>
      <c r="DO69" s="45"/>
      <c r="DP69" s="45"/>
      <c r="DQ69" s="45"/>
      <c r="DR69" s="45"/>
      <c r="DS69" s="45"/>
      <c r="DT69" s="45"/>
      <c r="DU69" s="45"/>
      <c r="DV69" s="45"/>
      <c r="DW69" s="45"/>
      <c r="DX69" s="45"/>
      <c r="DY69" s="45"/>
      <c r="DZ69" s="45"/>
      <c r="EA69" s="45"/>
      <c r="EB69" s="45"/>
      <c r="EC69" s="45"/>
      <c r="ED69" s="45"/>
      <c r="EE69" s="45"/>
      <c r="EF69" s="45"/>
      <c r="EG69" s="45"/>
      <c r="EH69" s="45"/>
      <c r="EI69" s="45"/>
      <c r="EJ69" s="45"/>
      <c r="EK69" s="45"/>
      <c r="EL69" s="45"/>
      <c r="EM69" s="45"/>
      <c r="EN69" s="45"/>
      <c r="EO69" s="45"/>
      <c r="EP69" s="45"/>
      <c r="EQ69" s="45"/>
      <c r="ER69" s="45"/>
      <c r="ES69" s="45"/>
      <c r="ET69" s="45"/>
      <c r="EU69" s="45"/>
      <c r="EV69" s="45"/>
      <c r="EW69" s="45"/>
      <c r="EX69" s="45"/>
      <c r="EY69" s="45"/>
      <c r="EZ69" s="45"/>
      <c r="FA69" s="45"/>
      <c r="FB69" s="45"/>
      <c r="FC69" s="45"/>
      <c r="FD69" s="45"/>
      <c r="FE69" s="45"/>
      <c r="FF69" s="45"/>
      <c r="FG69" s="45"/>
      <c r="FH69" s="45"/>
      <c r="FI69" s="45"/>
      <c r="FJ69" s="45"/>
      <c r="FK69" s="45"/>
      <c r="FL69" s="45"/>
      <c r="FM69" s="45"/>
      <c r="FN69" s="45"/>
      <c r="FO69" s="45"/>
      <c r="FP69" s="45"/>
      <c r="FQ69" s="45"/>
      <c r="FR69" s="45"/>
      <c r="FS69" s="45"/>
      <c r="FT69" s="45"/>
      <c r="FU69" s="45"/>
      <c r="FV69" s="45"/>
      <c r="FW69" s="45"/>
      <c r="FX69" s="45"/>
      <c r="FY69" s="45"/>
      <c r="FZ69" s="45"/>
      <c r="GA69" s="45"/>
      <c r="GB69" s="45"/>
      <c r="GC69" s="45"/>
    </row>
    <row r="70" spans="1:185" s="46" customFormat="1" ht="34.5" customHeight="1">
      <c r="A70" s="99" t="s">
        <v>579</v>
      </c>
      <c r="B70" s="50" t="str">
        <f>LOWER(
  IF(
    RIGHT(
      SUBSTITUTE(SUBSTITUTE(SUBSTITUTE(SUBSTITUTE(SUBSTITUTE(SUBSTITUTE(SUBSTITUTE(C70,"(","_"),")","_"),"/","_"),":","_"),"-","_")," ","_"),"__","_"),
      1
    )="_",
    LEFT(
      SUBSTITUTE(SUBSTITUTE(SUBSTITUTE(SUBSTITUTE(SUBSTITUTE(SUBSTITUTE(SUBSTITUTE(C70,"(","_"),")","_"),"/","_"),":","_"),"-","_")," ","_"),"__","_"),
      LEN(
        SUBSTITUTE(SUBSTITUTE(SUBSTITUTE(SUBSTITUTE(SUBSTITUTE(SUBSTITUTE(SUBSTITUTE(C70,"(","_"),")","_"),"/","_"),":","_"),"-","_")," ","_"),"__","_")
      )-1
    ),
    SUBSTITUTE(SUBSTITUTE(SUBSTITUTE(SUBSTITUTE(SUBSTITUTE(SUBSTITUTE(SUBSTITUTE(C70,"(","_"),")","_"),"/","_"),":","_"),"-","_")," ","_"),"__","_")
  )
)</f>
        <v>number_of_inoculated_individuals</v>
      </c>
      <c r="C70" s="49" t="s">
        <v>580</v>
      </c>
      <c r="D70" s="50" t="s">
        <v>581</v>
      </c>
      <c r="E70" s="49" t="s">
        <v>334</v>
      </c>
      <c r="F70" s="49" t="s">
        <v>65</v>
      </c>
      <c r="G70" s="49"/>
      <c r="H70" s="49"/>
      <c r="I70" s="49"/>
      <c r="J70" s="49"/>
      <c r="K70" s="49"/>
      <c r="L70" s="49"/>
      <c r="M70" s="49"/>
      <c r="N70" s="49"/>
      <c r="O70" s="49"/>
      <c r="P70" s="49" t="s">
        <v>582</v>
      </c>
      <c r="Q70" s="49"/>
      <c r="R70" s="49"/>
      <c r="S70" s="49"/>
      <c r="T70" s="49"/>
      <c r="U70" s="49"/>
      <c r="V70" s="50" t="s">
        <v>125</v>
      </c>
      <c r="W70" s="50" t="s">
        <v>126</v>
      </c>
      <c r="X70" s="48" t="s">
        <v>68</v>
      </c>
      <c r="Y70" s="48" t="s">
        <v>241</v>
      </c>
      <c r="Z70" s="48"/>
      <c r="AA70" s="49" t="str">
        <f>"[" &amp; _xlfn.TEXTJOIN(", ", TRUE,
    IF(I70&lt;&gt;"", """" &amp; I$1 &amp; """", ""),
    IF(J70&lt;&gt;"", """" &amp; J$1 &amp; """", ""),
    IF(K70&lt;&gt;"", """" &amp; K$1 &amp; """", ""),
    IF(L70&lt;&gt;"", """" &amp; L$1 &amp; """", ""),
    IF(M70&lt;&gt;"", """" &amp; M$1 &amp; """", ""),    IF(N70&lt;&gt;"", """" &amp; N$1 &amp; """", ""),    IF(O70&lt;&gt;"", """" &amp; O$1 &amp; """", ""),     IF(P70&lt;&gt;"", """" &amp; P$1 &amp; """", ""),     IF(Q70&lt;&gt;"", """" &amp; Q$1 &amp; """", ""), IF(R70&lt;&gt;"", """" &amp; R$1 &amp; """", ""), IF(S70&lt;&gt;"", """" &amp; S$1 &amp; """", ""), IF(T70&lt;&gt;"", """" &amp; T$1 &amp; """", ""), IF(U70&lt;&gt;"", """" &amp; U$1 &amp; """", ""),
    IF(X70&lt;&gt;"", """" &amp; X70 &amp; """", ""), IF(V70&lt;&gt;"", """" &amp; V70 &amp; """", ""), IF(W70&lt;&gt;"", """" &amp; W70 &amp; """", ""),
    IF(Y70&lt;&gt;"", """" &amp; Y70 &amp; """", ""),
    IF(Z70&lt;&gt;"", """" &amp; Z70 &amp; """", "")
) &amp; "]"</f>
        <v>["ENA ERC32", "Sample", "ENA Sample", "VJDB Sample", "Clinical "]</v>
      </c>
      <c r="AB70" s="49"/>
      <c r="AC70" s="49"/>
      <c r="AD70" s="49"/>
      <c r="AE70" s="49"/>
      <c r="AF70" s="49"/>
      <c r="AG70" s="49"/>
      <c r="AH70" s="49"/>
      <c r="AI70" s="49"/>
      <c r="AJ70" s="49"/>
      <c r="AK70" s="49"/>
      <c r="AL70" s="49"/>
      <c r="AM70" s="49"/>
      <c r="AN70" s="49"/>
      <c r="AO70" s="49"/>
      <c r="AP70" s="49" t="s">
        <v>583</v>
      </c>
      <c r="AQ70" s="49"/>
      <c r="AR70" s="49"/>
      <c r="AS70" s="49"/>
      <c r="AT70" s="49"/>
      <c r="AU70" s="49"/>
      <c r="AV70" s="49" t="s">
        <v>227</v>
      </c>
      <c r="AW70" s="49" t="s">
        <v>227</v>
      </c>
      <c r="AX70" s="54" t="s">
        <v>483</v>
      </c>
      <c r="AY70" s="49" t="s">
        <v>518</v>
      </c>
      <c r="AZ70" s="48" t="s">
        <v>64</v>
      </c>
      <c r="BA70" s="48" t="s">
        <v>119</v>
      </c>
      <c r="BB70" s="49"/>
      <c r="BC70" s="49" t="s">
        <v>73</v>
      </c>
      <c r="BD70" s="49" t="s">
        <v>499</v>
      </c>
      <c r="BE70" s="49"/>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c r="DJ70" s="45"/>
      <c r="DK70" s="45"/>
      <c r="DL70" s="45"/>
      <c r="DM70" s="45"/>
      <c r="DN70" s="45"/>
      <c r="DO70" s="45"/>
      <c r="DP70" s="45"/>
      <c r="DQ70" s="45"/>
      <c r="DR70" s="45"/>
      <c r="DS70" s="45"/>
      <c r="DT70" s="45"/>
      <c r="DU70" s="45"/>
      <c r="DV70" s="45"/>
      <c r="DW70" s="45"/>
      <c r="DX70" s="45"/>
      <c r="DY70" s="45"/>
      <c r="DZ70" s="45"/>
      <c r="EA70" s="45"/>
      <c r="EB70" s="45"/>
      <c r="EC70" s="45"/>
      <c r="ED70" s="45"/>
      <c r="EE70" s="45"/>
      <c r="EF70" s="45"/>
      <c r="EG70" s="45"/>
      <c r="EH70" s="45"/>
      <c r="EI70" s="45"/>
      <c r="EJ70" s="45"/>
      <c r="EK70" s="45"/>
      <c r="EL70" s="45"/>
      <c r="EM70" s="45"/>
      <c r="EN70" s="45"/>
      <c r="EO70" s="45"/>
      <c r="EP70" s="45"/>
      <c r="EQ70" s="45"/>
      <c r="ER70" s="45"/>
      <c r="ES70" s="45"/>
      <c r="ET70" s="45"/>
      <c r="EU70" s="45"/>
      <c r="EV70" s="45"/>
      <c r="EW70" s="45"/>
      <c r="EX70" s="45"/>
      <c r="EY70" s="45"/>
      <c r="EZ70" s="45"/>
      <c r="FA70" s="45"/>
      <c r="FB70" s="45"/>
      <c r="FC70" s="45"/>
      <c r="FD70" s="45"/>
      <c r="FE70" s="45"/>
      <c r="FF70" s="45"/>
      <c r="FG70" s="45"/>
      <c r="FH70" s="45"/>
      <c r="FI70" s="45"/>
      <c r="FJ70" s="45"/>
      <c r="FK70" s="45"/>
      <c r="FL70" s="45"/>
      <c r="FM70" s="45"/>
      <c r="FN70" s="45"/>
      <c r="FO70" s="45"/>
      <c r="FP70" s="45"/>
      <c r="FQ70" s="45"/>
      <c r="FR70" s="45"/>
      <c r="FS70" s="45"/>
      <c r="FT70" s="45"/>
      <c r="FU70" s="45"/>
      <c r="FV70" s="45"/>
      <c r="FW70" s="45"/>
      <c r="FX70" s="45"/>
      <c r="FY70" s="45"/>
      <c r="FZ70" s="45"/>
      <c r="GA70" s="45"/>
      <c r="GB70" s="45"/>
      <c r="GC70" s="45"/>
    </row>
    <row r="71" spans="1:185" s="46" customFormat="1" ht="34.5" customHeight="1">
      <c r="A71" s="99" t="s">
        <v>584</v>
      </c>
      <c r="B71" s="50" t="str">
        <f>LOWER(
  IF(
    RIGHT(
      SUBSTITUTE(SUBSTITUTE(SUBSTITUTE(SUBSTITUTE(SUBSTITUTE(SUBSTITUTE(SUBSTITUTE(C71,"(","_"),")","_"),"/","_"),":","_"),"-","_")," ","_"),"__","_"),
      1
    )="_",
    LEFT(
      SUBSTITUTE(SUBSTITUTE(SUBSTITUTE(SUBSTITUTE(SUBSTITUTE(SUBSTITUTE(SUBSTITUTE(C71,"(","_"),")","_"),"/","_"),":","_"),"-","_")," ","_"),"__","_"),
      LEN(
        SUBSTITUTE(SUBSTITUTE(SUBSTITUTE(SUBSTITUTE(SUBSTITUTE(SUBSTITUTE(SUBSTITUTE(C71,"(","_"),")","_"),"/","_"),":","_"),"-","_")," ","_"),"__","_")
      )-1
    ),
    SUBSTITUTE(SUBSTITUTE(SUBSTITUTE(SUBSTITUTE(SUBSTITUTE(SUBSTITUTE(SUBSTITUTE(C71,"(","_"),")","_"),"/","_"),":","_"),"-","_")," ","_"),"__","_")
  )
)</f>
        <v>personal_protective_equipment</v>
      </c>
      <c r="C71" s="49" t="s">
        <v>585</v>
      </c>
      <c r="D71" s="50" t="s">
        <v>586</v>
      </c>
      <c r="E71" s="49" t="s">
        <v>98</v>
      </c>
      <c r="F71" s="49" t="s">
        <v>65</v>
      </c>
      <c r="G71" s="49"/>
      <c r="H71" s="49"/>
      <c r="I71" s="49"/>
      <c r="J71" s="49"/>
      <c r="K71" s="49"/>
      <c r="L71" s="49"/>
      <c r="M71" s="49"/>
      <c r="N71" s="49"/>
      <c r="O71" s="49"/>
      <c r="P71" s="49" t="s">
        <v>587</v>
      </c>
      <c r="Q71" s="49" t="s">
        <v>587</v>
      </c>
      <c r="R71" s="49"/>
      <c r="S71" s="49"/>
      <c r="T71" s="49"/>
      <c r="U71" s="49"/>
      <c r="V71" s="50" t="s">
        <v>125</v>
      </c>
      <c r="W71" s="50" t="s">
        <v>126</v>
      </c>
      <c r="X71" s="48" t="s">
        <v>68</v>
      </c>
      <c r="Y71" s="48" t="s">
        <v>241</v>
      </c>
      <c r="Z71" s="48"/>
      <c r="AA71" s="49" t="str">
        <f>"[" &amp; _xlfn.TEXTJOIN(", ", TRUE,
    IF(I71&lt;&gt;"", """" &amp; I$1 &amp; """", ""),
    IF(J71&lt;&gt;"", """" &amp; J$1 &amp; """", ""),
    IF(K71&lt;&gt;"", """" &amp; K$1 &amp; """", ""),
    IF(L71&lt;&gt;"", """" &amp; L$1 &amp; """", ""),
    IF(M71&lt;&gt;"", """" &amp; M$1 &amp; """", ""),    IF(N71&lt;&gt;"", """" &amp; N$1 &amp; """", ""),    IF(O71&lt;&gt;"", """" &amp; O$1 &amp; """", ""),     IF(P71&lt;&gt;"", """" &amp; P$1 &amp; """", ""),     IF(Q71&lt;&gt;"", """" &amp; Q$1 &amp; """", ""), IF(R71&lt;&gt;"", """" &amp; R$1 &amp; """", ""), IF(S71&lt;&gt;"", """" &amp; S$1 &amp; """", ""), IF(T71&lt;&gt;"", """" &amp; T$1 &amp; """", ""), IF(U71&lt;&gt;"", """" &amp; U$1 &amp; """", ""),
    IF(X71&lt;&gt;"", """" &amp; X71 &amp; """", ""), IF(V71&lt;&gt;"", """" &amp; V71 &amp; """", ""), IF(W71&lt;&gt;"", """" &amp; W71 &amp; """", ""),
    IF(Y71&lt;&gt;"", """" &amp; Y71 &amp; """", ""),
    IF(Z71&lt;&gt;"", """" &amp; Z71 &amp; """", "")
) &amp; "]"</f>
        <v>["ENA ERC32", "ENA ERC33", "Sample", "ENA Sample", "VJDB Sample", "Clinical "]</v>
      </c>
      <c r="AB71" s="49"/>
      <c r="AC71" s="49"/>
      <c r="AD71" s="49"/>
      <c r="AE71" s="49"/>
      <c r="AF71" s="49"/>
      <c r="AG71" s="49"/>
      <c r="AH71" s="49"/>
      <c r="AI71" s="49"/>
      <c r="AJ71" s="49"/>
      <c r="AK71" s="49"/>
      <c r="AL71" s="49"/>
      <c r="AM71" s="49"/>
      <c r="AN71" s="49"/>
      <c r="AO71" s="49"/>
      <c r="AP71" s="49" t="s">
        <v>588</v>
      </c>
      <c r="AQ71" s="49"/>
      <c r="AR71" s="49"/>
      <c r="AS71" s="49" t="s">
        <v>588</v>
      </c>
      <c r="AT71" s="49"/>
      <c r="AU71" s="49" t="s">
        <v>151</v>
      </c>
      <c r="AV71" s="49" t="s">
        <v>227</v>
      </c>
      <c r="AW71" s="49" t="s">
        <v>227</v>
      </c>
      <c r="AX71" s="54" t="s">
        <v>589</v>
      </c>
      <c r="AY71" s="49" t="s">
        <v>590</v>
      </c>
      <c r="AZ71" s="48" t="s">
        <v>64</v>
      </c>
      <c r="BA71" s="48" t="s">
        <v>119</v>
      </c>
      <c r="BB71" s="49"/>
      <c r="BC71" s="49" t="s">
        <v>73</v>
      </c>
      <c r="BD71" s="49" t="s">
        <v>499</v>
      </c>
      <c r="BE71" s="49"/>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c r="CE71" s="45"/>
      <c r="CF71" s="45"/>
      <c r="CG71" s="45"/>
      <c r="CH71" s="45"/>
      <c r="CI71" s="45"/>
      <c r="CJ71" s="45"/>
      <c r="CK71" s="45"/>
      <c r="CL71" s="45"/>
      <c r="CM71" s="45"/>
      <c r="CN71" s="45"/>
      <c r="CO71" s="45"/>
      <c r="CP71" s="45"/>
      <c r="CQ71" s="45"/>
      <c r="CR71" s="45"/>
      <c r="CS71" s="45"/>
      <c r="CT71" s="45"/>
      <c r="CU71" s="45"/>
      <c r="CV71" s="45"/>
      <c r="CW71" s="45"/>
      <c r="CX71" s="45"/>
      <c r="CY71" s="45"/>
      <c r="CZ71" s="45"/>
      <c r="DA71" s="45"/>
      <c r="DB71" s="45"/>
      <c r="DC71" s="45"/>
      <c r="DD71" s="45"/>
      <c r="DE71" s="45"/>
      <c r="DF71" s="45"/>
      <c r="DG71" s="45"/>
      <c r="DH71" s="45"/>
      <c r="DI71" s="45"/>
      <c r="DJ71" s="45"/>
      <c r="DK71" s="45"/>
      <c r="DL71" s="45"/>
      <c r="DM71" s="45"/>
      <c r="DN71" s="45"/>
      <c r="DO71" s="45"/>
      <c r="DP71" s="45"/>
      <c r="DQ71" s="45"/>
      <c r="DR71" s="45"/>
      <c r="DS71" s="45"/>
      <c r="DT71" s="45"/>
      <c r="DU71" s="45"/>
      <c r="DV71" s="45"/>
      <c r="DW71" s="45"/>
      <c r="DX71" s="45"/>
      <c r="DY71" s="45"/>
      <c r="DZ71" s="45"/>
      <c r="EA71" s="45"/>
      <c r="EB71" s="45"/>
      <c r="EC71" s="45"/>
      <c r="ED71" s="45"/>
      <c r="EE71" s="45"/>
      <c r="EF71" s="45"/>
      <c r="EG71" s="45"/>
      <c r="EH71" s="45"/>
      <c r="EI71" s="45"/>
      <c r="EJ71" s="45"/>
      <c r="EK71" s="45"/>
      <c r="EL71" s="45"/>
      <c r="EM71" s="45"/>
      <c r="EN71" s="45"/>
      <c r="EO71" s="45"/>
      <c r="EP71" s="45"/>
      <c r="EQ71" s="45"/>
      <c r="ER71" s="45"/>
      <c r="ES71" s="45"/>
      <c r="ET71" s="45"/>
      <c r="EU71" s="45"/>
      <c r="EV71" s="45"/>
      <c r="EW71" s="45"/>
      <c r="EX71" s="45"/>
      <c r="EY71" s="45"/>
      <c r="EZ71" s="45"/>
      <c r="FA71" s="45"/>
      <c r="FB71" s="45"/>
      <c r="FC71" s="45"/>
      <c r="FD71" s="45"/>
      <c r="FE71" s="45"/>
      <c r="FF71" s="45"/>
      <c r="FG71" s="45"/>
      <c r="FH71" s="45"/>
      <c r="FI71" s="45"/>
      <c r="FJ71" s="45"/>
      <c r="FK71" s="45"/>
      <c r="FL71" s="45"/>
      <c r="FM71" s="45"/>
      <c r="FN71" s="45"/>
      <c r="FO71" s="45"/>
      <c r="FP71" s="45"/>
      <c r="FQ71" s="45"/>
      <c r="FR71" s="45"/>
      <c r="FS71" s="45"/>
      <c r="FT71" s="45"/>
      <c r="FU71" s="45"/>
      <c r="FV71" s="45"/>
      <c r="FW71" s="45"/>
      <c r="FX71" s="45"/>
      <c r="FY71" s="45"/>
      <c r="FZ71" s="45"/>
      <c r="GA71" s="45"/>
      <c r="GB71" s="45"/>
      <c r="GC71" s="45"/>
    </row>
    <row r="72" spans="1:185" s="46" customFormat="1" ht="34.5" customHeight="1">
      <c r="A72" s="99" t="s">
        <v>591</v>
      </c>
      <c r="B72" s="50" t="str">
        <f>LOWER(
  IF(
    RIGHT(
      SUBSTITUTE(SUBSTITUTE(SUBSTITUTE(SUBSTITUTE(SUBSTITUTE(SUBSTITUTE(SUBSTITUTE(C72,"(","_"),")","_"),"/","_"),":","_"),"-","_")," ","_"),"__","_"),
      1
    )="_",
    LEFT(
      SUBSTITUTE(SUBSTITUTE(SUBSTITUTE(SUBSTITUTE(SUBSTITUTE(SUBSTITUTE(SUBSTITUTE(C72,"(","_"),")","_"),"/","_"),":","_"),"-","_")," ","_"),"__","_"),
      LEN(
        SUBSTITUTE(SUBSTITUTE(SUBSTITUTE(SUBSTITUTE(SUBSTITUTE(SUBSTITUTE(SUBSTITUTE(C72,"(","_"),")","_"),"/","_"),":","_"),"-","_")," ","_"),"__","_")
      )-1
    ),
    SUBSTITUTE(SUBSTITUTE(SUBSTITUTE(SUBSTITUTE(SUBSTITUTE(SUBSTITUTE(SUBSTITUTE(C72,"(","_"),")","_"),"/","_"),":","_"),"-","_")," ","_"),"__","_")
  )
)</f>
        <v>sample_capture_status</v>
      </c>
      <c r="C72" s="49" t="s">
        <v>592</v>
      </c>
      <c r="D72" s="50" t="s">
        <v>593</v>
      </c>
      <c r="E72" s="49" t="s">
        <v>98</v>
      </c>
      <c r="F72" s="49" t="s">
        <v>65</v>
      </c>
      <c r="G72" s="49"/>
      <c r="H72" s="49"/>
      <c r="I72" s="49"/>
      <c r="J72" s="49"/>
      <c r="K72" s="49"/>
      <c r="L72" s="49"/>
      <c r="M72" s="49"/>
      <c r="N72" s="49"/>
      <c r="O72" s="49"/>
      <c r="P72" s="49" t="s">
        <v>594</v>
      </c>
      <c r="Q72" s="49" t="s">
        <v>594</v>
      </c>
      <c r="R72" s="49"/>
      <c r="S72" s="49"/>
      <c r="T72" s="49"/>
      <c r="U72" s="49"/>
      <c r="V72" s="50" t="s">
        <v>125</v>
      </c>
      <c r="W72" s="50" t="s">
        <v>126</v>
      </c>
      <c r="X72" s="48" t="s">
        <v>68</v>
      </c>
      <c r="Y72" s="48" t="s">
        <v>241</v>
      </c>
      <c r="Z72" s="48"/>
      <c r="AA72" s="49" t="str">
        <f>"[" &amp; _xlfn.TEXTJOIN(", ", TRUE,
    IF(I72&lt;&gt;"", """" &amp; I$1 &amp; """", ""),
    IF(J72&lt;&gt;"", """" &amp; J$1 &amp; """", ""),
    IF(K72&lt;&gt;"", """" &amp; K$1 &amp; """", ""),
    IF(L72&lt;&gt;"", """" &amp; L$1 &amp; """", ""),
    IF(M72&lt;&gt;"", """" &amp; M$1 &amp; """", ""),    IF(N72&lt;&gt;"", """" &amp; N$1 &amp; """", ""),    IF(O72&lt;&gt;"", """" &amp; O$1 &amp; """", ""),     IF(P72&lt;&gt;"", """" &amp; P$1 &amp; """", ""),     IF(Q72&lt;&gt;"", """" &amp; Q$1 &amp; """", ""), IF(R72&lt;&gt;"", """" &amp; R$1 &amp; """", ""), IF(S72&lt;&gt;"", """" &amp; S$1 &amp; """", ""), IF(T72&lt;&gt;"", """" &amp; T$1 &amp; """", ""), IF(U72&lt;&gt;"", """" &amp; U$1 &amp; """", ""),
    IF(X72&lt;&gt;"", """" &amp; X72 &amp; """", ""), IF(V72&lt;&gt;"", """" &amp; V72 &amp; """", ""), IF(W72&lt;&gt;"", """" &amp; W72 &amp; """", ""),
    IF(Y72&lt;&gt;"", """" &amp; Y72 &amp; """", ""),
    IF(Z72&lt;&gt;"", """" &amp; Z72 &amp; """", "")
) &amp; "]"</f>
        <v>["ENA ERC32", "ENA ERC33", "Sample", "ENA Sample", "VJDB Sample", "Clinical "]</v>
      </c>
      <c r="AB72" s="49"/>
      <c r="AC72" s="49"/>
      <c r="AD72" s="49"/>
      <c r="AE72" s="49"/>
      <c r="AF72" s="49"/>
      <c r="AG72" s="49"/>
      <c r="AH72" s="49"/>
      <c r="AI72" s="49"/>
      <c r="AJ72" s="49"/>
      <c r="AK72" s="49"/>
      <c r="AL72" s="49"/>
      <c r="AM72" s="49"/>
      <c r="AN72" s="49"/>
      <c r="AO72" s="49"/>
      <c r="AP72" s="49" t="s">
        <v>595</v>
      </c>
      <c r="AQ72" s="49"/>
      <c r="AR72" s="49"/>
      <c r="AS72" s="49" t="s">
        <v>595</v>
      </c>
      <c r="AT72" s="49"/>
      <c r="AU72" s="49" t="s">
        <v>139</v>
      </c>
      <c r="AV72" s="49" t="s">
        <v>86</v>
      </c>
      <c r="AW72" s="49" t="s">
        <v>86</v>
      </c>
      <c r="AX72" s="54" t="s">
        <v>596</v>
      </c>
      <c r="AY72" s="49" t="s">
        <v>141</v>
      </c>
      <c r="AZ72" s="48" t="s">
        <v>106</v>
      </c>
      <c r="BA72" s="48" t="s">
        <v>107</v>
      </c>
      <c r="BB72" s="49"/>
      <c r="BC72" s="49" t="s">
        <v>73</v>
      </c>
      <c r="BD72" s="49" t="s">
        <v>499</v>
      </c>
      <c r="BE72" s="49"/>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45"/>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c r="EQ72" s="45"/>
      <c r="ER72" s="45"/>
      <c r="ES72" s="45"/>
      <c r="ET72" s="45"/>
      <c r="EU72" s="45"/>
      <c r="EV72" s="45"/>
      <c r="EW72" s="45"/>
      <c r="EX72" s="45"/>
      <c r="EY72" s="45"/>
      <c r="EZ72" s="45"/>
      <c r="FA72" s="45"/>
      <c r="FB72" s="45"/>
      <c r="FC72" s="45"/>
      <c r="FD72" s="45"/>
      <c r="FE72" s="45"/>
      <c r="FF72" s="45"/>
      <c r="FG72" s="45"/>
      <c r="FH72" s="45"/>
      <c r="FI72" s="45"/>
      <c r="FJ72" s="45"/>
      <c r="FK72" s="45"/>
      <c r="FL72" s="45"/>
      <c r="FM72" s="45"/>
      <c r="FN72" s="45"/>
      <c r="FO72" s="45"/>
      <c r="FP72" s="45"/>
      <c r="FQ72" s="45"/>
      <c r="FR72" s="45"/>
      <c r="FS72" s="45"/>
      <c r="FT72" s="45"/>
      <c r="FU72" s="45"/>
      <c r="FV72" s="45"/>
      <c r="FW72" s="45"/>
      <c r="FX72" s="45"/>
      <c r="FY72" s="45"/>
      <c r="FZ72" s="45"/>
      <c r="GA72" s="45"/>
      <c r="GB72" s="45"/>
      <c r="GC72" s="45"/>
    </row>
    <row r="73" spans="1:185" s="46" customFormat="1" ht="34.5" customHeight="1">
      <c r="A73" s="99" t="s">
        <v>597</v>
      </c>
      <c r="B73" s="50" t="str">
        <f>LOWER(
  IF(
    RIGHT(
      SUBSTITUTE(SUBSTITUTE(SUBSTITUTE(SUBSTITUTE(SUBSTITUTE(SUBSTITUTE(SUBSTITUTE(C73,"(","_"),")","_"),"/","_"),":","_"),"-","_")," ","_"),"__","_"),
      1
    )="_",
    LEFT(
      SUBSTITUTE(SUBSTITUTE(SUBSTITUTE(SUBSTITUTE(SUBSTITUTE(SUBSTITUTE(SUBSTITUTE(C73,"(","_"),")","_"),"/","_"),":","_"),"-","_")," ","_"),"__","_"),
      LEN(
        SUBSTITUTE(SUBSTITUTE(SUBSTITUTE(SUBSTITUTE(SUBSTITUTE(SUBSTITUTE(SUBSTITUTE(C73,"(","_"),")","_"),"/","_"),":","_"),"-","_")," ","_"),"__","_")
      )-1
    ),
    SUBSTITUTE(SUBSTITUTE(SUBSTITUTE(SUBSTITUTE(SUBSTITUTE(SUBSTITUTE(SUBSTITUTE(C73,"(","_"),")","_"),"/","_"),":","_"),"-","_")," ","_"),"__","_")
  )
)</f>
        <v>sample_storage_conditions</v>
      </c>
      <c r="C73" s="49" t="s">
        <v>598</v>
      </c>
      <c r="D73" s="50" t="s">
        <v>599</v>
      </c>
      <c r="E73" s="49" t="s">
        <v>98</v>
      </c>
      <c r="F73" s="49" t="s">
        <v>65</v>
      </c>
      <c r="G73" s="49"/>
      <c r="H73" s="49"/>
      <c r="I73" s="49"/>
      <c r="J73" s="49"/>
      <c r="K73" s="49"/>
      <c r="L73" s="49"/>
      <c r="M73" s="49"/>
      <c r="N73" s="49"/>
      <c r="O73" s="49"/>
      <c r="P73" s="49" t="s">
        <v>600</v>
      </c>
      <c r="Q73" s="49" t="s">
        <v>600</v>
      </c>
      <c r="R73" s="49"/>
      <c r="S73" s="49"/>
      <c r="T73" s="49"/>
      <c r="U73" s="49"/>
      <c r="V73" s="50" t="s">
        <v>125</v>
      </c>
      <c r="W73" s="50" t="s">
        <v>126</v>
      </c>
      <c r="X73" s="48" t="s">
        <v>68</v>
      </c>
      <c r="Y73" s="48" t="s">
        <v>241</v>
      </c>
      <c r="Z73" s="48"/>
      <c r="AA73" s="49" t="str">
        <f>"[" &amp; _xlfn.TEXTJOIN(", ", TRUE,
    IF(I73&lt;&gt;"", """" &amp; I$1 &amp; """", ""),
    IF(J73&lt;&gt;"", """" &amp; J$1 &amp; """", ""),
    IF(K73&lt;&gt;"", """" &amp; K$1 &amp; """", ""),
    IF(L73&lt;&gt;"", """" &amp; L$1 &amp; """", ""),
    IF(M73&lt;&gt;"", """" &amp; M$1 &amp; """", ""),    IF(N73&lt;&gt;"", """" &amp; N$1 &amp; """", ""),    IF(O73&lt;&gt;"", """" &amp; O$1 &amp; """", ""),     IF(P73&lt;&gt;"", """" &amp; P$1 &amp; """", ""),     IF(Q73&lt;&gt;"", """" &amp; Q$1 &amp; """", ""), IF(R73&lt;&gt;"", """" &amp; R$1 &amp; """", ""), IF(S73&lt;&gt;"", """" &amp; S$1 &amp; """", ""), IF(T73&lt;&gt;"", """" &amp; T$1 &amp; """", ""), IF(U73&lt;&gt;"", """" &amp; U$1 &amp; """", ""),
    IF(X73&lt;&gt;"", """" &amp; X73 &amp; """", ""), IF(V73&lt;&gt;"", """" &amp; V73 &amp; """", ""), IF(W73&lt;&gt;"", """" &amp; W73 &amp; """", ""),
    IF(Y73&lt;&gt;"", """" &amp; Y73 &amp; """", ""),
    IF(Z73&lt;&gt;"", """" &amp; Z73 &amp; """", "")
) &amp; "]"</f>
        <v>["ENA ERC32", "ENA ERC33", "Sample", "ENA Sample", "VJDB Sample", "Clinical "]</v>
      </c>
      <c r="AB73" s="49"/>
      <c r="AC73" s="49" t="s">
        <v>196</v>
      </c>
      <c r="AD73" s="49"/>
      <c r="AE73" s="49"/>
      <c r="AF73" s="49"/>
      <c r="AG73" s="49"/>
      <c r="AH73" s="49"/>
      <c r="AI73" s="49"/>
      <c r="AJ73" s="49"/>
      <c r="AK73" s="49"/>
      <c r="AL73" s="49"/>
      <c r="AM73" s="49"/>
      <c r="AN73" s="49"/>
      <c r="AO73" s="49"/>
      <c r="AP73" s="49" t="s">
        <v>601</v>
      </c>
      <c r="AQ73" s="49"/>
      <c r="AR73" s="49"/>
      <c r="AS73" s="49" t="s">
        <v>602</v>
      </c>
      <c r="AT73" s="49"/>
      <c r="AU73" s="49" t="s">
        <v>151</v>
      </c>
      <c r="AV73" s="49" t="s">
        <v>227</v>
      </c>
      <c r="AW73" s="49" t="s">
        <v>227</v>
      </c>
      <c r="AX73" s="54"/>
      <c r="AY73" s="49" t="s">
        <v>131</v>
      </c>
      <c r="AZ73" s="48" t="s">
        <v>64</v>
      </c>
      <c r="BA73" s="48" t="s">
        <v>72</v>
      </c>
      <c r="BB73" s="49"/>
      <c r="BC73" s="49" t="s">
        <v>73</v>
      </c>
      <c r="BD73" s="49" t="s">
        <v>499</v>
      </c>
      <c r="BE73" s="49"/>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5"/>
      <c r="DP73" s="45"/>
      <c r="DQ73" s="45"/>
      <c r="DR73" s="45"/>
      <c r="DS73" s="45"/>
      <c r="DT73" s="45"/>
      <c r="DU73" s="45"/>
      <c r="DV73" s="45"/>
      <c r="DW73" s="45"/>
      <c r="DX73" s="45"/>
      <c r="DY73" s="45"/>
      <c r="DZ73" s="45"/>
      <c r="EA73" s="45"/>
      <c r="EB73" s="45"/>
      <c r="EC73" s="45"/>
      <c r="ED73" s="45"/>
      <c r="EE73" s="45"/>
      <c r="EF73" s="45"/>
      <c r="EG73" s="45"/>
      <c r="EH73" s="45"/>
      <c r="EI73" s="45"/>
      <c r="EJ73" s="45"/>
      <c r="EK73" s="45"/>
      <c r="EL73" s="45"/>
      <c r="EM73" s="45"/>
      <c r="EN73" s="45"/>
      <c r="EO73" s="45"/>
      <c r="EP73" s="45"/>
      <c r="EQ73" s="45"/>
      <c r="ER73" s="45"/>
      <c r="ES73" s="45"/>
      <c r="ET73" s="45"/>
      <c r="EU73" s="45"/>
      <c r="EV73" s="45"/>
      <c r="EW73" s="45"/>
      <c r="EX73" s="45"/>
      <c r="EY73" s="45"/>
      <c r="EZ73" s="45"/>
      <c r="FA73" s="45"/>
      <c r="FB73" s="45"/>
      <c r="FC73" s="45"/>
      <c r="FD73" s="45"/>
      <c r="FE73" s="45"/>
      <c r="FF73" s="45"/>
      <c r="FG73" s="45"/>
      <c r="FH73" s="45"/>
      <c r="FI73" s="45"/>
      <c r="FJ73" s="45"/>
      <c r="FK73" s="45"/>
      <c r="FL73" s="45"/>
      <c r="FM73" s="45"/>
      <c r="FN73" s="45"/>
      <c r="FO73" s="45"/>
      <c r="FP73" s="45"/>
      <c r="FQ73" s="45"/>
      <c r="FR73" s="45"/>
      <c r="FS73" s="45"/>
      <c r="FT73" s="45"/>
      <c r="FU73" s="45"/>
      <c r="FV73" s="45"/>
      <c r="FW73" s="45"/>
      <c r="FX73" s="45"/>
      <c r="FY73" s="45"/>
      <c r="FZ73" s="45"/>
      <c r="GA73" s="45"/>
      <c r="GB73" s="45"/>
      <c r="GC73" s="45"/>
    </row>
    <row r="74" spans="1:185" s="46" customFormat="1" ht="34.5" customHeight="1">
      <c r="A74" s="99" t="s">
        <v>603</v>
      </c>
      <c r="B74" s="50" t="str">
        <f>LOWER(
  IF(
    RIGHT(
      SUBSTITUTE(SUBSTITUTE(SUBSTITUTE(SUBSTITUTE(SUBSTITUTE(SUBSTITUTE(SUBSTITUTE(C74,"(","_"),")","_"),"/","_"),":","_"),"-","_")," ","_"),"__","_"),
      1
    )="_",
    LEFT(
      SUBSTITUTE(SUBSTITUTE(SUBSTITUTE(SUBSTITUTE(SUBSTITUTE(SUBSTITUTE(SUBSTITUTE(C74,"(","_"),")","_"),"/","_"),":","_"),"-","_")," ","_"),"__","_"),
      LEN(
        SUBSTITUTE(SUBSTITUTE(SUBSTITUTE(SUBSTITUTE(SUBSTITUTE(SUBSTITUTE(SUBSTITUTE(C74,"(","_"),")","_"),"/","_"),":","_"),"-","_")," ","_"),"__","_")
      )-1
    ),
    SUBSTITUTE(SUBSTITUTE(SUBSTITUTE(SUBSTITUTE(SUBSTITUTE(SUBSTITUTE(SUBSTITUTE(C74,"(","_"),")","_"),"/","_"),":","_"),"-","_")," ","_"),"__","_")
  )
)</f>
        <v>sample_description</v>
      </c>
      <c r="C74" s="49" t="s">
        <v>604</v>
      </c>
      <c r="D74" s="50" t="s">
        <v>605</v>
      </c>
      <c r="E74" s="49" t="s">
        <v>64</v>
      </c>
      <c r="F74" s="49" t="s">
        <v>65</v>
      </c>
      <c r="G74" s="49"/>
      <c r="H74" s="49"/>
      <c r="I74" s="49"/>
      <c r="J74" s="49"/>
      <c r="K74" s="49"/>
      <c r="L74" s="49"/>
      <c r="M74" s="49"/>
      <c r="N74" s="49"/>
      <c r="O74" s="49"/>
      <c r="P74" s="49" t="s">
        <v>606</v>
      </c>
      <c r="Q74" s="49" t="s">
        <v>606</v>
      </c>
      <c r="R74" s="49"/>
      <c r="S74" s="49"/>
      <c r="T74" s="49"/>
      <c r="U74" s="49"/>
      <c r="V74" s="50" t="s">
        <v>125</v>
      </c>
      <c r="W74" s="50" t="s">
        <v>126</v>
      </c>
      <c r="X74" s="48" t="s">
        <v>68</v>
      </c>
      <c r="Y74" s="48" t="s">
        <v>241</v>
      </c>
      <c r="Z74" s="48"/>
      <c r="AA74" s="49" t="str">
        <f>"[" &amp; _xlfn.TEXTJOIN(", ", TRUE,
    IF(I74&lt;&gt;"", """" &amp; I$1 &amp; """", ""),
    IF(J74&lt;&gt;"", """" &amp; J$1 &amp; """", ""),
    IF(K74&lt;&gt;"", """" &amp; K$1 &amp; """", ""),
    IF(L74&lt;&gt;"", """" &amp; L$1 &amp; """", ""),
    IF(M74&lt;&gt;"", """" &amp; M$1 &amp; """", ""),    IF(N74&lt;&gt;"", """" &amp; N$1 &amp; """", ""),    IF(O74&lt;&gt;"", """" &amp; O$1 &amp; """", ""),     IF(P74&lt;&gt;"", """" &amp; P$1 &amp; """", ""),     IF(Q74&lt;&gt;"", """" &amp; Q$1 &amp; """", ""), IF(R74&lt;&gt;"", """" &amp; R$1 &amp; """", ""), IF(S74&lt;&gt;"", """" &amp; S$1 &amp; """", ""), IF(T74&lt;&gt;"", """" &amp; T$1 &amp; """", ""), IF(U74&lt;&gt;"", """" &amp; U$1 &amp; """", ""),
    IF(X74&lt;&gt;"", """" &amp; X74 &amp; """", ""), IF(V74&lt;&gt;"", """" &amp; V74 &amp; """", ""), IF(W74&lt;&gt;"", """" &amp; W74 &amp; """", ""),
    IF(Y74&lt;&gt;"", """" &amp; Y74 &amp; """", ""),
    IF(Z74&lt;&gt;"", """" &amp; Z74 &amp; """", "")
) &amp; "]"</f>
        <v>["ENA ERC32", "ENA ERC33", "Sample", "ENA Sample", "VJDB Sample", "Clinical "]</v>
      </c>
      <c r="AB74" s="49"/>
      <c r="AC74" s="49" t="s">
        <v>70</v>
      </c>
      <c r="AD74" s="49"/>
      <c r="AE74" s="49"/>
      <c r="AF74" s="49"/>
      <c r="AG74" s="49"/>
      <c r="AH74" s="49"/>
      <c r="AI74" s="49"/>
      <c r="AJ74" s="49"/>
      <c r="AK74" s="49"/>
      <c r="AL74" s="49"/>
      <c r="AM74" s="49"/>
      <c r="AN74" s="49"/>
      <c r="AO74" s="49"/>
      <c r="AP74" s="49" t="s">
        <v>607</v>
      </c>
      <c r="AQ74" s="49"/>
      <c r="AR74" s="49"/>
      <c r="AS74" s="49" t="s">
        <v>607</v>
      </c>
      <c r="AT74" s="49"/>
      <c r="AU74" s="49" t="s">
        <v>129</v>
      </c>
      <c r="AV74" s="49" t="s">
        <v>227</v>
      </c>
      <c r="AW74" s="49" t="s">
        <v>227</v>
      </c>
      <c r="AX74" s="54"/>
      <c r="AY74" s="49" t="s">
        <v>131</v>
      </c>
      <c r="AZ74" s="48" t="s">
        <v>511</v>
      </c>
      <c r="BA74" s="48" t="s">
        <v>72</v>
      </c>
      <c r="BB74" s="49"/>
      <c r="BC74" s="49" t="s">
        <v>73</v>
      </c>
      <c r="BD74" s="49" t="s">
        <v>499</v>
      </c>
      <c r="BE74" s="49"/>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c r="DI74" s="45"/>
      <c r="DJ74" s="45"/>
      <c r="DK74" s="45"/>
      <c r="DL74" s="45"/>
      <c r="DM74" s="45"/>
      <c r="DN74" s="45"/>
      <c r="DO74" s="45"/>
      <c r="DP74" s="45"/>
      <c r="DQ74" s="45"/>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c r="EQ74" s="45"/>
      <c r="ER74" s="45"/>
      <c r="ES74" s="45"/>
      <c r="ET74" s="45"/>
      <c r="EU74" s="45"/>
      <c r="EV74" s="45"/>
      <c r="EW74" s="45"/>
      <c r="EX74" s="45"/>
      <c r="EY74" s="45"/>
      <c r="EZ74" s="45"/>
      <c r="FA74" s="45"/>
      <c r="FB74" s="45"/>
      <c r="FC74" s="45"/>
      <c r="FD74" s="45"/>
      <c r="FE74" s="45"/>
      <c r="FF74" s="45"/>
      <c r="FG74" s="45"/>
      <c r="FH74" s="45"/>
      <c r="FI74" s="45"/>
      <c r="FJ74" s="45"/>
      <c r="FK74" s="45"/>
      <c r="FL74" s="45"/>
      <c r="FM74" s="45"/>
      <c r="FN74" s="45"/>
      <c r="FO74" s="45"/>
      <c r="FP74" s="45"/>
      <c r="FQ74" s="45"/>
      <c r="FR74" s="45"/>
      <c r="FS74" s="45"/>
      <c r="FT74" s="45"/>
      <c r="FU74" s="45"/>
      <c r="FV74" s="45"/>
      <c r="FW74" s="45"/>
      <c r="FX74" s="45"/>
      <c r="FY74" s="45"/>
      <c r="FZ74" s="45"/>
      <c r="GA74" s="45"/>
      <c r="GB74" s="45"/>
      <c r="GC74" s="45"/>
    </row>
    <row r="75" spans="1:185" s="46" customFormat="1" ht="34.5" customHeight="1">
      <c r="A75" s="99" t="s">
        <v>608</v>
      </c>
      <c r="B75" s="50" t="str">
        <f>LOWER(
  IF(
    RIGHT(
      SUBSTITUTE(SUBSTITUTE(SUBSTITUTE(SUBSTITUTE(SUBSTITUTE(SUBSTITUTE(SUBSTITUTE(C75,"(","_"),")","_"),"/","_"),":","_"),"-","_")," ","_"),"__","_"),
      1
    )="_",
    LEFT(
      SUBSTITUTE(SUBSTITUTE(SUBSTITUTE(SUBSTITUTE(SUBSTITUTE(SUBSTITUTE(SUBSTITUTE(C75,"(","_"),")","_"),"/","_"),":","_"),"-","_")," ","_"),"__","_"),
      LEN(
        SUBSTITUTE(SUBSTITUTE(SUBSTITUTE(SUBSTITUTE(SUBSTITUTE(SUBSTITUTE(SUBSTITUTE(C75,"(","_"),")","_"),"/","_"),":","_"),"-","_")," ","_"),"__","_")
      )-1
    ),
    SUBSTITUTE(SUBSTITUTE(SUBSTITUTE(SUBSTITUTE(SUBSTITUTE(SUBSTITUTE(SUBSTITUTE(C75,"(","_"),")","_"),"/","_"),":","_"),"-","_")," ","_"),"__","_")
  )
)</f>
        <v>source_of_vaccination_information</v>
      </c>
      <c r="C75" s="49" t="s">
        <v>609</v>
      </c>
      <c r="D75" s="50" t="s">
        <v>610</v>
      </c>
      <c r="E75" s="49" t="s">
        <v>98</v>
      </c>
      <c r="F75" s="49" t="s">
        <v>65</v>
      </c>
      <c r="G75" s="49"/>
      <c r="H75" s="49"/>
      <c r="I75" s="49"/>
      <c r="J75" s="49"/>
      <c r="K75" s="49"/>
      <c r="L75" s="49"/>
      <c r="M75" s="49"/>
      <c r="N75" s="49"/>
      <c r="O75" s="49"/>
      <c r="P75" s="49" t="s">
        <v>611</v>
      </c>
      <c r="Q75" s="49"/>
      <c r="R75" s="49"/>
      <c r="S75" s="49"/>
      <c r="T75" s="49"/>
      <c r="U75" s="49"/>
      <c r="V75" s="50" t="s">
        <v>125</v>
      </c>
      <c r="W75" s="50" t="s">
        <v>126</v>
      </c>
      <c r="X75" s="48" t="s">
        <v>68</v>
      </c>
      <c r="Y75" s="48" t="s">
        <v>241</v>
      </c>
      <c r="Z75" s="48"/>
      <c r="AA75" s="49" t="str">
        <f>"[" &amp; _xlfn.TEXTJOIN(", ", TRUE,
    IF(I75&lt;&gt;"", """" &amp; I$1 &amp; """", ""),
    IF(J75&lt;&gt;"", """" &amp; J$1 &amp; """", ""),
    IF(K75&lt;&gt;"", """" &amp; K$1 &amp; """", ""),
    IF(L75&lt;&gt;"", """" &amp; L$1 &amp; """", ""),
    IF(M75&lt;&gt;"", """" &amp; M$1 &amp; """", ""),    IF(N75&lt;&gt;"", """" &amp; N$1 &amp; """", ""),    IF(O75&lt;&gt;"", """" &amp; O$1 &amp; """", ""),     IF(P75&lt;&gt;"", """" &amp; P$1 &amp; """", ""),     IF(Q75&lt;&gt;"", """" &amp; Q$1 &amp; """", ""), IF(R75&lt;&gt;"", """" &amp; R$1 &amp; """", ""), IF(S75&lt;&gt;"", """" &amp; S$1 &amp; """", ""), IF(T75&lt;&gt;"", """" &amp; T$1 &amp; """", ""), IF(U75&lt;&gt;"", """" &amp; U$1 &amp; """", ""),
    IF(X75&lt;&gt;"", """" &amp; X75 &amp; """", ""), IF(V75&lt;&gt;"", """" &amp; V75 &amp; """", ""), IF(W75&lt;&gt;"", """" &amp; W75 &amp; """", ""),
    IF(Y75&lt;&gt;"", """" &amp; Y75 &amp; """", ""),
    IF(Z75&lt;&gt;"", """" &amp; Z75 &amp; """", "")
) &amp; "]"</f>
        <v>["ENA ERC32", "Sample", "ENA Sample", "VJDB Sample", "Clinical "]</v>
      </c>
      <c r="AB75" s="49"/>
      <c r="AC75" s="49"/>
      <c r="AD75" s="49"/>
      <c r="AE75" s="49"/>
      <c r="AF75" s="49"/>
      <c r="AG75" s="49"/>
      <c r="AH75" s="49"/>
      <c r="AI75" s="49"/>
      <c r="AJ75" s="49"/>
      <c r="AK75" s="49"/>
      <c r="AL75" s="49"/>
      <c r="AM75" s="49"/>
      <c r="AN75" s="49"/>
      <c r="AO75" s="49"/>
      <c r="AP75" s="49" t="s">
        <v>612</v>
      </c>
      <c r="AQ75" s="49"/>
      <c r="AR75" s="49"/>
      <c r="AS75" s="49"/>
      <c r="AT75" s="49"/>
      <c r="AU75" s="49"/>
      <c r="AV75" s="49" t="s">
        <v>227</v>
      </c>
      <c r="AW75" s="49" t="s">
        <v>227</v>
      </c>
      <c r="AX75" s="54" t="s">
        <v>613</v>
      </c>
      <c r="AY75" s="49" t="s">
        <v>141</v>
      </c>
      <c r="AZ75" s="48" t="s">
        <v>106</v>
      </c>
      <c r="BA75" s="48" t="s">
        <v>107</v>
      </c>
      <c r="BB75" s="49"/>
      <c r="BC75" s="49" t="s">
        <v>73</v>
      </c>
      <c r="BD75" s="49" t="s">
        <v>499</v>
      </c>
      <c r="BE75" s="49"/>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5"/>
      <c r="CV75" s="45"/>
      <c r="CW75" s="45"/>
      <c r="CX75" s="45"/>
      <c r="CY75" s="45"/>
      <c r="CZ75" s="45"/>
      <c r="DA75" s="45"/>
      <c r="DB75" s="45"/>
      <c r="DC75" s="45"/>
      <c r="DD75" s="45"/>
      <c r="DE75" s="45"/>
      <c r="DF75" s="45"/>
      <c r="DG75" s="45"/>
      <c r="DH75" s="45"/>
      <c r="DI75" s="45"/>
      <c r="DJ75" s="45"/>
      <c r="DK75" s="45"/>
      <c r="DL75" s="45"/>
      <c r="DM75" s="45"/>
      <c r="DN75" s="45"/>
      <c r="DO75" s="45"/>
      <c r="DP75" s="45"/>
      <c r="DQ75" s="45"/>
      <c r="DR75" s="45"/>
      <c r="DS75" s="45"/>
      <c r="DT75" s="45"/>
      <c r="DU75" s="45"/>
      <c r="DV75" s="45"/>
      <c r="DW75" s="45"/>
      <c r="DX75" s="45"/>
      <c r="DY75" s="45"/>
      <c r="DZ75" s="45"/>
      <c r="EA75" s="45"/>
      <c r="EB75" s="45"/>
      <c r="EC75" s="45"/>
      <c r="ED75" s="45"/>
      <c r="EE75" s="45"/>
      <c r="EF75" s="45"/>
      <c r="EG75" s="45"/>
      <c r="EH75" s="45"/>
      <c r="EI75" s="45"/>
      <c r="EJ75" s="45"/>
      <c r="EK75" s="45"/>
      <c r="EL75" s="45"/>
      <c r="EM75" s="45"/>
      <c r="EN75" s="45"/>
      <c r="EO75" s="45"/>
      <c r="EP75" s="45"/>
      <c r="EQ75" s="45"/>
      <c r="ER75" s="45"/>
      <c r="ES75" s="45"/>
      <c r="ET75" s="45"/>
      <c r="EU75" s="45"/>
      <c r="EV75" s="45"/>
      <c r="EW75" s="45"/>
      <c r="EX75" s="45"/>
      <c r="EY75" s="45"/>
      <c r="EZ75" s="45"/>
      <c r="FA75" s="45"/>
      <c r="FB75" s="45"/>
      <c r="FC75" s="45"/>
      <c r="FD75" s="45"/>
      <c r="FE75" s="45"/>
      <c r="FF75" s="45"/>
      <c r="FG75" s="45"/>
      <c r="FH75" s="45"/>
      <c r="FI75" s="45"/>
      <c r="FJ75" s="45"/>
      <c r="FK75" s="45"/>
      <c r="FL75" s="45"/>
      <c r="FM75" s="45"/>
      <c r="FN75" s="45"/>
      <c r="FO75" s="45"/>
      <c r="FP75" s="45"/>
      <c r="FQ75" s="45"/>
      <c r="FR75" s="45"/>
      <c r="FS75" s="45"/>
      <c r="FT75" s="45"/>
      <c r="FU75" s="45"/>
      <c r="FV75" s="45"/>
      <c r="FW75" s="45"/>
      <c r="FX75" s="45"/>
      <c r="FY75" s="45"/>
      <c r="FZ75" s="45"/>
      <c r="GA75" s="45"/>
      <c r="GB75" s="45"/>
      <c r="GC75" s="45"/>
    </row>
    <row r="76" spans="1:185" s="46" customFormat="1" ht="34.5" customHeight="1">
      <c r="A76" s="99" t="s">
        <v>614</v>
      </c>
      <c r="B76" s="50" t="str">
        <f>LOWER(
  IF(
    RIGHT(
      SUBSTITUTE(SUBSTITUTE(SUBSTITUTE(SUBSTITUTE(SUBSTITUTE(SUBSTITUTE(SUBSTITUTE(C76,"(","_"),")","_"),"/","_"),":","_"),"-","_")," ","_"),"__","_"),
      1
    )="_",
    LEFT(
      SUBSTITUTE(SUBSTITUTE(SUBSTITUTE(SUBSTITUTE(SUBSTITUTE(SUBSTITUTE(SUBSTITUTE(C76,"(","_"),")","_"),"/","_"),":","_"),"-","_")," ","_"),"__","_"),
      LEN(
        SUBSTITUTE(SUBSTITUTE(SUBSTITUTE(SUBSTITUTE(SUBSTITUTE(SUBSTITUTE(SUBSTITUTE(C76,"(","_"),")","_"),"/","_"),":","_"),"-","_")," ","_"),"__","_")
      )-1
    ),
    SUBSTITUTE(SUBSTITUTE(SUBSTITUTE(SUBSTITUTE(SUBSTITUTE(SUBSTITUTE(SUBSTITUTE(C76,"(","_"),")","_"),"/","_"),":","_"),"-","_")," ","_"),"__","_")
  )
)</f>
        <v>study_description</v>
      </c>
      <c r="C76" s="49" t="s">
        <v>615</v>
      </c>
      <c r="D76" s="50" t="s">
        <v>616</v>
      </c>
      <c r="E76" s="49" t="s">
        <v>64</v>
      </c>
      <c r="F76" s="49" t="s">
        <v>65</v>
      </c>
      <c r="G76" s="49"/>
      <c r="H76" s="49"/>
      <c r="I76" s="49"/>
      <c r="J76" s="49"/>
      <c r="K76" s="49"/>
      <c r="L76" s="49"/>
      <c r="M76" s="49"/>
      <c r="N76" s="49"/>
      <c r="O76" s="49"/>
      <c r="P76" s="49" t="s">
        <v>617</v>
      </c>
      <c r="Q76" s="49" t="s">
        <v>617</v>
      </c>
      <c r="R76" s="49"/>
      <c r="S76" s="49"/>
      <c r="T76" s="49"/>
      <c r="U76" s="49"/>
      <c r="V76" s="50" t="s">
        <v>618</v>
      </c>
      <c r="W76" s="50" t="s">
        <v>619</v>
      </c>
      <c r="X76" s="48" t="s">
        <v>116</v>
      </c>
      <c r="Y76" s="48" t="s">
        <v>620</v>
      </c>
      <c r="Z76" s="48"/>
      <c r="AA76" s="49" t="str">
        <f>"[" &amp; _xlfn.TEXTJOIN(", ", TRUE,
    IF(I76&lt;&gt;"", """" &amp; I$1 &amp; """", ""),
    IF(J76&lt;&gt;"", """" &amp; J$1 &amp; """", ""),
    IF(K76&lt;&gt;"", """" &amp; K$1 &amp; """", ""),
    IF(L76&lt;&gt;"", """" &amp; L$1 &amp; """", ""),
    IF(M76&lt;&gt;"", """" &amp; M$1 &amp; """", ""),    IF(N76&lt;&gt;"", """" &amp; N$1 &amp; """", ""),    IF(O76&lt;&gt;"", """" &amp; O$1 &amp; """", ""),     IF(P76&lt;&gt;"", """" &amp; P$1 &amp; """", ""),     IF(Q76&lt;&gt;"", """" &amp; Q$1 &amp; """", ""), IF(R76&lt;&gt;"", """" &amp; R$1 &amp; """", ""), IF(S76&lt;&gt;"", """" &amp; S$1 &amp; """", ""), IF(T76&lt;&gt;"", """" &amp; T$1 &amp; """", ""), IF(U76&lt;&gt;"", """" &amp; U$1 &amp; """", ""),
    IF(X76&lt;&gt;"", """" &amp; X76 &amp; """", ""), IF(V76&lt;&gt;"", """" &amp; V76 &amp; """", ""), IF(W76&lt;&gt;"", """" &amp; W76 &amp; """", ""),
    IF(Y76&lt;&gt;"", """" &amp; Y76 &amp; """", ""),
    IF(Z76&lt;&gt;"", """" &amp; Z76 &amp; """", "")
) &amp; "]"</f>
        <v>["ENA ERC32", "ENA ERC33", "Organizational", "ENA Study", "VJDB Study", "Study"]</v>
      </c>
      <c r="AB76" s="49"/>
      <c r="AC76" s="49" t="s">
        <v>70</v>
      </c>
      <c r="AD76" s="49"/>
      <c r="AE76" s="49"/>
      <c r="AF76" s="49"/>
      <c r="AG76" s="49"/>
      <c r="AH76" s="49"/>
      <c r="AI76" s="49"/>
      <c r="AJ76" s="49"/>
      <c r="AK76" s="49"/>
      <c r="AL76" s="49"/>
      <c r="AM76" s="49"/>
      <c r="AN76" s="49"/>
      <c r="AO76" s="49"/>
      <c r="AP76" s="49" t="s">
        <v>621</v>
      </c>
      <c r="AQ76" s="49"/>
      <c r="AR76" s="49"/>
      <c r="AS76" s="49" t="s">
        <v>621</v>
      </c>
      <c r="AT76" s="49"/>
      <c r="AU76" s="49" t="s">
        <v>129</v>
      </c>
      <c r="AV76" s="49" t="s">
        <v>227</v>
      </c>
      <c r="AW76" s="49" t="s">
        <v>130</v>
      </c>
      <c r="AX76" s="54"/>
      <c r="AY76" s="49" t="s">
        <v>131</v>
      </c>
      <c r="AZ76" s="48" t="s">
        <v>511</v>
      </c>
      <c r="BA76" s="48" t="s">
        <v>72</v>
      </c>
      <c r="BB76" s="49"/>
      <c r="BC76" s="49" t="s">
        <v>73</v>
      </c>
      <c r="BD76" s="49" t="s">
        <v>499</v>
      </c>
      <c r="BE76" s="49"/>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45"/>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c r="ER76" s="45"/>
      <c r="ES76" s="45"/>
      <c r="ET76" s="45"/>
      <c r="EU76" s="45"/>
      <c r="EV76" s="45"/>
      <c r="EW76" s="45"/>
      <c r="EX76" s="45"/>
      <c r="EY76" s="45"/>
      <c r="EZ76" s="45"/>
      <c r="FA76" s="45"/>
      <c r="FB76" s="45"/>
      <c r="FC76" s="45"/>
      <c r="FD76" s="45"/>
      <c r="FE76" s="45"/>
      <c r="FF76" s="45"/>
      <c r="FG76" s="45"/>
      <c r="FH76" s="45"/>
      <c r="FI76" s="45"/>
      <c r="FJ76" s="45"/>
      <c r="FK76" s="45"/>
      <c r="FL76" s="45"/>
      <c r="FM76" s="45"/>
      <c r="FN76" s="45"/>
      <c r="FO76" s="45"/>
      <c r="FP76" s="45"/>
      <c r="FQ76" s="45"/>
      <c r="FR76" s="45"/>
      <c r="FS76" s="45"/>
      <c r="FT76" s="45"/>
      <c r="FU76" s="45"/>
      <c r="FV76" s="45"/>
      <c r="FW76" s="45"/>
      <c r="FX76" s="45"/>
      <c r="FY76" s="45"/>
      <c r="FZ76" s="45"/>
      <c r="GA76" s="45"/>
      <c r="GB76" s="45"/>
      <c r="GC76" s="45"/>
    </row>
    <row r="77" spans="1:185" s="46" customFormat="1" ht="34.5" customHeight="1">
      <c r="A77" s="99" t="s">
        <v>622</v>
      </c>
      <c r="B77" s="50" t="str">
        <f>LOWER(
  IF(
    RIGHT(
      SUBSTITUTE(SUBSTITUTE(SUBSTITUTE(SUBSTITUTE(SUBSTITUTE(SUBSTITUTE(SUBSTITUTE(C77,"(","_"),")","_"),"/","_"),":","_"),"-","_")," ","_"),"__","_"),
      1
    )="_",
    LEFT(
      SUBSTITUTE(SUBSTITUTE(SUBSTITUTE(SUBSTITUTE(SUBSTITUTE(SUBSTITUTE(SUBSTITUTE(C77,"(","_"),")","_"),"/","_"),":","_"),"-","_")," ","_"),"__","_"),
      LEN(
        SUBSTITUTE(SUBSTITUTE(SUBSTITUTE(SUBSTITUTE(SUBSTITUTE(SUBSTITUTE(SUBSTITUTE(C77,"(","_"),")","_"),"/","_"),":","_"),"-","_")," ","_"),"__","_")
      )-1
    ),
    SUBSTITUTE(SUBSTITUTE(SUBSTITUTE(SUBSTITUTE(SUBSTITUTE(SUBSTITUTE(SUBSTITUTE(C77,"(","_"),")","_"),"/","_"),":","_"),"-","_")," ","_"),"__","_")
  )
)</f>
        <v>subject_exposure</v>
      </c>
      <c r="C77" s="49" t="s">
        <v>623</v>
      </c>
      <c r="D77" s="50" t="s">
        <v>624</v>
      </c>
      <c r="E77" s="49" t="s">
        <v>64</v>
      </c>
      <c r="F77" s="49" t="s">
        <v>65</v>
      </c>
      <c r="G77" s="49"/>
      <c r="H77" s="49"/>
      <c r="I77" s="49"/>
      <c r="J77" s="49"/>
      <c r="K77" s="49"/>
      <c r="L77" s="49"/>
      <c r="M77" s="49"/>
      <c r="N77" s="49"/>
      <c r="O77" s="49"/>
      <c r="P77" s="49" t="s">
        <v>625</v>
      </c>
      <c r="Q77" s="49" t="s">
        <v>625</v>
      </c>
      <c r="R77" s="49"/>
      <c r="S77" s="49"/>
      <c r="T77" s="49"/>
      <c r="U77" s="49"/>
      <c r="V77" s="50" t="s">
        <v>125</v>
      </c>
      <c r="W77" s="50" t="s">
        <v>126</v>
      </c>
      <c r="X77" s="48" t="s">
        <v>68</v>
      </c>
      <c r="Y77" s="48" t="s">
        <v>241</v>
      </c>
      <c r="Z77" s="48"/>
      <c r="AA77" s="49" t="str">
        <f>"[" &amp; _xlfn.TEXTJOIN(", ", TRUE,
    IF(I77&lt;&gt;"", """" &amp; I$1 &amp; """", ""),
    IF(J77&lt;&gt;"", """" &amp; J$1 &amp; """", ""),
    IF(K77&lt;&gt;"", """" &amp; K$1 &amp; """", ""),
    IF(L77&lt;&gt;"", """" &amp; L$1 &amp; """", ""),
    IF(M77&lt;&gt;"", """" &amp; M$1 &amp; """", ""),    IF(N77&lt;&gt;"", """" &amp; N$1 &amp; """", ""),    IF(O77&lt;&gt;"", """" &amp; O$1 &amp; """", ""),     IF(P77&lt;&gt;"", """" &amp; P$1 &amp; """", ""),     IF(Q77&lt;&gt;"", """" &amp; Q$1 &amp; """", ""), IF(R77&lt;&gt;"", """" &amp; R$1 &amp; """", ""), IF(S77&lt;&gt;"", """" &amp; S$1 &amp; """", ""), IF(T77&lt;&gt;"", """" &amp; T$1 &amp; """", ""), IF(U77&lt;&gt;"", """" &amp; U$1 &amp; """", ""),
    IF(X77&lt;&gt;"", """" &amp; X77 &amp; """", ""), IF(V77&lt;&gt;"", """" &amp; V77 &amp; """", ""), IF(W77&lt;&gt;"", """" &amp; W77 &amp; """", ""),
    IF(Y77&lt;&gt;"", """" &amp; Y77 &amp; """", ""),
    IF(Z77&lt;&gt;"", """" &amp; Z77 &amp; """", "")
) &amp; "]"</f>
        <v>["ENA ERC32", "ENA ERC33", "Sample", "ENA Sample", "VJDB Sample", "Clinical "]</v>
      </c>
      <c r="AB77" s="49"/>
      <c r="AC77" s="49"/>
      <c r="AD77" s="49"/>
      <c r="AE77" s="49"/>
      <c r="AF77" s="49"/>
      <c r="AG77" s="49"/>
      <c r="AH77" s="49"/>
      <c r="AI77" s="49"/>
      <c r="AJ77" s="49"/>
      <c r="AK77" s="49"/>
      <c r="AL77" s="49"/>
      <c r="AM77" s="49"/>
      <c r="AN77" s="49"/>
      <c r="AO77" s="49"/>
      <c r="AP77" s="49" t="s">
        <v>626</v>
      </c>
      <c r="AQ77" s="49"/>
      <c r="AR77" s="49"/>
      <c r="AS77" s="49" t="s">
        <v>626</v>
      </c>
      <c r="AT77" s="49"/>
      <c r="AU77" s="49" t="s">
        <v>151</v>
      </c>
      <c r="AV77" s="49" t="s">
        <v>227</v>
      </c>
      <c r="AW77" s="49" t="s">
        <v>227</v>
      </c>
      <c r="AX77" s="49" t="s">
        <v>627</v>
      </c>
      <c r="AY77" s="49" t="s">
        <v>590</v>
      </c>
      <c r="AZ77" s="48" t="s">
        <v>64</v>
      </c>
      <c r="BA77" s="48" t="s">
        <v>119</v>
      </c>
      <c r="BB77" s="49"/>
      <c r="BC77" s="49" t="s">
        <v>73</v>
      </c>
      <c r="BD77" s="49" t="s">
        <v>499</v>
      </c>
      <c r="BE77" s="49"/>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45"/>
      <c r="DJ77" s="45"/>
      <c r="DK77" s="45"/>
      <c r="DL77" s="45"/>
      <c r="DM77" s="45"/>
      <c r="DN77" s="45"/>
      <c r="DO77" s="45"/>
      <c r="DP77" s="45"/>
      <c r="DQ77" s="45"/>
      <c r="DR77" s="45"/>
      <c r="DS77" s="45"/>
      <c r="DT77" s="45"/>
      <c r="DU77" s="45"/>
      <c r="DV77" s="45"/>
      <c r="DW77" s="45"/>
      <c r="DX77" s="45"/>
      <c r="DY77" s="45"/>
      <c r="DZ77" s="45"/>
      <c r="EA77" s="45"/>
      <c r="EB77" s="45"/>
      <c r="EC77" s="45"/>
      <c r="ED77" s="45"/>
      <c r="EE77" s="45"/>
      <c r="EF77" s="45"/>
      <c r="EG77" s="45"/>
      <c r="EH77" s="45"/>
      <c r="EI77" s="45"/>
      <c r="EJ77" s="45"/>
      <c r="EK77" s="45"/>
      <c r="EL77" s="45"/>
      <c r="EM77" s="45"/>
      <c r="EN77" s="45"/>
      <c r="EO77" s="45"/>
      <c r="EP77" s="45"/>
      <c r="EQ77" s="45"/>
      <c r="ER77" s="45"/>
      <c r="ES77" s="45"/>
      <c r="ET77" s="45"/>
      <c r="EU77" s="45"/>
      <c r="EV77" s="45"/>
      <c r="EW77" s="45"/>
      <c r="EX77" s="45"/>
      <c r="EY77" s="45"/>
      <c r="EZ77" s="45"/>
      <c r="FA77" s="45"/>
      <c r="FB77" s="45"/>
      <c r="FC77" s="45"/>
      <c r="FD77" s="45"/>
      <c r="FE77" s="45"/>
      <c r="FF77" s="45"/>
      <c r="FG77" s="45"/>
      <c r="FH77" s="45"/>
      <c r="FI77" s="45"/>
      <c r="FJ77" s="45"/>
      <c r="FK77" s="45"/>
      <c r="FL77" s="45"/>
      <c r="FM77" s="45"/>
      <c r="FN77" s="45"/>
      <c r="FO77" s="45"/>
      <c r="FP77" s="45"/>
      <c r="FQ77" s="45"/>
      <c r="FR77" s="45"/>
      <c r="FS77" s="45"/>
      <c r="FT77" s="45"/>
      <c r="FU77" s="45"/>
      <c r="FV77" s="45"/>
      <c r="FW77" s="45"/>
      <c r="FX77" s="45"/>
      <c r="FY77" s="45"/>
      <c r="FZ77" s="45"/>
      <c r="GA77" s="45"/>
      <c r="GB77" s="45"/>
      <c r="GC77" s="45"/>
    </row>
    <row r="78" spans="1:185" s="46" customFormat="1" ht="34.5" customHeight="1">
      <c r="A78" s="99" t="s">
        <v>628</v>
      </c>
      <c r="B78" s="50" t="str">
        <f>LOWER(
  IF(
    RIGHT(
      SUBSTITUTE(SUBSTITUTE(SUBSTITUTE(SUBSTITUTE(SUBSTITUTE(SUBSTITUTE(SUBSTITUTE(C78,"(","_"),")","_"),"/","_"),":","_"),"-","_")," ","_"),"__","_"),
      1
    )="_",
    LEFT(
      SUBSTITUTE(SUBSTITUTE(SUBSTITUTE(SUBSTITUTE(SUBSTITUTE(SUBSTITUTE(SUBSTITUTE(C78,"(","_"),")","_"),"/","_"),":","_"),"-","_")," ","_"),"__","_"),
      LEN(
        SUBSTITUTE(SUBSTITUTE(SUBSTITUTE(SUBSTITUTE(SUBSTITUTE(SUBSTITUTE(SUBSTITUTE(C78,"(","_"),")","_"),"/","_"),":","_"),"-","_")," ","_"),"__","_")
      )-1
    ),
    SUBSTITUTE(SUBSTITUTE(SUBSTITUTE(SUBSTITUTE(SUBSTITUTE(SUBSTITUTE(SUBSTITUTE(C78,"(","_"),")","_"),"/","_"),":","_"),"-","_")," ","_"),"__","_")
  )
)</f>
        <v>subject_exposure_duration</v>
      </c>
      <c r="C78" s="49" t="s">
        <v>629</v>
      </c>
      <c r="D78" s="50" t="s">
        <v>630</v>
      </c>
      <c r="E78" s="49" t="s">
        <v>92</v>
      </c>
      <c r="F78" s="49" t="s">
        <v>65</v>
      </c>
      <c r="G78" s="49"/>
      <c r="H78" s="49"/>
      <c r="I78" s="49"/>
      <c r="J78" s="49"/>
      <c r="K78" s="49"/>
      <c r="L78" s="49"/>
      <c r="M78" s="49"/>
      <c r="N78" s="49"/>
      <c r="O78" s="49"/>
      <c r="P78" s="49" t="s">
        <v>631</v>
      </c>
      <c r="Q78" s="49" t="s">
        <v>631</v>
      </c>
      <c r="R78" s="49"/>
      <c r="S78" s="49"/>
      <c r="T78" s="49"/>
      <c r="U78" s="49"/>
      <c r="V78" s="50" t="s">
        <v>125</v>
      </c>
      <c r="W78" s="50" t="s">
        <v>126</v>
      </c>
      <c r="X78" s="48" t="s">
        <v>68</v>
      </c>
      <c r="Y78" s="48" t="s">
        <v>241</v>
      </c>
      <c r="Z78" s="48"/>
      <c r="AA78" s="49" t="str">
        <f>"[" &amp; _xlfn.TEXTJOIN(", ", TRUE,
    IF(I78&lt;&gt;"", """" &amp; I$1 &amp; """", ""),
    IF(J78&lt;&gt;"", """" &amp; J$1 &amp; """", ""),
    IF(K78&lt;&gt;"", """" &amp; K$1 &amp; """", ""),
    IF(L78&lt;&gt;"", """" &amp; L$1 &amp; """", ""),
    IF(M78&lt;&gt;"", """" &amp; M$1 &amp; """", ""),    IF(N78&lt;&gt;"", """" &amp; N$1 &amp; """", ""),    IF(O78&lt;&gt;"", """" &amp; O$1 &amp; """", ""),     IF(P78&lt;&gt;"", """" &amp; P$1 &amp; """", ""),     IF(Q78&lt;&gt;"", """" &amp; Q$1 &amp; """", ""), IF(R78&lt;&gt;"", """" &amp; R$1 &amp; """", ""), IF(S78&lt;&gt;"", """" &amp; S$1 &amp; """", ""), IF(T78&lt;&gt;"", """" &amp; T$1 &amp; """", ""), IF(U78&lt;&gt;"", """" &amp; U$1 &amp; """", ""),
    IF(X78&lt;&gt;"", """" &amp; X78 &amp; """", ""), IF(V78&lt;&gt;"", """" &amp; V78 &amp; """", ""), IF(W78&lt;&gt;"", """" &amp; W78 &amp; """", ""),
    IF(Y78&lt;&gt;"", """" &amp; Y78 &amp; """", ""),
    IF(Z78&lt;&gt;"", """" &amp; Z78 &amp; """", "")
) &amp; "]"</f>
        <v>["ENA ERC32", "ENA ERC33", "Sample", "ENA Sample", "VJDB Sample", "Clinical "]</v>
      </c>
      <c r="AB78" s="49"/>
      <c r="AC78" s="49"/>
      <c r="AD78" s="49"/>
      <c r="AE78" s="49"/>
      <c r="AF78" s="49"/>
      <c r="AG78" s="49"/>
      <c r="AH78" s="49"/>
      <c r="AI78" s="49"/>
      <c r="AJ78" s="49"/>
      <c r="AK78" s="49"/>
      <c r="AL78" s="49"/>
      <c r="AM78" s="49"/>
      <c r="AN78" s="49"/>
      <c r="AO78" s="49"/>
      <c r="AP78" s="49" t="s">
        <v>632</v>
      </c>
      <c r="AQ78" s="49"/>
      <c r="AR78" s="49"/>
      <c r="AS78" s="49" t="s">
        <v>633</v>
      </c>
      <c r="AT78" s="49"/>
      <c r="AU78" s="49" t="s">
        <v>151</v>
      </c>
      <c r="AV78" s="49" t="s">
        <v>227</v>
      </c>
      <c r="AW78" s="49" t="s">
        <v>227</v>
      </c>
      <c r="AX78" s="54" t="s">
        <v>634</v>
      </c>
      <c r="AY78" s="49" t="s">
        <v>635</v>
      </c>
      <c r="AZ78" s="48" t="s">
        <v>64</v>
      </c>
      <c r="BA78" s="48" t="s">
        <v>119</v>
      </c>
      <c r="BB78" s="49"/>
      <c r="BC78" s="49" t="s">
        <v>73</v>
      </c>
      <c r="BD78" s="49" t="s">
        <v>499</v>
      </c>
      <c r="BE78" s="49"/>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c r="DF78" s="45"/>
      <c r="DG78" s="45"/>
      <c r="DH78" s="45"/>
      <c r="DI78" s="45"/>
      <c r="DJ78" s="45"/>
      <c r="DK78" s="45"/>
      <c r="DL78" s="45"/>
      <c r="DM78" s="45"/>
      <c r="DN78" s="45"/>
      <c r="DO78" s="45"/>
      <c r="DP78" s="45"/>
      <c r="DQ78" s="45"/>
      <c r="DR78" s="45"/>
      <c r="DS78" s="45"/>
      <c r="DT78" s="45"/>
      <c r="DU78" s="45"/>
      <c r="DV78" s="45"/>
      <c r="DW78" s="45"/>
      <c r="DX78" s="45"/>
      <c r="DY78" s="45"/>
      <c r="DZ78" s="45"/>
      <c r="EA78" s="45"/>
      <c r="EB78" s="45"/>
      <c r="EC78" s="45"/>
      <c r="ED78" s="45"/>
      <c r="EE78" s="45"/>
      <c r="EF78" s="45"/>
      <c r="EG78" s="45"/>
      <c r="EH78" s="45"/>
      <c r="EI78" s="45"/>
      <c r="EJ78" s="45"/>
      <c r="EK78" s="45"/>
      <c r="EL78" s="45"/>
      <c r="EM78" s="45"/>
      <c r="EN78" s="45"/>
      <c r="EO78" s="45"/>
      <c r="EP78" s="45"/>
      <c r="EQ78" s="45"/>
      <c r="ER78" s="45"/>
      <c r="ES78" s="45"/>
      <c r="ET78" s="45"/>
      <c r="EU78" s="45"/>
      <c r="EV78" s="45"/>
      <c r="EW78" s="45"/>
      <c r="EX78" s="45"/>
      <c r="EY78" s="45"/>
      <c r="EZ78" s="45"/>
      <c r="FA78" s="45"/>
      <c r="FB78" s="45"/>
      <c r="FC78" s="45"/>
      <c r="FD78" s="45"/>
      <c r="FE78" s="45"/>
      <c r="FF78" s="45"/>
      <c r="FG78" s="45"/>
      <c r="FH78" s="45"/>
      <c r="FI78" s="45"/>
      <c r="FJ78" s="45"/>
      <c r="FK78" s="45"/>
      <c r="FL78" s="45"/>
      <c r="FM78" s="45"/>
      <c r="FN78" s="45"/>
      <c r="FO78" s="45"/>
      <c r="FP78" s="45"/>
      <c r="FQ78" s="45"/>
      <c r="FR78" s="45"/>
      <c r="FS78" s="45"/>
      <c r="FT78" s="45"/>
      <c r="FU78" s="45"/>
      <c r="FV78" s="45"/>
      <c r="FW78" s="45"/>
      <c r="FX78" s="45"/>
      <c r="FY78" s="45"/>
      <c r="FZ78" s="45"/>
      <c r="GA78" s="45"/>
      <c r="GB78" s="45"/>
      <c r="GC78" s="45"/>
    </row>
    <row r="79" spans="1:185" s="46" customFormat="1" ht="34.5" customHeight="1">
      <c r="A79" s="99" t="s">
        <v>636</v>
      </c>
      <c r="B79" s="50" t="str">
        <f>LOWER(
  IF(
    RIGHT(
      SUBSTITUTE(SUBSTITUTE(SUBSTITUTE(SUBSTITUTE(SUBSTITUTE(SUBSTITUTE(SUBSTITUTE(C79,"(","_"),")","_"),"/","_"),":","_"),"-","_")," ","_"),"__","_"),
      1
    )="_",
    LEFT(
      SUBSTITUTE(SUBSTITUTE(SUBSTITUTE(SUBSTITUTE(SUBSTITUTE(SUBSTITUTE(SUBSTITUTE(C79,"(","_"),")","_"),"/","_"),":","_"),"-","_")," ","_"),"__","_"),
      LEN(
        SUBSTITUTE(SUBSTITUTE(SUBSTITUTE(SUBSTITUTE(SUBSTITUTE(SUBSTITUTE(SUBSTITUTE(C79,"(","_"),")","_"),"/","_"),":","_"),"-","_")," ","_"),"__","_")
      )-1
    ),
    SUBSTITUTE(SUBSTITUTE(SUBSTITUTE(SUBSTITUTE(SUBSTITUTE(SUBSTITUTE(SUBSTITUTE(C79,"(","_"),")","_"),"/","_"),":","_"),"-","_")," ","_"),"__","_")
  )
)</f>
        <v>study_title</v>
      </c>
      <c r="C79" s="49" t="s">
        <v>637</v>
      </c>
      <c r="D79" s="50" t="s">
        <v>638</v>
      </c>
      <c r="E79" s="49" t="s">
        <v>64</v>
      </c>
      <c r="F79" s="49" t="s">
        <v>65</v>
      </c>
      <c r="G79" s="49"/>
      <c r="H79" s="49"/>
      <c r="I79" s="49"/>
      <c r="J79" s="49"/>
      <c r="K79" s="49"/>
      <c r="L79" s="49"/>
      <c r="M79" s="49"/>
      <c r="N79" s="49"/>
      <c r="O79" s="49"/>
      <c r="P79" s="49" t="s">
        <v>639</v>
      </c>
      <c r="Q79" s="49" t="s">
        <v>639</v>
      </c>
      <c r="R79" s="49"/>
      <c r="S79" s="49"/>
      <c r="T79" s="49"/>
      <c r="U79" s="49"/>
      <c r="V79" s="50" t="s">
        <v>618</v>
      </c>
      <c r="W79" s="50" t="s">
        <v>619</v>
      </c>
      <c r="X79" s="48" t="s">
        <v>116</v>
      </c>
      <c r="Y79" s="48" t="s">
        <v>620</v>
      </c>
      <c r="Z79" s="48"/>
      <c r="AA79" s="49" t="str">
        <f>"[" &amp; _xlfn.TEXTJOIN(", ", TRUE,
    IF(I79&lt;&gt;"", """" &amp; I$1 &amp; """", ""),
    IF(J79&lt;&gt;"", """" &amp; J$1 &amp; """", ""),
    IF(K79&lt;&gt;"", """" &amp; K$1 &amp; """", ""),
    IF(L79&lt;&gt;"", """" &amp; L$1 &amp; """", ""),
    IF(M79&lt;&gt;"", """" &amp; M$1 &amp; """", ""),    IF(N79&lt;&gt;"", """" &amp; N$1 &amp; """", ""),    IF(O79&lt;&gt;"", """" &amp; O$1 &amp; """", ""),     IF(P79&lt;&gt;"", """" &amp; P$1 &amp; """", ""),     IF(Q79&lt;&gt;"", """" &amp; Q$1 &amp; """", ""), IF(R79&lt;&gt;"", """" &amp; R$1 &amp; """", ""), IF(S79&lt;&gt;"", """" &amp; S$1 &amp; """", ""), IF(T79&lt;&gt;"", """" &amp; T$1 &amp; """", ""), IF(U79&lt;&gt;"", """" &amp; U$1 &amp; """", ""),
    IF(X79&lt;&gt;"", """" &amp; X79 &amp; """", ""), IF(V79&lt;&gt;"", """" &amp; V79 &amp; """", ""), IF(W79&lt;&gt;"", """" &amp; W79 &amp; """", ""),
    IF(Y79&lt;&gt;"", """" &amp; Y79 &amp; """", ""),
    IF(Z79&lt;&gt;"", """" &amp; Z79 &amp; """", "")
) &amp; "]"</f>
        <v>["ENA ERC32", "ENA ERC33", "Organizational", "ENA Study", "VJDB Study", "Study"]</v>
      </c>
      <c r="AB79" s="49"/>
      <c r="AC79" s="49" t="s">
        <v>70</v>
      </c>
      <c r="AD79" s="49"/>
      <c r="AE79" s="49"/>
      <c r="AF79" s="49"/>
      <c r="AG79" s="49"/>
      <c r="AH79" s="49"/>
      <c r="AI79" s="49"/>
      <c r="AJ79" s="49"/>
      <c r="AK79" s="49"/>
      <c r="AL79" s="49"/>
      <c r="AM79" s="49"/>
      <c r="AN79" s="49"/>
      <c r="AO79" s="49"/>
      <c r="AP79" s="49" t="s">
        <v>640</v>
      </c>
      <c r="AQ79" s="49"/>
      <c r="AR79" s="49"/>
      <c r="AS79" s="49" t="s">
        <v>640</v>
      </c>
      <c r="AT79" s="49"/>
      <c r="AU79" s="49" t="s">
        <v>151</v>
      </c>
      <c r="AV79" s="49" t="s">
        <v>130</v>
      </c>
      <c r="AW79" s="49" t="s">
        <v>130</v>
      </c>
      <c r="AX79" s="54"/>
      <c r="AY79" s="49" t="s">
        <v>131</v>
      </c>
      <c r="AZ79" s="48" t="s">
        <v>64</v>
      </c>
      <c r="BA79" s="48" t="s">
        <v>72</v>
      </c>
      <c r="BB79" s="49"/>
      <c r="BC79" s="49" t="s">
        <v>73</v>
      </c>
      <c r="BD79" s="49" t="s">
        <v>499</v>
      </c>
      <c r="BE79" s="49"/>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45"/>
      <c r="DR79" s="45"/>
      <c r="DS79" s="45"/>
      <c r="DT79" s="45"/>
      <c r="DU79" s="45"/>
      <c r="DV79" s="45"/>
      <c r="DW79" s="45"/>
      <c r="DX79" s="45"/>
      <c r="DY79" s="45"/>
      <c r="DZ79" s="45"/>
      <c r="EA79" s="45"/>
      <c r="EB79" s="45"/>
      <c r="EC79" s="45"/>
      <c r="ED79" s="45"/>
      <c r="EE79" s="45"/>
      <c r="EF79" s="45"/>
      <c r="EG79" s="45"/>
      <c r="EH79" s="45"/>
      <c r="EI79" s="45"/>
      <c r="EJ79" s="45"/>
      <c r="EK79" s="45"/>
      <c r="EL79" s="45"/>
      <c r="EM79" s="45"/>
      <c r="EN79" s="45"/>
      <c r="EO79" s="45"/>
      <c r="EP79" s="45"/>
      <c r="EQ79" s="45"/>
      <c r="ER79" s="45"/>
      <c r="ES79" s="45"/>
      <c r="ET79" s="45"/>
      <c r="EU79" s="45"/>
      <c r="EV79" s="45"/>
      <c r="EW79" s="45"/>
      <c r="EX79" s="45"/>
      <c r="EY79" s="45"/>
      <c r="EZ79" s="45"/>
      <c r="FA79" s="45"/>
      <c r="FB79" s="45"/>
      <c r="FC79" s="45"/>
      <c r="FD79" s="45"/>
      <c r="FE79" s="45"/>
      <c r="FF79" s="45"/>
      <c r="FG79" s="45"/>
      <c r="FH79" s="45"/>
      <c r="FI79" s="45"/>
      <c r="FJ79" s="45"/>
      <c r="FK79" s="45"/>
      <c r="FL79" s="45"/>
      <c r="FM79" s="45"/>
      <c r="FN79" s="45"/>
      <c r="FO79" s="45"/>
      <c r="FP79" s="45"/>
      <c r="FQ79" s="45"/>
      <c r="FR79" s="45"/>
      <c r="FS79" s="45"/>
      <c r="FT79" s="45"/>
      <c r="FU79" s="45"/>
      <c r="FV79" s="45"/>
      <c r="FW79" s="45"/>
      <c r="FX79" s="45"/>
      <c r="FY79" s="45"/>
      <c r="FZ79" s="45"/>
      <c r="GA79" s="45"/>
      <c r="GB79" s="45"/>
      <c r="GC79" s="45"/>
    </row>
    <row r="80" spans="1:185" s="46" customFormat="1" ht="34.5" customHeight="1">
      <c r="A80" s="99" t="s">
        <v>641</v>
      </c>
      <c r="B80" s="50" t="str">
        <f>LOWER(
  IF(
    RIGHT(
      SUBSTITUTE(SUBSTITUTE(SUBSTITUTE(SUBSTITUTE(SUBSTITUTE(SUBSTITUTE(SUBSTITUTE(C80,"(","_"),")","_"),"/","_"),":","_"),"-","_")," ","_"),"__","_"),
      1
    )="_",
    LEFT(
      SUBSTITUTE(SUBSTITUTE(SUBSTITUTE(SUBSTITUTE(SUBSTITUTE(SUBSTITUTE(SUBSTITUTE(C80,"(","_"),")","_"),"/","_"),":","_"),"-","_")," ","_"),"__","_"),
      LEN(
        SUBSTITUTE(SUBSTITUTE(SUBSTITUTE(SUBSTITUTE(SUBSTITUTE(SUBSTITUTE(SUBSTITUTE(C80,"(","_"),")","_"),"/","_"),":","_"),"-","_")," ","_"),"__","_")
      )-1
    ),
    SUBSTITUTE(SUBSTITUTE(SUBSTITUTE(SUBSTITUTE(SUBSTITUTE(SUBSTITUTE(SUBSTITUTE(C80,"(","_"),")","_"),"/","_"),":","_"),"-","_")," ","_"),"__","_")
  )
)</f>
        <v>experiment_title</v>
      </c>
      <c r="C80" s="49" t="s">
        <v>642</v>
      </c>
      <c r="D80" s="50" t="s">
        <v>643</v>
      </c>
      <c r="E80" s="49" t="s">
        <v>64</v>
      </c>
      <c r="F80" s="49" t="s">
        <v>65</v>
      </c>
      <c r="G80" s="49"/>
      <c r="H80" s="49"/>
      <c r="I80" s="49"/>
      <c r="J80" s="49"/>
      <c r="K80" s="49"/>
      <c r="L80" s="49"/>
      <c r="M80" s="49"/>
      <c r="N80" s="49"/>
      <c r="O80" s="49"/>
      <c r="P80" s="49" t="s">
        <v>639</v>
      </c>
      <c r="Q80" s="49" t="s">
        <v>639</v>
      </c>
      <c r="R80" s="49"/>
      <c r="S80" s="49"/>
      <c r="T80" s="49"/>
      <c r="U80" s="49"/>
      <c r="V80" s="50" t="s">
        <v>390</v>
      </c>
      <c r="W80" s="50" t="s">
        <v>391</v>
      </c>
      <c r="X80" s="48" t="s">
        <v>116</v>
      </c>
      <c r="Y80" s="48" t="s">
        <v>620</v>
      </c>
      <c r="Z80" s="48"/>
      <c r="AA80" s="49" t="str">
        <f>"[" &amp; _xlfn.TEXTJOIN(", ", TRUE,
    IF(I80&lt;&gt;"", """" &amp; I$1 &amp; """", ""),
    IF(J80&lt;&gt;"", """" &amp; J$1 &amp; """", ""),
    IF(K80&lt;&gt;"", """" &amp; K$1 &amp; """", ""),
    IF(L80&lt;&gt;"", """" &amp; L$1 &amp; """", ""),
    IF(M80&lt;&gt;"", """" &amp; M$1 &amp; """", ""),    IF(N80&lt;&gt;"", """" &amp; N$1 &amp; """", ""),    IF(O80&lt;&gt;"", """" &amp; O$1 &amp; """", ""),     IF(P80&lt;&gt;"", """" &amp; P$1 &amp; """", ""),     IF(Q80&lt;&gt;"", """" &amp; Q$1 &amp; """", ""), IF(R80&lt;&gt;"", """" &amp; R$1 &amp; """", ""), IF(S80&lt;&gt;"", """" &amp; S$1 &amp; """", ""), IF(T80&lt;&gt;"", """" &amp; T$1 &amp; """", ""), IF(U80&lt;&gt;"", """" &amp; U$1 &amp; """", ""),
    IF(X80&lt;&gt;"", """" &amp; X80 &amp; """", ""), IF(V80&lt;&gt;"", """" &amp; V80 &amp; """", ""), IF(W80&lt;&gt;"", """" &amp; W80 &amp; """", ""),
    IF(Y80&lt;&gt;"", """" &amp; Y80 &amp; """", ""),
    IF(Z80&lt;&gt;"", """" &amp; Z80 &amp; """", "")
) &amp; "]"</f>
        <v>["ENA ERC32", "ENA ERC33", "Organizational", "ENA Experiment", "VJDB Experiment", "Study"]</v>
      </c>
      <c r="AB80" s="49"/>
      <c r="AC80" s="49" t="s">
        <v>70</v>
      </c>
      <c r="AD80" s="49"/>
      <c r="AE80" s="49"/>
      <c r="AF80" s="49"/>
      <c r="AG80" s="49"/>
      <c r="AH80" s="49"/>
      <c r="AI80" s="49"/>
      <c r="AJ80" s="49"/>
      <c r="AK80" s="49"/>
      <c r="AL80" s="49"/>
      <c r="AM80" s="49"/>
      <c r="AN80" s="49"/>
      <c r="AO80" s="49"/>
      <c r="AP80" s="49" t="s">
        <v>644</v>
      </c>
      <c r="AQ80" s="49"/>
      <c r="AR80" s="49"/>
      <c r="AS80" s="49" t="s">
        <v>645</v>
      </c>
      <c r="AT80" s="49"/>
      <c r="AU80" s="49" t="s">
        <v>151</v>
      </c>
      <c r="AV80" s="49" t="s">
        <v>130</v>
      </c>
      <c r="AW80" s="49" t="s">
        <v>130</v>
      </c>
      <c r="AX80" s="54"/>
      <c r="AY80" s="49" t="s">
        <v>131</v>
      </c>
      <c r="AZ80" s="48" t="s">
        <v>64</v>
      </c>
      <c r="BA80" s="48" t="s">
        <v>72</v>
      </c>
      <c r="BB80" s="49"/>
      <c r="BC80" s="49" t="s">
        <v>73</v>
      </c>
      <c r="BD80" s="49" t="s">
        <v>499</v>
      </c>
      <c r="BE80" s="49"/>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45"/>
      <c r="DR80" s="45"/>
      <c r="DS80" s="45"/>
      <c r="DT80" s="45"/>
      <c r="DU80" s="45"/>
      <c r="DV80" s="45"/>
      <c r="DW80" s="45"/>
      <c r="DX80" s="45"/>
      <c r="DY80" s="45"/>
      <c r="DZ80" s="45"/>
      <c r="EA80" s="45"/>
      <c r="EB80" s="45"/>
      <c r="EC80" s="45"/>
      <c r="ED80" s="45"/>
      <c r="EE80" s="45"/>
      <c r="EF80" s="45"/>
      <c r="EG80" s="45"/>
      <c r="EH80" s="45"/>
      <c r="EI80" s="45"/>
      <c r="EJ80" s="45"/>
      <c r="EK80" s="45"/>
      <c r="EL80" s="45"/>
      <c r="EM80" s="45"/>
      <c r="EN80" s="45"/>
      <c r="EO80" s="45"/>
      <c r="EP80" s="45"/>
      <c r="EQ80" s="45"/>
      <c r="ER80" s="45"/>
      <c r="ES80" s="45"/>
      <c r="ET80" s="45"/>
      <c r="EU80" s="45"/>
      <c r="EV80" s="45"/>
      <c r="EW80" s="45"/>
      <c r="EX80" s="45"/>
      <c r="EY80" s="45"/>
      <c r="EZ80" s="45"/>
      <c r="FA80" s="45"/>
      <c r="FB80" s="45"/>
      <c r="FC80" s="45"/>
      <c r="FD80" s="45"/>
      <c r="FE80" s="45"/>
      <c r="FF80" s="45"/>
      <c r="FG80" s="45"/>
      <c r="FH80" s="45"/>
      <c r="FI80" s="45"/>
      <c r="FJ80" s="45"/>
      <c r="FK80" s="45"/>
      <c r="FL80" s="45"/>
      <c r="FM80" s="45"/>
      <c r="FN80" s="45"/>
      <c r="FO80" s="45"/>
      <c r="FP80" s="45"/>
      <c r="FQ80" s="45"/>
      <c r="FR80" s="45"/>
      <c r="FS80" s="45"/>
      <c r="FT80" s="45"/>
      <c r="FU80" s="45"/>
      <c r="FV80" s="45"/>
      <c r="FW80" s="45"/>
      <c r="FX80" s="45"/>
      <c r="FY80" s="45"/>
      <c r="FZ80" s="45"/>
      <c r="GA80" s="45"/>
      <c r="GB80" s="45"/>
      <c r="GC80" s="45"/>
    </row>
    <row r="81" spans="1:185" s="46" customFormat="1" ht="34.5" customHeight="1">
      <c r="A81" s="99" t="s">
        <v>646</v>
      </c>
      <c r="B81" s="50" t="str">
        <f>LOWER(
  IF(
    RIGHT(
      SUBSTITUTE(SUBSTITUTE(SUBSTITUTE(SUBSTITUTE(SUBSTITUTE(SUBSTITUTE(SUBSTITUTE(C81,"(","_"),")","_"),"/","_"),":","_"),"-","_")," ","_"),"__","_"),
      1
    )="_",
    LEFT(
      SUBSTITUTE(SUBSTITUTE(SUBSTITUTE(SUBSTITUTE(SUBSTITUTE(SUBSTITUTE(SUBSTITUTE(C81,"(","_"),")","_"),"/","_"),":","_"),"-","_")," ","_"),"__","_"),
      LEN(
        SUBSTITUTE(SUBSTITUTE(SUBSTITUTE(SUBSTITUTE(SUBSTITUTE(SUBSTITUTE(SUBSTITUTE(C81,"(","_"),")","_"),"/","_"),":","_"),"-","_")," ","_"),"__","_")
      )-1
    ),
    SUBSTITUTE(SUBSTITUTE(SUBSTITUTE(SUBSTITUTE(SUBSTITUTE(SUBSTITUTE(SUBSTITUTE(C81,"(","_"),")","_"),"/","_"),":","_"),"-","_")," ","_"),"__","_")
  )
)</f>
        <v>sample_title</v>
      </c>
      <c r="C81" s="49" t="s">
        <v>647</v>
      </c>
      <c r="D81" s="50" t="s">
        <v>648</v>
      </c>
      <c r="E81" s="49" t="s">
        <v>64</v>
      </c>
      <c r="F81" s="49" t="s">
        <v>65</v>
      </c>
      <c r="G81" s="49"/>
      <c r="H81" s="49"/>
      <c r="I81" s="49"/>
      <c r="J81" s="49"/>
      <c r="K81" s="49"/>
      <c r="L81" s="49"/>
      <c r="M81" s="49"/>
      <c r="N81" s="49"/>
      <c r="O81" s="49"/>
      <c r="P81" s="49" t="s">
        <v>639</v>
      </c>
      <c r="Q81" s="49" t="s">
        <v>639</v>
      </c>
      <c r="R81" s="49"/>
      <c r="S81" s="49"/>
      <c r="T81" s="49"/>
      <c r="U81" s="49"/>
      <c r="V81" s="50" t="s">
        <v>125</v>
      </c>
      <c r="W81" s="50" t="s">
        <v>126</v>
      </c>
      <c r="X81" s="48" t="s">
        <v>116</v>
      </c>
      <c r="Y81" s="48" t="s">
        <v>620</v>
      </c>
      <c r="Z81" s="48"/>
      <c r="AA81" s="49" t="str">
        <f>"[" &amp; _xlfn.TEXTJOIN(", ", TRUE,
    IF(I81&lt;&gt;"", """" &amp; I$1 &amp; """", ""),
    IF(J81&lt;&gt;"", """" &amp; J$1 &amp; """", ""),
    IF(K81&lt;&gt;"", """" &amp; K$1 &amp; """", ""),
    IF(L81&lt;&gt;"", """" &amp; L$1 &amp; """", ""),
    IF(M81&lt;&gt;"", """" &amp; M$1 &amp; """", ""),    IF(N81&lt;&gt;"", """" &amp; N$1 &amp; """", ""),    IF(O81&lt;&gt;"", """" &amp; O$1 &amp; """", ""),     IF(P81&lt;&gt;"", """" &amp; P$1 &amp; """", ""),     IF(Q81&lt;&gt;"", """" &amp; Q$1 &amp; """", ""), IF(R81&lt;&gt;"", """" &amp; R$1 &amp; """", ""), IF(S81&lt;&gt;"", """" &amp; S$1 &amp; """", ""), IF(T81&lt;&gt;"", """" &amp; T$1 &amp; """", ""), IF(U81&lt;&gt;"", """" &amp; U$1 &amp; """", ""),
    IF(X81&lt;&gt;"", """" &amp; X81 &amp; """", ""), IF(V81&lt;&gt;"", """" &amp; V81 &amp; """", ""), IF(W81&lt;&gt;"", """" &amp; W81 &amp; """", ""),
    IF(Y81&lt;&gt;"", """" &amp; Y81 &amp; """", ""),
    IF(Z81&lt;&gt;"", """" &amp; Z81 &amp; """", "")
) &amp; "]"</f>
        <v>["ENA ERC32", "ENA ERC33", "Organizational", "ENA Sample", "VJDB Sample", "Study"]</v>
      </c>
      <c r="AB81" s="49"/>
      <c r="AC81" s="49" t="s">
        <v>70</v>
      </c>
      <c r="AD81" s="49"/>
      <c r="AE81" s="49"/>
      <c r="AF81" s="49"/>
      <c r="AG81" s="49"/>
      <c r="AH81" s="49"/>
      <c r="AI81" s="49"/>
      <c r="AJ81" s="49"/>
      <c r="AK81" s="49"/>
      <c r="AL81" s="49"/>
      <c r="AM81" s="49"/>
      <c r="AN81" s="49"/>
      <c r="AO81" s="49"/>
      <c r="AP81" s="49" t="s">
        <v>649</v>
      </c>
      <c r="AQ81" s="49"/>
      <c r="AR81" s="49"/>
      <c r="AS81" s="49" t="s">
        <v>649</v>
      </c>
      <c r="AT81" s="49"/>
      <c r="AU81" s="49" t="s">
        <v>151</v>
      </c>
      <c r="AV81" s="49" t="s">
        <v>130</v>
      </c>
      <c r="AW81" s="49" t="s">
        <v>130</v>
      </c>
      <c r="AX81" s="54"/>
      <c r="AY81" s="49" t="s">
        <v>131</v>
      </c>
      <c r="AZ81" s="48" t="s">
        <v>64</v>
      </c>
      <c r="BA81" s="48" t="s">
        <v>72</v>
      </c>
      <c r="BB81" s="49"/>
      <c r="BC81" s="49" t="s">
        <v>73</v>
      </c>
      <c r="BD81" s="49" t="s">
        <v>499</v>
      </c>
      <c r="BE81" s="49"/>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45"/>
      <c r="EY81" s="45"/>
      <c r="EZ81" s="45"/>
      <c r="FA81" s="45"/>
      <c r="FB81" s="45"/>
      <c r="FC81" s="45"/>
      <c r="FD81" s="45"/>
      <c r="FE81" s="45"/>
      <c r="FF81" s="45"/>
      <c r="FG81" s="45"/>
      <c r="FH81" s="45"/>
      <c r="FI81" s="45"/>
      <c r="FJ81" s="45"/>
      <c r="FK81" s="45"/>
      <c r="FL81" s="45"/>
      <c r="FM81" s="45"/>
      <c r="FN81" s="45"/>
      <c r="FO81" s="45"/>
      <c r="FP81" s="45"/>
      <c r="FQ81" s="45"/>
      <c r="FR81" s="45"/>
      <c r="FS81" s="45"/>
      <c r="FT81" s="45"/>
      <c r="FU81" s="45"/>
      <c r="FV81" s="45"/>
      <c r="FW81" s="45"/>
      <c r="FX81" s="45"/>
      <c r="FY81" s="45"/>
      <c r="FZ81" s="45"/>
      <c r="GA81" s="45"/>
      <c r="GB81" s="45"/>
      <c r="GC81" s="45"/>
    </row>
    <row r="82" spans="1:185" s="46" customFormat="1" ht="34.5" customHeight="1">
      <c r="A82" s="99" t="s">
        <v>650</v>
      </c>
      <c r="B82" s="50" t="str">
        <f>LOWER(
  IF(
    RIGHT(
      SUBSTITUTE(SUBSTITUTE(SUBSTITUTE(SUBSTITUTE(SUBSTITUTE(SUBSTITUTE(SUBSTITUTE(C82,"(","_"),")","_"),"/","_"),":","_"),"-","_")," ","_"),"__","_"),
      1
    )="_",
    LEFT(
      SUBSTITUTE(SUBSTITUTE(SUBSTITUTE(SUBSTITUTE(SUBSTITUTE(SUBSTITUTE(SUBSTITUTE(C82,"(","_"),")","_"),"/","_"),":","_"),"-","_")," ","_"),"__","_"),
      LEN(
        SUBSTITUTE(SUBSTITUTE(SUBSTITUTE(SUBSTITUTE(SUBSTITUTE(SUBSTITUTE(SUBSTITUTE(C82,"(","_"),")","_"),"/","_"),":","_"),"-","_")," ","_"),"__","_")
      )-1
    ),
    SUBSTITUTE(SUBSTITUTE(SUBSTITUTE(SUBSTITUTE(SUBSTITUTE(SUBSTITUTE(SUBSTITUTE(C82,"(","_"),")","_"),"/","_"),":","_"),"-","_")," ","_"),"__","_")
  )
)</f>
        <v>type_exposure</v>
      </c>
      <c r="C82" s="49" t="s">
        <v>651</v>
      </c>
      <c r="D82" s="50" t="s">
        <v>652</v>
      </c>
      <c r="E82" s="49" t="s">
        <v>64</v>
      </c>
      <c r="F82" s="49" t="s">
        <v>65</v>
      </c>
      <c r="G82" s="49"/>
      <c r="H82" s="49"/>
      <c r="I82" s="49"/>
      <c r="J82" s="49"/>
      <c r="K82" s="49"/>
      <c r="L82" s="49"/>
      <c r="M82" s="49"/>
      <c r="N82" s="49"/>
      <c r="O82" s="49"/>
      <c r="P82" s="49" t="s">
        <v>653</v>
      </c>
      <c r="Q82" s="49" t="s">
        <v>653</v>
      </c>
      <c r="R82" s="49"/>
      <c r="S82" s="49"/>
      <c r="T82" s="49"/>
      <c r="U82" s="49"/>
      <c r="V82" s="50" t="s">
        <v>125</v>
      </c>
      <c r="W82" s="50" t="s">
        <v>126</v>
      </c>
      <c r="X82" s="48" t="s">
        <v>68</v>
      </c>
      <c r="Y82" s="48" t="s">
        <v>241</v>
      </c>
      <c r="Z82" s="48"/>
      <c r="AA82" s="49" t="str">
        <f>"[" &amp; _xlfn.TEXTJOIN(", ", TRUE,
    IF(I82&lt;&gt;"", """" &amp; I$1 &amp; """", ""),
    IF(J82&lt;&gt;"", """" &amp; J$1 &amp; """", ""),
    IF(K82&lt;&gt;"", """" &amp; K$1 &amp; """", ""),
    IF(L82&lt;&gt;"", """" &amp; L$1 &amp; """", ""),
    IF(M82&lt;&gt;"", """" &amp; M$1 &amp; """", ""),    IF(N82&lt;&gt;"", """" &amp; N$1 &amp; """", ""),    IF(O82&lt;&gt;"", """" &amp; O$1 &amp; """", ""),     IF(P82&lt;&gt;"", """" &amp; P$1 &amp; """", ""),     IF(Q82&lt;&gt;"", """" &amp; Q$1 &amp; """", ""), IF(R82&lt;&gt;"", """" &amp; R$1 &amp; """", ""), IF(S82&lt;&gt;"", """" &amp; S$1 &amp; """", ""), IF(T82&lt;&gt;"", """" &amp; T$1 &amp; """", ""), IF(U82&lt;&gt;"", """" &amp; U$1 &amp; """", ""),
    IF(X82&lt;&gt;"", """" &amp; X82 &amp; """", ""), IF(V82&lt;&gt;"", """" &amp; V82 &amp; """", ""), IF(W82&lt;&gt;"", """" &amp; W82 &amp; """", ""),
    IF(Y82&lt;&gt;"", """" &amp; Y82 &amp; """", ""),
    IF(Z82&lt;&gt;"", """" &amp; Z82 &amp; """", "")
) &amp; "]"</f>
        <v>["ENA ERC32", "ENA ERC33", "Sample", "ENA Sample", "VJDB Sample", "Clinical "]</v>
      </c>
      <c r="AB82" s="49"/>
      <c r="AC82" s="49"/>
      <c r="AD82" s="49"/>
      <c r="AE82" s="49"/>
      <c r="AF82" s="49"/>
      <c r="AG82" s="49"/>
      <c r="AH82" s="49"/>
      <c r="AI82" s="49"/>
      <c r="AJ82" s="49"/>
      <c r="AK82" s="49"/>
      <c r="AL82" s="49"/>
      <c r="AM82" s="49"/>
      <c r="AN82" s="49"/>
      <c r="AO82" s="49"/>
      <c r="AP82" s="49" t="s">
        <v>654</v>
      </c>
      <c r="AQ82" s="49"/>
      <c r="AR82" s="49"/>
      <c r="AS82" s="49" t="s">
        <v>654</v>
      </c>
      <c r="AT82" s="49"/>
      <c r="AU82" s="49" t="s">
        <v>151</v>
      </c>
      <c r="AV82" s="49" t="s">
        <v>227</v>
      </c>
      <c r="AW82" s="49" t="s">
        <v>227</v>
      </c>
      <c r="AX82" s="54" t="s">
        <v>655</v>
      </c>
      <c r="AY82" s="49" t="s">
        <v>656</v>
      </c>
      <c r="AZ82" s="49" t="s">
        <v>64</v>
      </c>
      <c r="BA82" s="49" t="s">
        <v>119</v>
      </c>
      <c r="BB82" s="49"/>
      <c r="BC82" s="49" t="s">
        <v>73</v>
      </c>
      <c r="BD82" s="49" t="s">
        <v>499</v>
      </c>
      <c r="BE82" s="49"/>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c r="FB82" s="45"/>
      <c r="FC82" s="45"/>
      <c r="FD82" s="45"/>
      <c r="FE82" s="45"/>
      <c r="FF82" s="45"/>
      <c r="FG82" s="45"/>
      <c r="FH82" s="45"/>
      <c r="FI82" s="45"/>
      <c r="FJ82" s="45"/>
      <c r="FK82" s="45"/>
      <c r="FL82" s="45"/>
      <c r="FM82" s="45"/>
      <c r="FN82" s="45"/>
      <c r="FO82" s="45"/>
      <c r="FP82" s="45"/>
      <c r="FQ82" s="45"/>
      <c r="FR82" s="45"/>
      <c r="FS82" s="45"/>
      <c r="FT82" s="45"/>
      <c r="FU82" s="45"/>
      <c r="FV82" s="45"/>
      <c r="FW82" s="45"/>
      <c r="FX82" s="45"/>
      <c r="FY82" s="45"/>
      <c r="FZ82" s="45"/>
      <c r="GA82" s="45"/>
      <c r="GB82" s="45"/>
      <c r="GC82" s="45"/>
    </row>
    <row r="83" spans="1:185" s="46" customFormat="1" ht="34.5" customHeight="1">
      <c r="A83" s="99" t="s">
        <v>657</v>
      </c>
      <c r="B83" s="50" t="str">
        <f>LOWER(
  IF(
    RIGHT(
      SUBSTITUTE(SUBSTITUTE(SUBSTITUTE(SUBSTITUTE(SUBSTITUTE(SUBSTITUTE(SUBSTITUTE(C83,"(","_"),")","_"),"/","_"),":","_"),"-","_")," ","_"),"__","_"),
      1
    )="_",
    LEFT(
      SUBSTITUTE(SUBSTITUTE(SUBSTITUTE(SUBSTITUTE(SUBSTITUTE(SUBSTITUTE(SUBSTITUTE(C83,"(","_"),")","_"),"/","_"),":","_"),"-","_")," ","_"),"__","_"),
      LEN(
        SUBSTITUTE(SUBSTITUTE(SUBSTITUTE(SUBSTITUTE(SUBSTITUTE(SUBSTITUTE(SUBSTITUTE(C83,"(","_"),")","_"),"/","_"),":","_"),"-","_")," ","_"),"__","_")
      )-1
    ),
    SUBSTITUTE(SUBSTITUTE(SUBSTITUTE(SUBSTITUTE(SUBSTITUTE(SUBSTITUTE(SUBSTITUTE(C83,"(","_"),")","_"),"/","_"),":","_"),"-","_")," ","_"),"__","_")
  )
)</f>
        <v>vaccine_dosage</v>
      </c>
      <c r="C83" s="49" t="s">
        <v>658</v>
      </c>
      <c r="D83" s="50" t="s">
        <v>659</v>
      </c>
      <c r="E83" s="49" t="s">
        <v>92</v>
      </c>
      <c r="F83" s="49" t="s">
        <v>65</v>
      </c>
      <c r="G83" s="49"/>
      <c r="H83" s="49"/>
      <c r="I83" s="49"/>
      <c r="J83" s="49"/>
      <c r="K83" s="49"/>
      <c r="L83" s="49"/>
      <c r="M83" s="49"/>
      <c r="N83" s="49"/>
      <c r="O83" s="49"/>
      <c r="P83" s="49" t="s">
        <v>660</v>
      </c>
      <c r="Q83" s="49"/>
      <c r="R83" s="49"/>
      <c r="S83" s="49"/>
      <c r="T83" s="49"/>
      <c r="U83" s="49"/>
      <c r="V83" s="50" t="s">
        <v>125</v>
      </c>
      <c r="W83" s="50" t="s">
        <v>126</v>
      </c>
      <c r="X83" s="48" t="s">
        <v>68</v>
      </c>
      <c r="Y83" s="48" t="s">
        <v>241</v>
      </c>
      <c r="Z83" s="48"/>
      <c r="AA83" s="49" t="str">
        <f>"[" &amp; _xlfn.TEXTJOIN(", ", TRUE,
    IF(I83&lt;&gt;"", """" &amp; I$1 &amp; """", ""),
    IF(J83&lt;&gt;"", """" &amp; J$1 &amp; """", ""),
    IF(K83&lt;&gt;"", """" &amp; K$1 &amp; """", ""),
    IF(L83&lt;&gt;"", """" &amp; L$1 &amp; """", ""),
    IF(M83&lt;&gt;"", """" &amp; M$1 &amp; """", ""),    IF(N83&lt;&gt;"", """" &amp; N$1 &amp; """", ""),    IF(O83&lt;&gt;"", """" &amp; O$1 &amp; """", ""),     IF(P83&lt;&gt;"", """" &amp; P$1 &amp; """", ""),     IF(Q83&lt;&gt;"", """" &amp; Q$1 &amp; """", ""), IF(R83&lt;&gt;"", """" &amp; R$1 &amp; """", ""), IF(S83&lt;&gt;"", """" &amp; S$1 &amp; """", ""), IF(T83&lt;&gt;"", """" &amp; T$1 &amp; """", ""), IF(U83&lt;&gt;"", """" &amp; U$1 &amp; """", ""),
    IF(X83&lt;&gt;"", """" &amp; X83 &amp; """", ""), IF(V83&lt;&gt;"", """" &amp; V83 &amp; """", ""), IF(W83&lt;&gt;"", """" &amp; W83 &amp; """", ""),
    IF(Y83&lt;&gt;"", """" &amp; Y83 &amp; """", ""),
    IF(Z83&lt;&gt;"", """" &amp; Z83 &amp; """", "")
) &amp; "]"</f>
        <v>["ENA ERC32", "Sample", "ENA Sample", "VJDB Sample", "Clinical "]</v>
      </c>
      <c r="AB83" s="49"/>
      <c r="AC83" s="49"/>
      <c r="AD83" s="49"/>
      <c r="AE83" s="49"/>
      <c r="AF83" s="49"/>
      <c r="AG83" s="49"/>
      <c r="AH83" s="49"/>
      <c r="AI83" s="49"/>
      <c r="AJ83" s="49"/>
      <c r="AK83" s="49"/>
      <c r="AL83" s="49"/>
      <c r="AM83" s="49"/>
      <c r="AN83" s="49"/>
      <c r="AO83" s="49"/>
      <c r="AP83" s="49" t="s">
        <v>661</v>
      </c>
      <c r="AQ83" s="48"/>
      <c r="AR83" s="48"/>
      <c r="AS83" s="48"/>
      <c r="AT83" s="48"/>
      <c r="AU83" s="48"/>
      <c r="AV83" s="49" t="s">
        <v>227</v>
      </c>
      <c r="AW83" s="49" t="s">
        <v>227</v>
      </c>
      <c r="AX83" s="54" t="s">
        <v>662</v>
      </c>
      <c r="AY83" s="49" t="s">
        <v>477</v>
      </c>
      <c r="AZ83" s="48" t="s">
        <v>64</v>
      </c>
      <c r="BA83" s="48" t="s">
        <v>72</v>
      </c>
      <c r="BB83" s="49"/>
      <c r="BC83" s="49" t="s">
        <v>73</v>
      </c>
      <c r="BD83" s="49" t="s">
        <v>499</v>
      </c>
      <c r="BE83" s="49"/>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45"/>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c r="ER83" s="45"/>
      <c r="ES83" s="45"/>
      <c r="ET83" s="45"/>
      <c r="EU83" s="45"/>
      <c r="EV83" s="45"/>
      <c r="EW83" s="45"/>
      <c r="EX83" s="45"/>
      <c r="EY83" s="45"/>
      <c r="EZ83" s="45"/>
      <c r="FA83" s="45"/>
      <c r="FB83" s="45"/>
      <c r="FC83" s="45"/>
      <c r="FD83" s="45"/>
      <c r="FE83" s="45"/>
      <c r="FF83" s="45"/>
      <c r="FG83" s="45"/>
      <c r="FH83" s="45"/>
      <c r="FI83" s="45"/>
      <c r="FJ83" s="45"/>
      <c r="FK83" s="45"/>
      <c r="FL83" s="45"/>
      <c r="FM83" s="45"/>
      <c r="FN83" s="45"/>
      <c r="FO83" s="45"/>
      <c r="FP83" s="45"/>
      <c r="FQ83" s="45"/>
      <c r="FR83" s="45"/>
      <c r="FS83" s="45"/>
      <c r="FT83" s="45"/>
      <c r="FU83" s="45"/>
      <c r="FV83" s="45"/>
      <c r="FW83" s="45"/>
      <c r="FX83" s="45"/>
      <c r="FY83" s="45"/>
      <c r="FZ83" s="45"/>
      <c r="GA83" s="45"/>
      <c r="GB83" s="45"/>
      <c r="GC83" s="45"/>
    </row>
    <row r="84" spans="1:185" s="46" customFormat="1" ht="34.5" customHeight="1">
      <c r="A84" s="99" t="s">
        <v>663</v>
      </c>
      <c r="B84" s="50" t="str">
        <f>LOWER(
  IF(
    RIGHT(
      SUBSTITUTE(SUBSTITUTE(SUBSTITUTE(SUBSTITUTE(SUBSTITUTE(SUBSTITUTE(SUBSTITUTE(C84,"(","_"),")","_"),"/","_"),":","_"),"-","_")," ","_"),"__","_"),
      1
    )="_",
    LEFT(
      SUBSTITUTE(SUBSTITUTE(SUBSTITUTE(SUBSTITUTE(SUBSTITUTE(SUBSTITUTE(SUBSTITUTE(C84,"(","_"),")","_"),"/","_"),":","_"),"-","_")," ","_"),"__","_"),
      LEN(
        SUBSTITUTE(SUBSTITUTE(SUBSTITUTE(SUBSTITUTE(SUBSTITUTE(SUBSTITUTE(SUBSTITUTE(C84,"(","_"),")","_"),"/","_"),":","_"),"-","_")," ","_"),"__","_")
      )-1
    ),
    SUBSTITUTE(SUBSTITUTE(SUBSTITUTE(SUBSTITUTE(SUBSTITUTE(SUBSTITUTE(SUBSTITUTE(C84,"(","_"),")","_"),"/","_"),":","_"),"-","_")," ","_"),"__","_")
  )
)</f>
        <v>vaccine_lot_number</v>
      </c>
      <c r="C84" s="49" t="s">
        <v>664</v>
      </c>
      <c r="D84" s="50" t="s">
        <v>665</v>
      </c>
      <c r="E84" s="49" t="s">
        <v>98</v>
      </c>
      <c r="F84" s="49" t="s">
        <v>65</v>
      </c>
      <c r="G84" s="49"/>
      <c r="H84" s="49"/>
      <c r="I84" s="49"/>
      <c r="J84" s="49"/>
      <c r="K84" s="49"/>
      <c r="L84" s="49"/>
      <c r="M84" s="49"/>
      <c r="N84" s="49"/>
      <c r="O84" s="49"/>
      <c r="P84" s="49" t="s">
        <v>666</v>
      </c>
      <c r="Q84" s="49"/>
      <c r="R84" s="49"/>
      <c r="S84" s="49"/>
      <c r="T84" s="49"/>
      <c r="U84" s="49"/>
      <c r="V84" s="50" t="s">
        <v>125</v>
      </c>
      <c r="W84" s="50" t="s">
        <v>126</v>
      </c>
      <c r="X84" s="48" t="s">
        <v>68</v>
      </c>
      <c r="Y84" s="48" t="s">
        <v>241</v>
      </c>
      <c r="Z84" s="48"/>
      <c r="AA84" s="49" t="str">
        <f>"[" &amp; _xlfn.TEXTJOIN(", ", TRUE,
    IF(I84&lt;&gt;"", """" &amp; I$1 &amp; """", ""),
    IF(J84&lt;&gt;"", """" &amp; J$1 &amp; """", ""),
    IF(K84&lt;&gt;"", """" &amp; K$1 &amp; """", ""),
    IF(L84&lt;&gt;"", """" &amp; L$1 &amp; """", ""),
    IF(M84&lt;&gt;"", """" &amp; M$1 &amp; """", ""),    IF(N84&lt;&gt;"", """" &amp; N$1 &amp; """", ""),    IF(O84&lt;&gt;"", """" &amp; O$1 &amp; """", ""),     IF(P84&lt;&gt;"", """" &amp; P$1 &amp; """", ""),     IF(Q84&lt;&gt;"", """" &amp; Q$1 &amp; """", ""), IF(R84&lt;&gt;"", """" &amp; R$1 &amp; """", ""), IF(S84&lt;&gt;"", """" &amp; S$1 &amp; """", ""), IF(T84&lt;&gt;"", """" &amp; T$1 &amp; """", ""), IF(U84&lt;&gt;"", """" &amp; U$1 &amp; """", ""),
    IF(X84&lt;&gt;"", """" &amp; X84 &amp; """", ""), IF(V84&lt;&gt;"", """" &amp; V84 &amp; """", ""), IF(W84&lt;&gt;"", """" &amp; W84 &amp; """", ""),
    IF(Y84&lt;&gt;"", """" &amp; Y84 &amp; """", ""),
    IF(Z84&lt;&gt;"", """" &amp; Z84 &amp; """", "")
) &amp; "]"</f>
        <v>["ENA ERC32", "Sample", "ENA Sample", "VJDB Sample", "Clinical "]</v>
      </c>
      <c r="AB84" s="49"/>
      <c r="AC84" s="49" t="s">
        <v>196</v>
      </c>
      <c r="AD84" s="49"/>
      <c r="AE84" s="49"/>
      <c r="AF84" s="49"/>
      <c r="AG84" s="49"/>
      <c r="AH84" s="49"/>
      <c r="AI84" s="49"/>
      <c r="AJ84" s="49"/>
      <c r="AK84" s="49"/>
      <c r="AL84" s="49"/>
      <c r="AM84" s="49"/>
      <c r="AN84" s="49"/>
      <c r="AO84" s="49"/>
      <c r="AP84" s="49" t="s">
        <v>667</v>
      </c>
      <c r="AQ84" s="48"/>
      <c r="AR84" s="48"/>
      <c r="AS84" s="48"/>
      <c r="AT84" s="48"/>
      <c r="AU84" s="48"/>
      <c r="AV84" s="49" t="s">
        <v>227</v>
      </c>
      <c r="AW84" s="49" t="s">
        <v>227</v>
      </c>
      <c r="AX84" s="54"/>
      <c r="AY84" s="49" t="s">
        <v>131</v>
      </c>
      <c r="AZ84" s="48" t="s">
        <v>64</v>
      </c>
      <c r="BA84" s="48" t="s">
        <v>72</v>
      </c>
      <c r="BB84" s="49"/>
      <c r="BC84" s="49" t="s">
        <v>73</v>
      </c>
      <c r="BD84" s="49" t="s">
        <v>499</v>
      </c>
      <c r="BE84" s="49"/>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c r="FX84" s="45"/>
      <c r="FY84" s="45"/>
      <c r="FZ84" s="45"/>
      <c r="GA84" s="45"/>
      <c r="GB84" s="45"/>
      <c r="GC84" s="45"/>
    </row>
    <row r="85" spans="1:185" s="46" customFormat="1" ht="34.5" customHeight="1">
      <c r="A85" s="99" t="s">
        <v>668</v>
      </c>
      <c r="B85" s="50" t="str">
        <f>LOWER(
  IF(
    RIGHT(
      SUBSTITUTE(SUBSTITUTE(SUBSTITUTE(SUBSTITUTE(SUBSTITUTE(SUBSTITUTE(SUBSTITUTE(C85,"(","_"),")","_"),"/","_"),":","_"),"-","_")," ","_"),"__","_"),
      1
    )="_",
    LEFT(
      SUBSTITUTE(SUBSTITUTE(SUBSTITUTE(SUBSTITUTE(SUBSTITUTE(SUBSTITUTE(SUBSTITUTE(C85,"(","_"),")","_"),"/","_"),":","_"),"-","_")," ","_"),"__","_"),
      LEN(
        SUBSTITUTE(SUBSTITUTE(SUBSTITUTE(SUBSTITUTE(SUBSTITUTE(SUBSTITUTE(SUBSTITUTE(C85,"(","_"),")","_"),"/","_"),":","_"),"-","_")," ","_"),"__","_")
      )-1
    ),
    SUBSTITUTE(SUBSTITUTE(SUBSTITUTE(SUBSTITUTE(SUBSTITUTE(SUBSTITUTE(SUBSTITUTE(C85,"(","_"),")","_"),"/","_"),":","_"),"-","_")," ","_"),"__","_")
  )
)</f>
        <v>vaccine_manufacturer</v>
      </c>
      <c r="C85" s="49" t="s">
        <v>669</v>
      </c>
      <c r="D85" s="50" t="s">
        <v>670</v>
      </c>
      <c r="E85" s="49" t="s">
        <v>64</v>
      </c>
      <c r="F85" s="49" t="s">
        <v>65</v>
      </c>
      <c r="G85" s="49"/>
      <c r="H85" s="49"/>
      <c r="I85" s="49"/>
      <c r="J85" s="49"/>
      <c r="K85" s="49"/>
      <c r="L85" s="49"/>
      <c r="M85" s="49"/>
      <c r="N85" s="49"/>
      <c r="O85" s="49"/>
      <c r="P85" s="49" t="s">
        <v>671</v>
      </c>
      <c r="Q85" s="49"/>
      <c r="R85" s="49"/>
      <c r="S85" s="49"/>
      <c r="T85" s="49"/>
      <c r="U85" s="49"/>
      <c r="V85" s="50" t="s">
        <v>125</v>
      </c>
      <c r="W85" s="50" t="s">
        <v>126</v>
      </c>
      <c r="X85" s="48" t="s">
        <v>68</v>
      </c>
      <c r="Y85" s="48" t="s">
        <v>241</v>
      </c>
      <c r="Z85" s="48"/>
      <c r="AA85" s="49" t="str">
        <f>"[" &amp; _xlfn.TEXTJOIN(", ", TRUE,
    IF(I85&lt;&gt;"", """" &amp; I$1 &amp; """", ""),
    IF(J85&lt;&gt;"", """" &amp; J$1 &amp; """", ""),
    IF(K85&lt;&gt;"", """" &amp; K$1 &amp; """", ""),
    IF(L85&lt;&gt;"", """" &amp; L$1 &amp; """", ""),
    IF(M85&lt;&gt;"", """" &amp; M$1 &amp; """", ""),    IF(N85&lt;&gt;"", """" &amp; N$1 &amp; """", ""),    IF(O85&lt;&gt;"", """" &amp; O$1 &amp; """", ""),     IF(P85&lt;&gt;"", """" &amp; P$1 &amp; """", ""),     IF(Q85&lt;&gt;"", """" &amp; Q$1 &amp; """", ""), IF(R85&lt;&gt;"", """" &amp; R$1 &amp; """", ""), IF(S85&lt;&gt;"", """" &amp; S$1 &amp; """", ""), IF(T85&lt;&gt;"", """" &amp; T$1 &amp; """", ""), IF(U85&lt;&gt;"", """" &amp; U$1 &amp; """", ""),
    IF(X85&lt;&gt;"", """" &amp; X85 &amp; """", ""), IF(V85&lt;&gt;"", """" &amp; V85 &amp; """", ""), IF(W85&lt;&gt;"", """" &amp; W85 &amp; """", ""),
    IF(Y85&lt;&gt;"", """" &amp; Y85 &amp; """", ""),
    IF(Z85&lt;&gt;"", """" &amp; Z85 &amp; """", "")
) &amp; "]"</f>
        <v>["ENA ERC32", "Sample", "ENA Sample", "VJDB Sample", "Clinical "]</v>
      </c>
      <c r="AB85" s="49"/>
      <c r="AC85" s="49" t="s">
        <v>196</v>
      </c>
      <c r="AD85" s="49"/>
      <c r="AE85" s="49"/>
      <c r="AF85" s="49"/>
      <c r="AG85" s="49"/>
      <c r="AH85" s="49"/>
      <c r="AI85" s="49"/>
      <c r="AJ85" s="49"/>
      <c r="AK85" s="49"/>
      <c r="AL85" s="49"/>
      <c r="AM85" s="49"/>
      <c r="AN85" s="49"/>
      <c r="AO85" s="49"/>
      <c r="AP85" s="49" t="s">
        <v>672</v>
      </c>
      <c r="AQ85" s="48"/>
      <c r="AR85" s="48"/>
      <c r="AS85" s="48"/>
      <c r="AT85" s="48"/>
      <c r="AU85" s="48"/>
      <c r="AV85" s="49" t="s">
        <v>227</v>
      </c>
      <c r="AW85" s="49" t="s">
        <v>227</v>
      </c>
      <c r="AX85" s="54"/>
      <c r="AY85" s="49" t="s">
        <v>131</v>
      </c>
      <c r="AZ85" s="48" t="s">
        <v>64</v>
      </c>
      <c r="BA85" s="48" t="s">
        <v>72</v>
      </c>
      <c r="BB85" s="49"/>
      <c r="BC85" s="49" t="s">
        <v>73</v>
      </c>
      <c r="BD85" s="49" t="s">
        <v>499</v>
      </c>
      <c r="BE85" s="49"/>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45"/>
      <c r="DR85" s="45"/>
      <c r="DS85" s="45"/>
      <c r="DT85" s="45"/>
      <c r="DU85" s="45"/>
      <c r="DV85" s="45"/>
      <c r="DW85" s="45"/>
      <c r="DX85" s="45"/>
      <c r="DY85" s="45"/>
      <c r="DZ85" s="45"/>
      <c r="EA85" s="45"/>
      <c r="EB85" s="45"/>
      <c r="EC85" s="45"/>
      <c r="ED85" s="45"/>
      <c r="EE85" s="45"/>
      <c r="EF85" s="45"/>
      <c r="EG85" s="45"/>
      <c r="EH85" s="45"/>
      <c r="EI85" s="45"/>
      <c r="EJ85" s="45"/>
      <c r="EK85" s="45"/>
      <c r="EL85" s="45"/>
      <c r="EM85" s="45"/>
      <c r="EN85" s="45"/>
      <c r="EO85" s="45"/>
      <c r="EP85" s="45"/>
      <c r="EQ85" s="45"/>
      <c r="ER85" s="45"/>
      <c r="ES85" s="45"/>
      <c r="ET85" s="45"/>
      <c r="EU85" s="45"/>
      <c r="EV85" s="45"/>
      <c r="EW85" s="45"/>
      <c r="EX85" s="45"/>
      <c r="EY85" s="45"/>
      <c r="EZ85" s="45"/>
      <c r="FA85" s="45"/>
      <c r="FB85" s="45"/>
      <c r="FC85" s="45"/>
      <c r="FD85" s="45"/>
      <c r="FE85" s="45"/>
      <c r="FF85" s="45"/>
      <c r="FG85" s="45"/>
      <c r="FH85" s="45"/>
      <c r="FI85" s="45"/>
      <c r="FJ85" s="45"/>
      <c r="FK85" s="45"/>
      <c r="FL85" s="45"/>
      <c r="FM85" s="45"/>
      <c r="FN85" s="45"/>
      <c r="FO85" s="45"/>
      <c r="FP85" s="45"/>
      <c r="FQ85" s="45"/>
      <c r="FR85" s="45"/>
      <c r="FS85" s="45"/>
      <c r="FT85" s="45"/>
      <c r="FU85" s="45"/>
      <c r="FV85" s="45"/>
      <c r="FW85" s="45"/>
      <c r="FX85" s="45"/>
      <c r="FY85" s="45"/>
      <c r="FZ85" s="45"/>
      <c r="GA85" s="45"/>
      <c r="GB85" s="45"/>
      <c r="GC85" s="45"/>
    </row>
    <row r="86" spans="1:185" s="46" customFormat="1" ht="34.5" customHeight="1">
      <c r="A86" s="99" t="s">
        <v>673</v>
      </c>
      <c r="B86" s="50" t="str">
        <f>LOWER(
  IF(
    RIGHT(
      SUBSTITUTE(SUBSTITUTE(SUBSTITUTE(SUBSTITUTE(SUBSTITUTE(SUBSTITUTE(SUBSTITUTE(C86,"(","_"),")","_"),"/","_"),":","_"),"-","_")," ","_"),"__","_"),
      1
    )="_",
    LEFT(
      SUBSTITUTE(SUBSTITUTE(SUBSTITUTE(SUBSTITUTE(SUBSTITUTE(SUBSTITUTE(SUBSTITUTE(C86,"(","_"),")","_"),"/","_"),":","_"),"-","_")," ","_"),"__","_"),
      LEN(
        SUBSTITUTE(SUBSTITUTE(SUBSTITUTE(SUBSTITUTE(SUBSTITUTE(SUBSTITUTE(SUBSTITUTE(C86,"(","_"),")","_"),"/","_"),":","_"),"-","_")," ","_"),"__","_")
      )-1
    ),
    SUBSTITUTE(SUBSTITUTE(SUBSTITUTE(SUBSTITUTE(SUBSTITUTE(SUBSTITUTE(SUBSTITUTE(C86,"(","_"),")","_"),"/","_"),":","_"),"-","_")," ","_"),"__","_")
  )
)</f>
        <v>who_oie_fao_clade_required_for_hpai_h5n1_viruses</v>
      </c>
      <c r="C86" s="49" t="s">
        <v>674</v>
      </c>
      <c r="D86" s="50" t="s">
        <v>675</v>
      </c>
      <c r="E86" s="49" t="s">
        <v>64</v>
      </c>
      <c r="F86" s="49" t="s">
        <v>65</v>
      </c>
      <c r="G86" s="49"/>
      <c r="H86" s="49"/>
      <c r="I86" s="49"/>
      <c r="J86" s="49"/>
      <c r="K86" s="49"/>
      <c r="L86" s="49"/>
      <c r="M86" s="49"/>
      <c r="N86" s="49"/>
      <c r="O86" s="49"/>
      <c r="P86" s="49" t="s">
        <v>676</v>
      </c>
      <c r="Q86" s="49"/>
      <c r="R86" s="49"/>
      <c r="S86" s="49"/>
      <c r="T86" s="49"/>
      <c r="U86" s="49"/>
      <c r="V86" s="50" t="s">
        <v>125</v>
      </c>
      <c r="W86" s="50" t="s">
        <v>126</v>
      </c>
      <c r="X86" s="48" t="s">
        <v>68</v>
      </c>
      <c r="Y86" s="48" t="s">
        <v>241</v>
      </c>
      <c r="Z86" s="48"/>
      <c r="AA86" s="49" t="str">
        <f>"[" &amp; _xlfn.TEXTJOIN(", ", TRUE,
    IF(I86&lt;&gt;"", """" &amp; I$1 &amp; """", ""),
    IF(J86&lt;&gt;"", """" &amp; J$1 &amp; """", ""),
    IF(K86&lt;&gt;"", """" &amp; K$1 &amp; """", ""),
    IF(L86&lt;&gt;"", """" &amp; L$1 &amp; """", ""),
    IF(M86&lt;&gt;"", """" &amp; M$1 &amp; """", ""),    IF(N86&lt;&gt;"", """" &amp; N$1 &amp; """", ""),    IF(O86&lt;&gt;"", """" &amp; O$1 &amp; """", ""),     IF(P86&lt;&gt;"", """" &amp; P$1 &amp; """", ""),     IF(Q86&lt;&gt;"", """" &amp; Q$1 &amp; """", ""), IF(R86&lt;&gt;"", """" &amp; R$1 &amp; """", ""), IF(S86&lt;&gt;"", """" &amp; S$1 &amp; """", ""), IF(T86&lt;&gt;"", """" &amp; T$1 &amp; """", ""), IF(U86&lt;&gt;"", """" &amp; U$1 &amp; """", ""),
    IF(X86&lt;&gt;"", """" &amp; X86 &amp; """", ""), IF(V86&lt;&gt;"", """" &amp; V86 &amp; """", ""), IF(W86&lt;&gt;"", """" &amp; W86 &amp; """", ""),
    IF(Y86&lt;&gt;"", """" &amp; Y86 &amp; """", ""),
    IF(Z86&lt;&gt;"", """" &amp; Z86 &amp; """", "")
) &amp; "]"</f>
        <v>["ENA ERC32", "Sample", "ENA Sample", "VJDB Sample", "Clinical "]</v>
      </c>
      <c r="AB86" s="49"/>
      <c r="AC86" s="49"/>
      <c r="AD86" s="49"/>
      <c r="AE86" s="49"/>
      <c r="AF86" s="49"/>
      <c r="AG86" s="49"/>
      <c r="AH86" s="49"/>
      <c r="AI86" s="49"/>
      <c r="AJ86" s="49"/>
      <c r="AK86" s="49"/>
      <c r="AL86" s="49"/>
      <c r="AM86" s="49"/>
      <c r="AN86" s="49"/>
      <c r="AO86" s="49"/>
      <c r="AP86" s="49" t="s">
        <v>677</v>
      </c>
      <c r="AQ86" s="48"/>
      <c r="AR86" s="48"/>
      <c r="AS86" s="48"/>
      <c r="AT86" s="48"/>
      <c r="AU86" s="48"/>
      <c r="AV86" s="49" t="s">
        <v>227</v>
      </c>
      <c r="AW86" s="49" t="s">
        <v>227</v>
      </c>
      <c r="AX86" s="54" t="s">
        <v>678</v>
      </c>
      <c r="AY86" s="49" t="s">
        <v>131</v>
      </c>
      <c r="AZ86" s="48" t="s">
        <v>64</v>
      </c>
      <c r="BA86" s="48" t="s">
        <v>72</v>
      </c>
      <c r="BB86" s="49"/>
      <c r="BC86" s="49" t="s">
        <v>73</v>
      </c>
      <c r="BD86" s="49" t="s">
        <v>499</v>
      </c>
      <c r="BE86" s="49"/>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45"/>
      <c r="DR86" s="45"/>
      <c r="DS86" s="45"/>
      <c r="DT86" s="45"/>
      <c r="DU86" s="45"/>
      <c r="DV86" s="45"/>
      <c r="DW86" s="45"/>
      <c r="DX86" s="45"/>
      <c r="DY86" s="45"/>
      <c r="DZ86" s="45"/>
      <c r="EA86" s="45"/>
      <c r="EB86" s="45"/>
      <c r="EC86" s="45"/>
      <c r="ED86" s="45"/>
      <c r="EE86" s="45"/>
      <c r="EF86" s="45"/>
      <c r="EG86" s="45"/>
      <c r="EH86" s="45"/>
      <c r="EI86" s="45"/>
      <c r="EJ86" s="45"/>
      <c r="EK86" s="45"/>
      <c r="EL86" s="45"/>
      <c r="EM86" s="45"/>
      <c r="EN86" s="45"/>
      <c r="EO86" s="45"/>
      <c r="EP86" s="45"/>
      <c r="EQ86" s="45"/>
      <c r="ER86" s="45"/>
      <c r="ES86" s="45"/>
      <c r="ET86" s="45"/>
      <c r="EU86" s="45"/>
      <c r="EV86" s="45"/>
      <c r="EW86" s="45"/>
      <c r="EX86" s="45"/>
      <c r="EY86" s="45"/>
      <c r="EZ86" s="45"/>
      <c r="FA86" s="45"/>
      <c r="FB86" s="45"/>
      <c r="FC86" s="45"/>
      <c r="FD86" s="45"/>
      <c r="FE86" s="45"/>
      <c r="FF86" s="45"/>
      <c r="FG86" s="45"/>
      <c r="FH86" s="45"/>
      <c r="FI86" s="45"/>
      <c r="FJ86" s="45"/>
      <c r="FK86" s="45"/>
      <c r="FL86" s="45"/>
      <c r="FM86" s="45"/>
      <c r="FN86" s="45"/>
      <c r="FO86" s="45"/>
      <c r="FP86" s="45"/>
      <c r="FQ86" s="45"/>
      <c r="FR86" s="45"/>
      <c r="FS86" s="45"/>
      <c r="FT86" s="45"/>
      <c r="FU86" s="45"/>
      <c r="FV86" s="45"/>
      <c r="FW86" s="45"/>
      <c r="FX86" s="45"/>
      <c r="FY86" s="45"/>
      <c r="FZ86" s="45"/>
      <c r="GA86" s="45"/>
      <c r="GB86" s="45"/>
      <c r="GC86" s="45"/>
    </row>
    <row r="87" spans="1:185" s="46" customFormat="1" ht="34.5" customHeight="1">
      <c r="A87" s="99" t="s">
        <v>679</v>
      </c>
      <c r="B87" s="50" t="str">
        <f>LOWER(
  IF(
    RIGHT(
      SUBSTITUTE(SUBSTITUTE(SUBSTITUTE(SUBSTITUTE(SUBSTITUTE(SUBSTITUTE(SUBSTITUTE(C87,"(","_"),")","_"),"/","_"),":","_"),"-","_")," ","_"),"__","_"),
      1
    )="_",
    LEFT(
      SUBSTITUTE(SUBSTITUTE(SUBSTITUTE(SUBSTITUTE(SUBSTITUTE(SUBSTITUTE(SUBSTITUTE(C87,"(","_"),")","_"),"/","_"),":","_"),"-","_")," ","_"),"__","_"),
      LEN(
        SUBSTITUTE(SUBSTITUTE(SUBSTITUTE(SUBSTITUTE(SUBSTITUTE(SUBSTITUTE(SUBSTITUTE(C87,"(","_"),")","_"),"/","_"),":","_"),"-","_")," ","_"),"__","_")
      )-1
    ),
    SUBSTITUTE(SUBSTITUTE(SUBSTITUTE(SUBSTITUTE(SUBSTITUTE(SUBSTITUTE(SUBSTITUTE(C87,"(","_"),")","_"),"/","_"),":","_"),"-","_")," ","_"),"__","_")
  )
)</f>
        <v>virus_old_names</v>
      </c>
      <c r="C87" s="49" t="s">
        <v>680</v>
      </c>
      <c r="D87" s="50" t="s">
        <v>681</v>
      </c>
      <c r="E87" s="49" t="s">
        <v>64</v>
      </c>
      <c r="F87" s="49" t="s">
        <v>65</v>
      </c>
      <c r="G87" s="49"/>
      <c r="H87" s="49"/>
      <c r="I87" s="49"/>
      <c r="J87" s="49"/>
      <c r="K87" s="49"/>
      <c r="L87" s="49"/>
      <c r="M87" s="49"/>
      <c r="N87" s="49"/>
      <c r="O87" s="49"/>
      <c r="P87" s="49"/>
      <c r="Q87" s="49"/>
      <c r="R87" s="49"/>
      <c r="S87" s="49"/>
      <c r="T87" s="49"/>
      <c r="U87" s="49"/>
      <c r="V87" s="49"/>
      <c r="W87" s="49"/>
      <c r="X87" s="48" t="s">
        <v>68</v>
      </c>
      <c r="Y87" s="48" t="s">
        <v>241</v>
      </c>
      <c r="Z87" s="48"/>
      <c r="AA87" s="49" t="str">
        <f>"[" &amp; _xlfn.TEXTJOIN(", ", TRUE,
    IF(I87&lt;&gt;"", """" &amp; I$1 &amp; """", ""),
    IF(J87&lt;&gt;"", """" &amp; J$1 &amp; """", ""),
    IF(K87&lt;&gt;"", """" &amp; K$1 &amp; """", ""),
    IF(L87&lt;&gt;"", """" &amp; L$1 &amp; """", ""),
    IF(M87&lt;&gt;"", """" &amp; M$1 &amp; """", ""),    IF(N87&lt;&gt;"", """" &amp; N$1 &amp; """", ""),    IF(O87&lt;&gt;"", """" &amp; O$1 &amp; """", ""),     IF(P87&lt;&gt;"", """" &amp; P$1 &amp; """", ""),     IF(Q87&lt;&gt;"", """" &amp; Q$1 &amp; """", ""), IF(R87&lt;&gt;"", """" &amp; R$1 &amp; """", ""), IF(S87&lt;&gt;"", """" &amp; S$1 &amp; """", ""), IF(T87&lt;&gt;"", """" &amp; T$1 &amp; """", ""), IF(U87&lt;&gt;"", """" &amp; U$1 &amp; """", ""),
    IF(X87&lt;&gt;"", """" &amp; X87 &amp; """", ""), IF(V87&lt;&gt;"", """" &amp; V87 &amp; """", ""), IF(W87&lt;&gt;"", """" &amp; W87 &amp; """", ""),
    IF(Y87&lt;&gt;"", """" &amp; Y87 &amp; """", ""),
    IF(Z87&lt;&gt;"", """" &amp; Z87 &amp; """", "")
) &amp; "]"</f>
        <v>["Sample", "Clinical "]</v>
      </c>
      <c r="AB87" s="49"/>
      <c r="AC87" s="49" t="s">
        <v>70</v>
      </c>
      <c r="AD87" s="49"/>
      <c r="AE87" s="49"/>
      <c r="AF87" s="49"/>
      <c r="AG87" s="49"/>
      <c r="AH87" s="49"/>
      <c r="AI87" s="49"/>
      <c r="AJ87" s="49"/>
      <c r="AK87" s="49"/>
      <c r="AL87" s="49"/>
      <c r="AM87" s="49"/>
      <c r="AN87" s="49"/>
      <c r="AO87" s="49"/>
      <c r="AP87" s="49"/>
      <c r="AQ87" s="49"/>
      <c r="AR87" s="49"/>
      <c r="AS87" s="49"/>
      <c r="AT87" s="49"/>
      <c r="AU87" s="49"/>
      <c r="AV87" s="49"/>
      <c r="AW87" s="49"/>
      <c r="AX87" s="54"/>
      <c r="AY87" s="49"/>
      <c r="AZ87" s="49"/>
      <c r="BA87" s="49"/>
      <c r="BB87" s="49"/>
      <c r="BC87" s="49" t="s">
        <v>73</v>
      </c>
      <c r="BD87" s="49" t="s">
        <v>499</v>
      </c>
      <c r="BE87" s="49"/>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45"/>
      <c r="DR87" s="45"/>
      <c r="DS87" s="45"/>
      <c r="DT87" s="45"/>
      <c r="DU87" s="45"/>
      <c r="DV87" s="45"/>
      <c r="DW87" s="45"/>
      <c r="DX87" s="45"/>
      <c r="DY87" s="45"/>
      <c r="DZ87" s="45"/>
      <c r="EA87" s="45"/>
      <c r="EB87" s="45"/>
      <c r="EC87" s="45"/>
      <c r="ED87" s="45"/>
      <c r="EE87" s="45"/>
      <c r="EF87" s="45"/>
      <c r="EG87" s="45"/>
      <c r="EH87" s="45"/>
      <c r="EI87" s="45"/>
      <c r="EJ87" s="45"/>
      <c r="EK87" s="45"/>
      <c r="EL87" s="45"/>
      <c r="EM87" s="45"/>
      <c r="EN87" s="45"/>
      <c r="EO87" s="45"/>
      <c r="EP87" s="45"/>
      <c r="EQ87" s="45"/>
      <c r="ER87" s="45"/>
      <c r="ES87" s="45"/>
      <c r="ET87" s="45"/>
      <c r="EU87" s="45"/>
      <c r="EV87" s="45"/>
      <c r="EW87" s="45"/>
      <c r="EX87" s="45"/>
      <c r="EY87" s="45"/>
      <c r="EZ87" s="45"/>
      <c r="FA87" s="45"/>
      <c r="FB87" s="45"/>
      <c r="FC87" s="45"/>
      <c r="FD87" s="45"/>
      <c r="FE87" s="45"/>
      <c r="FF87" s="45"/>
      <c r="FG87" s="45"/>
      <c r="FH87" s="45"/>
      <c r="FI87" s="45"/>
      <c r="FJ87" s="45"/>
      <c r="FK87" s="45"/>
      <c r="FL87" s="45"/>
      <c r="FM87" s="45"/>
      <c r="FN87" s="45"/>
      <c r="FO87" s="45"/>
      <c r="FP87" s="45"/>
      <c r="FQ87" s="45"/>
      <c r="FR87" s="45"/>
      <c r="FS87" s="45"/>
      <c r="FT87" s="45"/>
      <c r="FU87" s="45"/>
      <c r="FV87" s="45"/>
      <c r="FW87" s="45"/>
      <c r="FX87" s="45"/>
      <c r="FY87" s="45"/>
      <c r="FZ87" s="45"/>
      <c r="GA87" s="45"/>
      <c r="GB87" s="45"/>
      <c r="GC87" s="45"/>
    </row>
    <row r="88" spans="1:185" s="46" customFormat="1" ht="34.5" customHeight="1">
      <c r="A88" s="99" t="s">
        <v>682</v>
      </c>
      <c r="B88" s="50" t="str">
        <f>LOWER(
  IF(
    RIGHT(
      SUBSTITUTE(SUBSTITUTE(SUBSTITUTE(SUBSTITUTE(SUBSTITUTE(SUBSTITUTE(SUBSTITUTE(C88,"(","_"),")","_"),"/","_"),":","_"),"-","_")," ","_"),"__","_"),
      1
    )="_",
    LEFT(
      SUBSTITUTE(SUBSTITUTE(SUBSTITUTE(SUBSTITUTE(SUBSTITUTE(SUBSTITUTE(SUBSTITUTE(C88,"(","_"),")","_"),"/","_"),":","_"),"-","_")," ","_"),"__","_"),
      LEN(
        SUBSTITUTE(SUBSTITUTE(SUBSTITUTE(SUBSTITUTE(SUBSTITUTE(SUBSTITUTE(SUBSTITUTE(C88,"(","_"),")","_"),"/","_"),":","_"),"-","_")," ","_"),"__","_")
      )-1
    ),
    SUBSTITUTE(SUBSTITUTE(SUBSTITUTE(SUBSTITUTE(SUBSTITUTE(SUBSTITUTE(SUBSTITUTE(C88,"(","_"),")","_"),"/","_"),":","_"),"-","_")," ","_"),"__","_")
  )
)</f>
        <v>sequence_byte_range</v>
      </c>
      <c r="C88" s="49" t="s">
        <v>683</v>
      </c>
      <c r="D88" s="50" t="s">
        <v>684</v>
      </c>
      <c r="E88" s="49" t="s">
        <v>98</v>
      </c>
      <c r="F88" s="49" t="s">
        <v>65</v>
      </c>
      <c r="G88" s="49"/>
      <c r="H88" s="49"/>
      <c r="I88" s="49"/>
      <c r="J88" s="49"/>
      <c r="K88" s="49"/>
      <c r="L88" s="49"/>
      <c r="M88" s="49"/>
      <c r="N88" s="49"/>
      <c r="O88" s="49"/>
      <c r="P88" s="49"/>
      <c r="Q88" s="49"/>
      <c r="R88" s="49"/>
      <c r="S88" s="49"/>
      <c r="T88" s="49"/>
      <c r="U88" s="49"/>
      <c r="V88" s="49"/>
      <c r="W88" s="49"/>
      <c r="X88" s="48" t="s">
        <v>685</v>
      </c>
      <c r="Y88" s="48"/>
      <c r="Z88" s="48" t="s">
        <v>93</v>
      </c>
      <c r="AA88" s="49" t="str">
        <f>"[" &amp; _xlfn.TEXTJOIN(", ", TRUE,
    IF(I88&lt;&gt;"", """" &amp; I$1 &amp; """", ""),
    IF(J88&lt;&gt;"", """" &amp; J$1 &amp; """", ""),
    IF(K88&lt;&gt;"", """" &amp; K$1 &amp; """", ""),
    IF(L88&lt;&gt;"", """" &amp; L$1 &amp; """", ""),
    IF(M88&lt;&gt;"", """" &amp; M$1 &amp; """", ""),    IF(N88&lt;&gt;"", """" &amp; N$1 &amp; """", ""),    IF(O88&lt;&gt;"", """" &amp; O$1 &amp; """", ""),     IF(P88&lt;&gt;"", """" &amp; P$1 &amp; """", ""),     IF(Q88&lt;&gt;"", """" &amp; Q$1 &amp; """", ""), IF(R88&lt;&gt;"", """" &amp; R$1 &amp; """", ""), IF(S88&lt;&gt;"", """" &amp; S$1 &amp; """", ""), IF(T88&lt;&gt;"", """" &amp; T$1 &amp; """", ""), IF(U88&lt;&gt;"", """" &amp; U$1 &amp; """", ""),
    IF(X88&lt;&gt;"", """" &amp; X88 &amp; """", ""), IF(V88&lt;&gt;"", """" &amp; V88 &amp; """", ""), IF(W88&lt;&gt;"", """" &amp; W88 &amp; """", ""),
    IF(Y88&lt;&gt;"", """" &amp; Y88 &amp; """", ""),
    IF(Z88&lt;&gt;"", """" &amp; Z88 &amp; """", "")
) &amp; "]"</f>
        <v>["Internal", "Workflows"]</v>
      </c>
      <c r="AB88" s="49"/>
      <c r="AC88" s="49" t="s">
        <v>70</v>
      </c>
      <c r="AD88" s="49"/>
      <c r="AE88" s="49"/>
      <c r="AF88" s="49"/>
      <c r="AG88" s="49"/>
      <c r="AH88" s="49"/>
      <c r="AI88" s="49"/>
      <c r="AJ88" s="49"/>
      <c r="AK88" s="49"/>
      <c r="AL88" s="49"/>
      <c r="AM88" s="49"/>
      <c r="AN88" s="49"/>
      <c r="AO88" s="49"/>
      <c r="AP88" s="49"/>
      <c r="AQ88" s="49"/>
      <c r="AR88" s="49"/>
      <c r="AS88" s="49"/>
      <c r="AT88" s="49"/>
      <c r="AU88" s="49"/>
      <c r="AV88" s="49"/>
      <c r="AW88" s="49"/>
      <c r="AX88" s="54"/>
      <c r="AY88" s="49"/>
      <c r="AZ88" s="49"/>
      <c r="BA88" s="49"/>
      <c r="BB88" s="49"/>
      <c r="BC88" s="49" t="s">
        <v>73</v>
      </c>
      <c r="BD88" s="49" t="s">
        <v>499</v>
      </c>
      <c r="BE88" s="49"/>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c r="FX88" s="45"/>
      <c r="FY88" s="45"/>
      <c r="FZ88" s="45"/>
      <c r="GA88" s="45"/>
      <c r="GB88" s="45"/>
      <c r="GC88" s="45"/>
    </row>
    <row r="89" spans="1:185" s="46" customFormat="1" ht="34.5" customHeight="1">
      <c r="A89" s="99" t="s">
        <v>686</v>
      </c>
      <c r="B89" s="50" t="str">
        <f>LOWER(
  IF(
    RIGHT(
      SUBSTITUTE(SUBSTITUTE(SUBSTITUTE(SUBSTITUTE(SUBSTITUTE(SUBSTITUTE(SUBSTITUTE(C89,"(","_"),")","_"),"/","_"),":","_"),"-","_")," ","_"),"__","_"),
      1
    )="_",
    LEFT(
      SUBSTITUTE(SUBSTITUTE(SUBSTITUTE(SUBSTITUTE(SUBSTITUTE(SUBSTITUTE(SUBSTITUTE(C89,"(","_"),")","_"),"/","_"),":","_"),"-","_")," ","_"),"__","_"),
      LEN(
        SUBSTITUTE(SUBSTITUTE(SUBSTITUTE(SUBSTITUTE(SUBSTITUTE(SUBSTITUTE(SUBSTITUTE(C89,"(","_"),")","_"),"/","_"),":","_"),"-","_")," ","_"),"__","_")
      )-1
    ),
    SUBSTITUTE(SUBSTITUTE(SUBSTITUTE(SUBSTITUTE(SUBSTITUTE(SUBSTITUTE(SUBSTITUTE(C89,"(","_"),")","_"),"/","_"),":","_"),"-","_")," ","_"),"__","_")
  )
)</f>
        <v>sequence_path</v>
      </c>
      <c r="C89" s="49" t="s">
        <v>687</v>
      </c>
      <c r="D89" s="50" t="s">
        <v>688</v>
      </c>
      <c r="E89" s="49" t="s">
        <v>98</v>
      </c>
      <c r="F89" s="49" t="s">
        <v>65</v>
      </c>
      <c r="G89" s="49"/>
      <c r="H89" s="49"/>
      <c r="I89" s="49"/>
      <c r="J89" s="49"/>
      <c r="K89" s="49"/>
      <c r="L89" s="49"/>
      <c r="M89" s="49"/>
      <c r="N89" s="49"/>
      <c r="O89" s="49"/>
      <c r="P89" s="49"/>
      <c r="Q89" s="49"/>
      <c r="R89" s="49"/>
      <c r="S89" s="49"/>
      <c r="T89" s="49"/>
      <c r="U89" s="49"/>
      <c r="V89" s="49"/>
      <c r="W89" s="49"/>
      <c r="X89" s="48" t="s">
        <v>685</v>
      </c>
      <c r="Y89" s="48"/>
      <c r="Z89" s="48" t="s">
        <v>93</v>
      </c>
      <c r="AA89" s="49" t="str">
        <f>"[" &amp; _xlfn.TEXTJOIN(", ", TRUE,
    IF(I89&lt;&gt;"", """" &amp; I$1 &amp; """", ""),
    IF(J89&lt;&gt;"", """" &amp; J$1 &amp; """", ""),
    IF(K89&lt;&gt;"", """" &amp; K$1 &amp; """", ""),
    IF(L89&lt;&gt;"", """" &amp; L$1 &amp; """", ""),
    IF(M89&lt;&gt;"", """" &amp; M$1 &amp; """", ""),    IF(N89&lt;&gt;"", """" &amp; N$1 &amp; """", ""),    IF(O89&lt;&gt;"", """" &amp; O$1 &amp; """", ""),     IF(P89&lt;&gt;"", """" &amp; P$1 &amp; """", ""),     IF(Q89&lt;&gt;"", """" &amp; Q$1 &amp; """", ""), IF(R89&lt;&gt;"", """" &amp; R$1 &amp; """", ""), IF(S89&lt;&gt;"", """" &amp; S$1 &amp; """", ""), IF(T89&lt;&gt;"", """" &amp; T$1 &amp; """", ""), IF(U89&lt;&gt;"", """" &amp; U$1 &amp; """", ""),
    IF(X89&lt;&gt;"", """" &amp; X89 &amp; """", ""), IF(V89&lt;&gt;"", """" &amp; V89 &amp; """", ""), IF(W89&lt;&gt;"", """" &amp; W89 &amp; """", ""),
    IF(Y89&lt;&gt;"", """" &amp; Y89 &amp; """", ""),
    IF(Z89&lt;&gt;"", """" &amp; Z89 &amp; """", "")
) &amp; "]"</f>
        <v>["Internal", "Workflows"]</v>
      </c>
      <c r="AB89" s="49"/>
      <c r="AC89" s="49" t="s">
        <v>70</v>
      </c>
      <c r="AD89" s="49"/>
      <c r="AE89" s="49"/>
      <c r="AF89" s="49"/>
      <c r="AG89" s="49"/>
      <c r="AH89" s="49"/>
      <c r="AI89" s="49"/>
      <c r="AJ89" s="49"/>
      <c r="AK89" s="49"/>
      <c r="AL89" s="49"/>
      <c r="AM89" s="49"/>
      <c r="AN89" s="49"/>
      <c r="AO89" s="49"/>
      <c r="AP89" s="49"/>
      <c r="AQ89" s="49"/>
      <c r="AR89" s="49"/>
      <c r="AS89" s="49"/>
      <c r="AT89" s="49"/>
      <c r="AU89" s="49"/>
      <c r="AV89" s="49"/>
      <c r="AW89" s="49"/>
      <c r="AX89" s="54"/>
      <c r="AY89" s="49"/>
      <c r="AZ89" s="49"/>
      <c r="BA89" s="49"/>
      <c r="BB89" s="49"/>
      <c r="BC89" s="49" t="s">
        <v>73</v>
      </c>
      <c r="BD89" s="49" t="s">
        <v>499</v>
      </c>
      <c r="BE89" s="49"/>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5"/>
      <c r="DQ89" s="45"/>
      <c r="DR89" s="45"/>
      <c r="DS89" s="45"/>
      <c r="DT89" s="45"/>
      <c r="DU89" s="45"/>
      <c r="DV89" s="45"/>
      <c r="DW89" s="45"/>
      <c r="DX89" s="45"/>
      <c r="DY89" s="45"/>
      <c r="DZ89" s="45"/>
      <c r="EA89" s="45"/>
      <c r="EB89" s="45"/>
      <c r="EC89" s="45"/>
      <c r="ED89" s="45"/>
      <c r="EE89" s="45"/>
      <c r="EF89" s="45"/>
      <c r="EG89" s="45"/>
      <c r="EH89" s="45"/>
      <c r="EI89" s="45"/>
      <c r="EJ89" s="45"/>
      <c r="EK89" s="45"/>
      <c r="EL89" s="45"/>
      <c r="EM89" s="45"/>
      <c r="EN89" s="45"/>
      <c r="EO89" s="45"/>
      <c r="EP89" s="45"/>
      <c r="EQ89" s="45"/>
      <c r="ER89" s="45"/>
      <c r="ES89" s="45"/>
      <c r="ET89" s="45"/>
      <c r="EU89" s="45"/>
      <c r="EV89" s="45"/>
      <c r="EW89" s="45"/>
      <c r="EX89" s="45"/>
      <c r="EY89" s="45"/>
      <c r="EZ89" s="45"/>
      <c r="FA89" s="45"/>
      <c r="FB89" s="45"/>
      <c r="FC89" s="45"/>
      <c r="FD89" s="45"/>
      <c r="FE89" s="45"/>
      <c r="FF89" s="45"/>
      <c r="FG89" s="45"/>
      <c r="FH89" s="45"/>
      <c r="FI89" s="45"/>
      <c r="FJ89" s="45"/>
      <c r="FK89" s="45"/>
      <c r="FL89" s="45"/>
      <c r="FM89" s="45"/>
      <c r="FN89" s="45"/>
      <c r="FO89" s="45"/>
      <c r="FP89" s="45"/>
      <c r="FQ89" s="45"/>
      <c r="FR89" s="45"/>
      <c r="FS89" s="45"/>
      <c r="FT89" s="45"/>
      <c r="FU89" s="45"/>
      <c r="FV89" s="45"/>
      <c r="FW89" s="45"/>
      <c r="FX89" s="45"/>
      <c r="FY89" s="45"/>
      <c r="FZ89" s="45"/>
      <c r="GA89" s="45"/>
      <c r="GB89" s="45"/>
      <c r="GC89" s="45"/>
    </row>
    <row r="90" spans="1:185" s="46" customFormat="1" ht="34.5" customHeight="1">
      <c r="A90" s="99" t="s">
        <v>689</v>
      </c>
      <c r="B90" s="50" t="str">
        <f>LOWER(
  IF(
    RIGHT(
      SUBSTITUTE(SUBSTITUTE(SUBSTITUTE(SUBSTITUTE(SUBSTITUTE(SUBSTITUTE(SUBSTITUTE(C90,"(","_"),")","_"),"/","_"),":","_"),"-","_")," ","_"),"__","_"),
      1
    )="_",
    LEFT(
      SUBSTITUTE(SUBSTITUTE(SUBSTITUTE(SUBSTITUTE(SUBSTITUTE(SUBSTITUTE(SUBSTITUTE(C90,"(","_"),")","_"),"/","_"),":","_"),"-","_")," ","_"),"__","_"),
      LEN(
        SUBSTITUTE(SUBSTITUTE(SUBSTITUTE(SUBSTITUTE(SUBSTITUTE(SUBSTITUTE(SUBSTITUTE(C90,"(","_"),")","_"),"/","_"),":","_"),"-","_")," ","_"),"__","_")
      )-1
    ),
    SUBSTITUTE(SUBSTITUTE(SUBSTITUTE(SUBSTITUTE(SUBSTITUTE(SUBSTITUTE(SUBSTITUTE(C90,"(","_"),")","_"),"/","_"),":","_"),"-","_")," ","_"),"__","_")
  )
)</f>
        <v>insertion_date</v>
      </c>
      <c r="C90" s="49" t="s">
        <v>690</v>
      </c>
      <c r="D90" s="50" t="s">
        <v>691</v>
      </c>
      <c r="E90" s="49" t="s">
        <v>292</v>
      </c>
      <c r="F90" s="49" t="s">
        <v>65</v>
      </c>
      <c r="G90" s="49"/>
      <c r="H90" s="49"/>
      <c r="I90" s="49"/>
      <c r="J90" s="49"/>
      <c r="K90" s="49"/>
      <c r="L90" s="49"/>
      <c r="M90" s="49"/>
      <c r="N90" s="49"/>
      <c r="O90" s="49"/>
      <c r="P90" s="49"/>
      <c r="Q90" s="49"/>
      <c r="R90" s="49"/>
      <c r="S90" s="49"/>
      <c r="T90" s="49"/>
      <c r="U90" s="49"/>
      <c r="V90" s="49"/>
      <c r="W90" s="49"/>
      <c r="X90" s="48" t="s">
        <v>685</v>
      </c>
      <c r="Y90" s="48"/>
      <c r="Z90" s="48" t="s">
        <v>93</v>
      </c>
      <c r="AA90" s="49" t="str">
        <f>"[" &amp; _xlfn.TEXTJOIN(", ", TRUE,
    IF(I90&lt;&gt;"", """" &amp; I$1 &amp; """", ""),
    IF(J90&lt;&gt;"", """" &amp; J$1 &amp; """", ""),
    IF(K90&lt;&gt;"", """" &amp; K$1 &amp; """", ""),
    IF(L90&lt;&gt;"", """" &amp; L$1 &amp; """", ""),
    IF(M90&lt;&gt;"", """" &amp; M$1 &amp; """", ""),    IF(N90&lt;&gt;"", """" &amp; N$1 &amp; """", ""),    IF(O90&lt;&gt;"", """" &amp; O$1 &amp; """", ""),     IF(P90&lt;&gt;"", """" &amp; P$1 &amp; """", ""),     IF(Q90&lt;&gt;"", """" &amp; Q$1 &amp; """", ""), IF(R90&lt;&gt;"", """" &amp; R$1 &amp; """", ""), IF(S90&lt;&gt;"", """" &amp; S$1 &amp; """", ""), IF(T90&lt;&gt;"", """" &amp; T$1 &amp; """", ""), IF(U90&lt;&gt;"", """" &amp; U$1 &amp; """", ""),
    IF(X90&lt;&gt;"", """" &amp; X90 &amp; """", ""), IF(V90&lt;&gt;"", """" &amp; V90 &amp; """", ""), IF(W90&lt;&gt;"", """" &amp; W90 &amp; """", ""),
    IF(Y90&lt;&gt;"", """" &amp; Y90 &amp; """", ""),
    IF(Z90&lt;&gt;"", """" &amp; Z90 &amp; """", "")
) &amp; "]"</f>
        <v>["Internal", "Workflows"]</v>
      </c>
      <c r="AB90" s="49"/>
      <c r="AC90" s="49" t="s">
        <v>70</v>
      </c>
      <c r="AD90" s="49"/>
      <c r="AE90" s="49"/>
      <c r="AF90" s="49"/>
      <c r="AG90" s="49"/>
      <c r="AH90" s="49"/>
      <c r="AI90" s="49"/>
      <c r="AJ90" s="49"/>
      <c r="AK90" s="49"/>
      <c r="AL90" s="49"/>
      <c r="AM90" s="49"/>
      <c r="AN90" s="49"/>
      <c r="AO90" s="49"/>
      <c r="AP90" s="49"/>
      <c r="AQ90" s="49"/>
      <c r="AR90" s="49"/>
      <c r="AS90" s="49"/>
      <c r="AT90" s="49"/>
      <c r="AU90" s="49"/>
      <c r="AV90" s="49"/>
      <c r="AW90" s="49"/>
      <c r="AX90" s="54"/>
      <c r="AY90" s="49"/>
      <c r="AZ90" s="49"/>
      <c r="BA90" s="49"/>
      <c r="BB90" s="49"/>
      <c r="BC90" s="49" t="s">
        <v>73</v>
      </c>
      <c r="BD90" s="49" t="s">
        <v>499</v>
      </c>
      <c r="BE90" s="49"/>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45"/>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c r="ER90" s="45"/>
      <c r="ES90" s="45"/>
      <c r="ET90" s="45"/>
      <c r="EU90" s="45"/>
      <c r="EV90" s="45"/>
      <c r="EW90" s="45"/>
      <c r="EX90" s="45"/>
      <c r="EY90" s="45"/>
      <c r="EZ90" s="45"/>
      <c r="FA90" s="45"/>
      <c r="FB90" s="45"/>
      <c r="FC90" s="45"/>
      <c r="FD90" s="45"/>
      <c r="FE90" s="45"/>
      <c r="FF90" s="45"/>
      <c r="FG90" s="45"/>
      <c r="FH90" s="45"/>
      <c r="FI90" s="45"/>
      <c r="FJ90" s="45"/>
      <c r="FK90" s="45"/>
      <c r="FL90" s="45"/>
      <c r="FM90" s="45"/>
      <c r="FN90" s="45"/>
      <c r="FO90" s="45"/>
      <c r="FP90" s="45"/>
      <c r="FQ90" s="45"/>
      <c r="FR90" s="45"/>
      <c r="FS90" s="45"/>
      <c r="FT90" s="45"/>
      <c r="FU90" s="45"/>
      <c r="FV90" s="45"/>
      <c r="FW90" s="45"/>
      <c r="FX90" s="45"/>
      <c r="FY90" s="45"/>
      <c r="FZ90" s="45"/>
      <c r="GA90" s="45"/>
      <c r="GB90" s="45"/>
      <c r="GC90" s="45"/>
    </row>
    <row r="91" spans="1:185" s="46" customFormat="1" ht="34.5" customHeight="1">
      <c r="A91" s="99" t="s">
        <v>692</v>
      </c>
      <c r="B91" s="50" t="str">
        <f>LOWER(
  IF(
    RIGHT(
      SUBSTITUTE(SUBSTITUTE(SUBSTITUTE(SUBSTITUTE(SUBSTITUTE(SUBSTITUTE(SUBSTITUTE(C91,"(","_"),")","_"),"/","_"),":","_"),"-","_")," ","_"),"__","_"),
      1
    )="_",
    LEFT(
      SUBSTITUTE(SUBSTITUTE(SUBSTITUTE(SUBSTITUTE(SUBSTITUTE(SUBSTITUTE(SUBSTITUTE(C91,"(","_"),")","_"),"/","_"),":","_"),"-","_")," ","_"),"__","_"),
      LEN(
        SUBSTITUTE(SUBSTITUTE(SUBSTITUTE(SUBSTITUTE(SUBSTITUTE(SUBSTITUTE(SUBSTITUTE(C91,"(","_"),")","_"),"/","_"),":","_"),"-","_")," ","_"),"__","_")
      )-1
    ),
    SUBSTITUTE(SUBSTITUTE(SUBSTITUTE(SUBSTITUTE(SUBSTITUTE(SUBSTITUTE(SUBSTITUTE(C91,"(","_"),")","_"),"/","_"),":","_"),"-","_")," ","_"),"__","_")
  )
)</f>
        <v>update_date</v>
      </c>
      <c r="C91" s="49" t="s">
        <v>375</v>
      </c>
      <c r="D91" s="50" t="s">
        <v>693</v>
      </c>
      <c r="E91" s="49" t="s">
        <v>292</v>
      </c>
      <c r="F91" s="49" t="s">
        <v>65</v>
      </c>
      <c r="G91" s="49"/>
      <c r="H91" s="49"/>
      <c r="I91" s="49"/>
      <c r="J91" s="49"/>
      <c r="K91" s="49"/>
      <c r="L91" s="49"/>
      <c r="M91" s="49"/>
      <c r="N91" s="49"/>
      <c r="O91" s="49"/>
      <c r="P91" s="49"/>
      <c r="Q91" s="49"/>
      <c r="R91" s="49"/>
      <c r="S91" s="49"/>
      <c r="T91" s="49"/>
      <c r="U91" s="49"/>
      <c r="V91" s="49"/>
      <c r="W91" s="49"/>
      <c r="X91" s="48" t="s">
        <v>685</v>
      </c>
      <c r="Y91" s="48"/>
      <c r="Z91" s="48" t="s">
        <v>93</v>
      </c>
      <c r="AA91" s="49" t="str">
        <f>"[" &amp; _xlfn.TEXTJOIN(", ", TRUE,
    IF(I91&lt;&gt;"", """" &amp; I$1 &amp; """", ""),
    IF(J91&lt;&gt;"", """" &amp; J$1 &amp; """", ""),
    IF(K91&lt;&gt;"", """" &amp; K$1 &amp; """", ""),
    IF(L91&lt;&gt;"", """" &amp; L$1 &amp; """", ""),
    IF(M91&lt;&gt;"", """" &amp; M$1 &amp; """", ""),    IF(N91&lt;&gt;"", """" &amp; N$1 &amp; """", ""),    IF(O91&lt;&gt;"", """" &amp; O$1 &amp; """", ""),     IF(P91&lt;&gt;"", """" &amp; P$1 &amp; """", ""),     IF(Q91&lt;&gt;"", """" &amp; Q$1 &amp; """", ""), IF(R91&lt;&gt;"", """" &amp; R$1 &amp; """", ""), IF(S91&lt;&gt;"", """" &amp; S$1 &amp; """", ""), IF(T91&lt;&gt;"", """" &amp; T$1 &amp; """", ""), IF(U91&lt;&gt;"", """" &amp; U$1 &amp; """", ""),
    IF(X91&lt;&gt;"", """" &amp; X91 &amp; """", ""), IF(V91&lt;&gt;"", """" &amp; V91 &amp; """", ""), IF(W91&lt;&gt;"", """" &amp; W91 &amp; """", ""),
    IF(Y91&lt;&gt;"", """" &amp; Y91 &amp; """", ""),
    IF(Z91&lt;&gt;"", """" &amp; Z91 &amp; """", "")
) &amp; "]"</f>
        <v>["Internal", "Workflows"]</v>
      </c>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t="s">
        <v>73</v>
      </c>
      <c r="BD91" s="49" t="s">
        <v>94</v>
      </c>
      <c r="BE91" s="49"/>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45"/>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c r="ER91" s="45"/>
      <c r="ES91" s="45"/>
      <c r="ET91" s="45"/>
      <c r="EU91" s="45"/>
      <c r="EV91" s="45"/>
      <c r="EW91" s="45"/>
      <c r="EX91" s="45"/>
      <c r="EY91" s="45"/>
      <c r="EZ91" s="45"/>
      <c r="FA91" s="45"/>
      <c r="FB91" s="45"/>
      <c r="FC91" s="45"/>
      <c r="FD91" s="45"/>
      <c r="FE91" s="45"/>
      <c r="FF91" s="45"/>
      <c r="FG91" s="45"/>
      <c r="FH91" s="45"/>
      <c r="FI91" s="45"/>
      <c r="FJ91" s="45"/>
      <c r="FK91" s="45"/>
      <c r="FL91" s="45"/>
      <c r="FM91" s="45"/>
      <c r="FN91" s="45"/>
      <c r="FO91" s="45"/>
      <c r="FP91" s="45"/>
      <c r="FQ91" s="45"/>
      <c r="FR91" s="45"/>
      <c r="FS91" s="45"/>
      <c r="FT91" s="45"/>
      <c r="FU91" s="45"/>
      <c r="FV91" s="45"/>
      <c r="FW91" s="45"/>
      <c r="FX91" s="45"/>
      <c r="FY91" s="45"/>
      <c r="FZ91" s="45"/>
      <c r="GA91" s="45"/>
      <c r="GB91" s="45"/>
      <c r="GC91" s="45"/>
    </row>
    <row r="92" spans="1:185" s="46" customFormat="1" ht="34.5" customHeight="1">
      <c r="A92" s="99" t="s">
        <v>694</v>
      </c>
      <c r="B92" s="50" t="str">
        <f>LOWER(
  IF(
    RIGHT(
      SUBSTITUTE(SUBSTITUTE(SUBSTITUTE(SUBSTITUTE(SUBSTITUTE(SUBSTITUTE(SUBSTITUTE(C92,"(","_"),")","_"),"/","_"),":","_"),"-","_")," ","_"),"__","_"),
      1
    )="_",
    LEFT(
      SUBSTITUTE(SUBSTITUTE(SUBSTITUTE(SUBSTITUTE(SUBSTITUTE(SUBSTITUTE(SUBSTITUTE(C92,"(","_"),")","_"),"/","_"),":","_"),"-","_")," ","_"),"__","_"),
      LEN(
        SUBSTITUTE(SUBSTITUTE(SUBSTITUTE(SUBSTITUTE(SUBSTITUTE(SUBSTITUTE(SUBSTITUTE(C92,"(","_"),")","_"),"/","_"),":","_"),"-","_")," ","_"),"__","_")
      )-1
    ),
    SUBSTITUTE(SUBSTITUTE(SUBSTITUTE(SUBSTITUTE(SUBSTITUTE(SUBSTITUTE(SUBSTITUTE(C92,"(","_"),")","_"),"/","_"),":","_"),"-","_")," ","_"),"__","_")
  )
)</f>
        <v>ictv_subrealm</v>
      </c>
      <c r="C92" s="49" t="s">
        <v>695</v>
      </c>
      <c r="D92" s="50" t="s">
        <v>696</v>
      </c>
      <c r="E92" s="49" t="s">
        <v>64</v>
      </c>
      <c r="F92" s="49" t="s">
        <v>65</v>
      </c>
      <c r="G92" s="49"/>
      <c r="H92" s="49"/>
      <c r="I92" s="49"/>
      <c r="J92" s="49"/>
      <c r="K92" s="49"/>
      <c r="L92" s="49"/>
      <c r="M92" s="49"/>
      <c r="N92" s="49"/>
      <c r="O92" s="49"/>
      <c r="P92" s="49"/>
      <c r="Q92" s="49"/>
      <c r="R92" s="49"/>
      <c r="S92" s="49" t="s">
        <v>697</v>
      </c>
      <c r="T92" s="49"/>
      <c r="U92" s="49"/>
      <c r="V92" s="49"/>
      <c r="W92" s="49"/>
      <c r="X92" s="48" t="s">
        <v>698</v>
      </c>
      <c r="Y92" s="48" t="s">
        <v>699</v>
      </c>
      <c r="Z92" s="48" t="s">
        <v>324</v>
      </c>
      <c r="AA92" s="49" t="str">
        <f>"[" &amp; _xlfn.TEXTJOIN(", ", TRUE,
    IF(I92&lt;&gt;"", """" &amp; I$1 &amp; """", ""),
    IF(J92&lt;&gt;"", """" &amp; J$1 &amp; """", ""),
    IF(K92&lt;&gt;"", """" &amp; K$1 &amp; """", ""),
    IF(L92&lt;&gt;"", """" &amp; L$1 &amp; """", ""),
    IF(M92&lt;&gt;"", """" &amp; M$1 &amp; """", ""),    IF(N92&lt;&gt;"", """" &amp; N$1 &amp; """", ""),    IF(O92&lt;&gt;"", """" &amp; O$1 &amp; """", ""),     IF(P92&lt;&gt;"", """" &amp; P$1 &amp; """", ""),     IF(Q92&lt;&gt;"", """" &amp; Q$1 &amp; """", ""), IF(R92&lt;&gt;"", """" &amp; R$1 &amp; """", ""), IF(S92&lt;&gt;"", """" &amp; S$1 &amp; """", ""), IF(T92&lt;&gt;"", """" &amp; T$1 &amp; """", ""), IF(U92&lt;&gt;"", """" &amp; U$1 &amp; """", ""),
    IF(X92&lt;&gt;"", """" &amp; X92 &amp; """", ""), IF(V92&lt;&gt;"", """" &amp; V92 &amp; """", ""), IF(W92&lt;&gt;"", """" &amp; W92 &amp; """", ""),
    IF(Y92&lt;&gt;"", """" &amp; Y92 &amp; """", ""),
    IF(Z92&lt;&gt;"", """" &amp; Z92 &amp; """", "")
) &amp; "]"</f>
        <v>["PHD", "Taxonomy", "Virus Taxonomy", "ICTV Taxonomy"]</v>
      </c>
      <c r="AB92" s="49" t="s">
        <v>325</v>
      </c>
      <c r="AC92" s="49" t="s">
        <v>70</v>
      </c>
      <c r="AD92" s="49"/>
      <c r="AE92" s="49"/>
      <c r="AF92" s="49"/>
      <c r="AG92" s="49"/>
      <c r="AH92" s="49"/>
      <c r="AI92" s="49"/>
      <c r="AJ92" s="49"/>
      <c r="AK92" s="49"/>
      <c r="AL92" s="49"/>
      <c r="AM92" s="49"/>
      <c r="AN92" s="49"/>
      <c r="AO92" s="49"/>
      <c r="AP92" s="49"/>
      <c r="AQ92" s="49"/>
      <c r="AR92" s="49"/>
      <c r="AS92" s="49"/>
      <c r="AT92" s="49"/>
      <c r="AU92" s="49"/>
      <c r="AV92" s="49"/>
      <c r="AW92" s="49"/>
      <c r="AX92" s="54"/>
      <c r="AY92" s="49"/>
      <c r="AZ92" s="49"/>
      <c r="BA92" s="49"/>
      <c r="BB92" s="49" t="s">
        <v>700</v>
      </c>
      <c r="BC92" s="49" t="s">
        <v>701</v>
      </c>
      <c r="BD92" s="49" t="s">
        <v>702</v>
      </c>
      <c r="BE92" s="48"/>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45"/>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c r="ER92" s="45"/>
      <c r="ES92" s="45"/>
      <c r="ET92" s="45"/>
      <c r="EU92" s="45"/>
      <c r="EV92" s="45"/>
      <c r="EW92" s="45"/>
      <c r="EX92" s="45"/>
      <c r="EY92" s="45"/>
      <c r="EZ92" s="45"/>
      <c r="FA92" s="45"/>
      <c r="FB92" s="45"/>
      <c r="FC92" s="45"/>
      <c r="FD92" s="45"/>
      <c r="FE92" s="45"/>
      <c r="FF92" s="45"/>
      <c r="FG92" s="45"/>
      <c r="FH92" s="45"/>
      <c r="FI92" s="45"/>
      <c r="FJ92" s="45"/>
      <c r="FK92" s="45"/>
      <c r="FL92" s="45"/>
      <c r="FM92" s="45"/>
      <c r="FN92" s="45"/>
      <c r="FO92" s="45"/>
      <c r="FP92" s="45"/>
      <c r="FQ92" s="45"/>
      <c r="FR92" s="45"/>
      <c r="FS92" s="45"/>
      <c r="FT92" s="45"/>
      <c r="FU92" s="45"/>
      <c r="FV92" s="45"/>
      <c r="FW92" s="45"/>
      <c r="FX92" s="45"/>
      <c r="FY92" s="45"/>
      <c r="FZ92" s="45"/>
      <c r="GA92" s="45"/>
      <c r="GB92" s="45"/>
      <c r="GC92" s="45"/>
    </row>
    <row r="93" spans="1:185" s="46" customFormat="1" ht="34.5" customHeight="1">
      <c r="A93" s="99" t="s">
        <v>703</v>
      </c>
      <c r="B93" s="50" t="str">
        <f>LOWER(
  IF(
    RIGHT(
      SUBSTITUTE(SUBSTITUTE(SUBSTITUTE(SUBSTITUTE(SUBSTITUTE(SUBSTITUTE(SUBSTITUTE(C93,"(","_"),")","_"),"/","_"),":","_"),"-","_")," ","_"),"__","_"),
      1
    )="_",
    LEFT(
      SUBSTITUTE(SUBSTITUTE(SUBSTITUTE(SUBSTITUTE(SUBSTITUTE(SUBSTITUTE(SUBSTITUTE(C93,"(","_"),")","_"),"/","_"),":","_"),"-","_")," ","_"),"__","_"),
      LEN(
        SUBSTITUTE(SUBSTITUTE(SUBSTITUTE(SUBSTITUTE(SUBSTITUTE(SUBSTITUTE(SUBSTITUTE(C93,"(","_"),")","_"),"/","_"),":","_"),"-","_")," ","_"),"__","_")
      )-1
    ),
    SUBSTITUTE(SUBSTITUTE(SUBSTITUTE(SUBSTITUTE(SUBSTITUTE(SUBSTITUTE(SUBSTITUTE(C93,"(","_"),")","_"),"/","_"),":","_"),"-","_")," ","_"),"__","_")
  )
)</f>
        <v>ictv_subkingdom</v>
      </c>
      <c r="C93" s="49" t="s">
        <v>704</v>
      </c>
      <c r="D93" s="50" t="s">
        <v>705</v>
      </c>
      <c r="E93" s="49" t="s">
        <v>64</v>
      </c>
      <c r="F93" s="49" t="s">
        <v>65</v>
      </c>
      <c r="G93" s="49"/>
      <c r="H93" s="49"/>
      <c r="I93" s="49"/>
      <c r="J93" s="49"/>
      <c r="K93" s="49"/>
      <c r="L93" s="49"/>
      <c r="M93" s="49"/>
      <c r="N93" s="49"/>
      <c r="O93" s="49"/>
      <c r="P93" s="49"/>
      <c r="Q93" s="49"/>
      <c r="R93" s="49"/>
      <c r="S93" s="49" t="s">
        <v>706</v>
      </c>
      <c r="T93" s="49"/>
      <c r="U93" s="49"/>
      <c r="V93" s="49"/>
      <c r="W93" s="49"/>
      <c r="X93" s="48" t="s">
        <v>698</v>
      </c>
      <c r="Y93" s="48" t="s">
        <v>699</v>
      </c>
      <c r="Z93" s="48" t="s">
        <v>324</v>
      </c>
      <c r="AA93" s="49" t="str">
        <f>"[" &amp; _xlfn.TEXTJOIN(", ", TRUE,
    IF(I93&lt;&gt;"", """" &amp; I$1 &amp; """", ""),
    IF(J93&lt;&gt;"", """" &amp; J$1 &amp; """", ""),
    IF(K93&lt;&gt;"", """" &amp; K$1 &amp; """", ""),
    IF(L93&lt;&gt;"", """" &amp; L$1 &amp; """", ""),
    IF(M93&lt;&gt;"", """" &amp; M$1 &amp; """", ""),    IF(N93&lt;&gt;"", """" &amp; N$1 &amp; """", ""),    IF(O93&lt;&gt;"", """" &amp; O$1 &amp; """", ""),     IF(P93&lt;&gt;"", """" &amp; P$1 &amp; """", ""),     IF(Q93&lt;&gt;"", """" &amp; Q$1 &amp; """", ""), IF(R93&lt;&gt;"", """" &amp; R$1 &amp; """", ""), IF(S93&lt;&gt;"", """" &amp; S$1 &amp; """", ""), IF(T93&lt;&gt;"", """" &amp; T$1 &amp; """", ""), IF(U93&lt;&gt;"", """" &amp; U$1 &amp; """", ""),
    IF(X93&lt;&gt;"", """" &amp; X93 &amp; """", ""), IF(V93&lt;&gt;"", """" &amp; V93 &amp; """", ""), IF(W93&lt;&gt;"", """" &amp; W93 &amp; """", ""),
    IF(Y93&lt;&gt;"", """" &amp; Y93 &amp; """", ""),
    IF(Z93&lt;&gt;"", """" &amp; Z93 &amp; """", "")
) &amp; "]"</f>
        <v>["PHD", "Taxonomy", "Virus Taxonomy", "ICTV Taxonomy"]</v>
      </c>
      <c r="AB93" s="49" t="s">
        <v>325</v>
      </c>
      <c r="AC93" s="49" t="s">
        <v>70</v>
      </c>
      <c r="AD93" s="49"/>
      <c r="AE93" s="49"/>
      <c r="AF93" s="49"/>
      <c r="AG93" s="49"/>
      <c r="AH93" s="49"/>
      <c r="AI93" s="49"/>
      <c r="AJ93" s="49"/>
      <c r="AK93" s="49"/>
      <c r="AL93" s="49"/>
      <c r="AM93" s="49"/>
      <c r="AN93" s="49"/>
      <c r="AO93" s="49"/>
      <c r="AP93" s="49"/>
      <c r="AQ93" s="49"/>
      <c r="AR93" s="49"/>
      <c r="AS93" s="49"/>
      <c r="AT93" s="49"/>
      <c r="AU93" s="49"/>
      <c r="AV93" s="49"/>
      <c r="AW93" s="49"/>
      <c r="AX93" s="54"/>
      <c r="AY93" s="49"/>
      <c r="AZ93" s="49"/>
      <c r="BA93" s="49"/>
      <c r="BB93" s="49" t="s">
        <v>707</v>
      </c>
      <c r="BC93" s="49" t="s">
        <v>701</v>
      </c>
      <c r="BD93" s="49" t="s">
        <v>702</v>
      </c>
      <c r="BE93" s="48"/>
      <c r="BF93" s="45"/>
      <c r="BG93" s="45"/>
      <c r="BH93" s="45"/>
      <c r="BI93" s="45"/>
      <c r="BJ93" s="71"/>
      <c r="BK93" s="71"/>
      <c r="BL93" s="71"/>
      <c r="BM93" s="71"/>
      <c r="BN93" s="71"/>
      <c r="BO93" s="71"/>
      <c r="BP93" s="71"/>
      <c r="BQ93" s="71"/>
      <c r="BR93" s="71"/>
      <c r="BS93" s="71"/>
      <c r="BT93" s="71"/>
      <c r="BU93" s="71"/>
      <c r="BV93" s="71"/>
      <c r="BW93" s="71"/>
      <c r="BX93" s="71"/>
      <c r="BY93" s="71"/>
      <c r="BZ93" s="71"/>
      <c r="CA93" s="71"/>
      <c r="CB93" s="71"/>
      <c r="CC93" s="71"/>
      <c r="CD93" s="71"/>
      <c r="CE93" s="71"/>
      <c r="CF93" s="71"/>
      <c r="CG93" s="71"/>
      <c r="CH93" s="71"/>
      <c r="CI93" s="71"/>
      <c r="CJ93" s="71"/>
      <c r="CK93" s="71"/>
      <c r="CL93" s="71"/>
      <c r="CM93" s="71"/>
      <c r="CN93" s="71"/>
      <c r="CO93" s="71"/>
      <c r="CP93" s="71"/>
      <c r="CQ93" s="71"/>
      <c r="CR93" s="71"/>
      <c r="CS93" s="71"/>
      <c r="CT93" s="71"/>
      <c r="CU93" s="71"/>
      <c r="CV93" s="71"/>
      <c r="CW93" s="71"/>
      <c r="CX93" s="71"/>
      <c r="CY93" s="71"/>
      <c r="CZ93" s="71"/>
      <c r="DA93" s="71"/>
      <c r="DB93" s="71"/>
      <c r="DC93" s="71"/>
      <c r="DD93" s="71"/>
      <c r="DE93" s="71"/>
      <c r="DF93" s="71"/>
      <c r="DG93" s="71"/>
      <c r="DH93" s="71"/>
      <c r="DI93" s="71"/>
      <c r="DJ93" s="71"/>
      <c r="DK93" s="71"/>
      <c r="DL93" s="71"/>
      <c r="DM93" s="71"/>
      <c r="DN93" s="71"/>
      <c r="DO93" s="71"/>
      <c r="DP93" s="71"/>
      <c r="DQ93" s="71"/>
      <c r="DR93" s="71"/>
      <c r="DS93" s="71"/>
      <c r="DT93" s="71"/>
      <c r="DU93" s="71"/>
      <c r="DV93" s="71"/>
      <c r="DW93" s="71"/>
      <c r="DX93" s="71"/>
      <c r="DY93" s="71"/>
      <c r="DZ93" s="71"/>
      <c r="EA93" s="71"/>
      <c r="EB93" s="71"/>
      <c r="EC93" s="71"/>
      <c r="ED93" s="71"/>
      <c r="EE93" s="71"/>
      <c r="EF93" s="71"/>
      <c r="EG93" s="71"/>
      <c r="EH93" s="71"/>
      <c r="EI93" s="71"/>
      <c r="EJ93" s="71"/>
      <c r="EK93" s="71"/>
      <c r="EL93" s="71"/>
      <c r="EM93" s="71"/>
      <c r="EN93" s="71"/>
      <c r="EO93" s="71"/>
      <c r="EP93" s="71"/>
      <c r="EQ93" s="71"/>
      <c r="ER93" s="71"/>
      <c r="ES93" s="71"/>
      <c r="ET93" s="71"/>
      <c r="EU93" s="71"/>
      <c r="EV93" s="71"/>
      <c r="EW93" s="71"/>
      <c r="EX93" s="71"/>
      <c r="EY93" s="71"/>
      <c r="EZ93" s="71"/>
      <c r="FA93" s="71"/>
      <c r="FB93" s="71"/>
      <c r="FC93" s="71"/>
      <c r="FD93" s="71"/>
      <c r="FE93" s="71"/>
      <c r="FF93" s="71"/>
      <c r="FG93" s="71"/>
      <c r="FH93" s="71"/>
      <c r="FI93" s="71"/>
      <c r="FJ93" s="71"/>
      <c r="FK93" s="71"/>
      <c r="FL93" s="71"/>
      <c r="FM93" s="71"/>
      <c r="FN93" s="71"/>
      <c r="FO93" s="71"/>
      <c r="FP93" s="71"/>
      <c r="FQ93" s="71"/>
      <c r="FR93" s="71"/>
      <c r="FS93" s="71"/>
      <c r="FT93" s="71"/>
      <c r="FU93" s="71"/>
      <c r="FV93" s="71"/>
      <c r="FW93" s="71"/>
      <c r="FX93" s="71"/>
      <c r="FY93" s="71"/>
      <c r="FZ93" s="71"/>
      <c r="GA93" s="71"/>
      <c r="GB93" s="71"/>
      <c r="GC93" s="71"/>
    </row>
    <row r="94" spans="1:185" s="46" customFormat="1" ht="34.5" customHeight="1">
      <c r="A94" s="99" t="s">
        <v>708</v>
      </c>
      <c r="B94" s="50" t="str">
        <f>LOWER(
  IF(
    RIGHT(
      SUBSTITUTE(SUBSTITUTE(SUBSTITUTE(SUBSTITUTE(SUBSTITUTE(SUBSTITUTE(SUBSTITUTE(C94,"(","_"),")","_"),"/","_"),":","_"),"-","_")," ","_"),"__","_"),
      1
    )="_",
    LEFT(
      SUBSTITUTE(SUBSTITUTE(SUBSTITUTE(SUBSTITUTE(SUBSTITUTE(SUBSTITUTE(SUBSTITUTE(C94,"(","_"),")","_"),"/","_"),":","_"),"-","_")," ","_"),"__","_"),
      LEN(
        SUBSTITUTE(SUBSTITUTE(SUBSTITUTE(SUBSTITUTE(SUBSTITUTE(SUBSTITUTE(SUBSTITUTE(C94,"(","_"),")","_"),"/","_"),":","_"),"-","_")," ","_"),"__","_")
      )-1
    ),
    SUBSTITUTE(SUBSTITUTE(SUBSTITUTE(SUBSTITUTE(SUBSTITUTE(SUBSTITUTE(SUBSTITUTE(C94,"(","_"),")","_"),"/","_"),":","_"),"-","_")," ","_"),"__","_")
  )
)</f>
        <v>ictv_subclass</v>
      </c>
      <c r="C94" s="49" t="s">
        <v>709</v>
      </c>
      <c r="D94" s="50" t="s">
        <v>710</v>
      </c>
      <c r="E94" s="49" t="s">
        <v>64</v>
      </c>
      <c r="F94" s="49" t="s">
        <v>65</v>
      </c>
      <c r="G94" s="49"/>
      <c r="H94" s="49"/>
      <c r="I94" s="49"/>
      <c r="J94" s="49"/>
      <c r="K94" s="49"/>
      <c r="L94" s="49"/>
      <c r="M94" s="49"/>
      <c r="N94" s="49"/>
      <c r="O94" s="49"/>
      <c r="P94" s="49"/>
      <c r="Q94" s="49"/>
      <c r="R94" s="49"/>
      <c r="S94" s="49" t="s">
        <v>711</v>
      </c>
      <c r="T94" s="49"/>
      <c r="U94" s="49"/>
      <c r="V94" s="49"/>
      <c r="W94" s="49"/>
      <c r="X94" s="48" t="s">
        <v>698</v>
      </c>
      <c r="Y94" s="48" t="s">
        <v>699</v>
      </c>
      <c r="Z94" s="48" t="s">
        <v>324</v>
      </c>
      <c r="AA94" s="49" t="str">
        <f>"[" &amp; _xlfn.TEXTJOIN(", ", TRUE,
    IF(I94&lt;&gt;"", """" &amp; I$1 &amp; """", ""),
    IF(J94&lt;&gt;"", """" &amp; J$1 &amp; """", ""),
    IF(K94&lt;&gt;"", """" &amp; K$1 &amp; """", ""),
    IF(L94&lt;&gt;"", """" &amp; L$1 &amp; """", ""),
    IF(M94&lt;&gt;"", """" &amp; M$1 &amp; """", ""),    IF(N94&lt;&gt;"", """" &amp; N$1 &amp; """", ""),    IF(O94&lt;&gt;"", """" &amp; O$1 &amp; """", ""),     IF(P94&lt;&gt;"", """" &amp; P$1 &amp; """", ""),     IF(Q94&lt;&gt;"", """" &amp; Q$1 &amp; """", ""), IF(R94&lt;&gt;"", """" &amp; R$1 &amp; """", ""), IF(S94&lt;&gt;"", """" &amp; S$1 &amp; """", ""), IF(T94&lt;&gt;"", """" &amp; T$1 &amp; """", ""), IF(U94&lt;&gt;"", """" &amp; U$1 &amp; """", ""),
    IF(X94&lt;&gt;"", """" &amp; X94 &amp; """", ""), IF(V94&lt;&gt;"", """" &amp; V94 &amp; """", ""), IF(W94&lt;&gt;"", """" &amp; W94 &amp; """", ""),
    IF(Y94&lt;&gt;"", """" &amp; Y94 &amp; """", ""),
    IF(Z94&lt;&gt;"", """" &amp; Z94 &amp; """", "")
) &amp; "]"</f>
        <v>["PHD", "Taxonomy", "Virus Taxonomy", "ICTV Taxonomy"]</v>
      </c>
      <c r="AB94" s="49" t="s">
        <v>325</v>
      </c>
      <c r="AC94" s="49" t="s">
        <v>70</v>
      </c>
      <c r="AD94" s="49"/>
      <c r="AE94" s="49"/>
      <c r="AF94" s="49"/>
      <c r="AG94" s="49"/>
      <c r="AH94" s="49"/>
      <c r="AI94" s="49"/>
      <c r="AJ94" s="49"/>
      <c r="AK94" s="49"/>
      <c r="AL94" s="49"/>
      <c r="AM94" s="49"/>
      <c r="AN94" s="49"/>
      <c r="AO94" s="49"/>
      <c r="AP94" s="49"/>
      <c r="AQ94" s="49"/>
      <c r="AR94" s="49"/>
      <c r="AS94" s="49"/>
      <c r="AT94" s="49"/>
      <c r="AU94" s="49"/>
      <c r="AV94" s="49"/>
      <c r="AW94" s="49"/>
      <c r="AX94" s="54"/>
      <c r="AY94" s="49"/>
      <c r="AZ94" s="49"/>
      <c r="BA94" s="49"/>
      <c r="BB94" s="49" t="s">
        <v>712</v>
      </c>
      <c r="BC94" s="49" t="s">
        <v>701</v>
      </c>
      <c r="BD94" s="49" t="s">
        <v>702</v>
      </c>
      <c r="BE94" s="48"/>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5"/>
      <c r="DQ94" s="45"/>
      <c r="DR94" s="45"/>
      <c r="DS94" s="45"/>
      <c r="DT94" s="45"/>
      <c r="DU94" s="45"/>
      <c r="DV94" s="45"/>
      <c r="DW94" s="45"/>
      <c r="DX94" s="45"/>
      <c r="DY94" s="45"/>
      <c r="DZ94" s="45"/>
      <c r="EA94" s="45"/>
      <c r="EB94" s="45"/>
      <c r="EC94" s="45"/>
      <c r="ED94" s="45"/>
      <c r="EE94" s="45"/>
      <c r="EF94" s="45"/>
      <c r="EG94" s="45"/>
      <c r="EH94" s="45"/>
      <c r="EI94" s="45"/>
      <c r="EJ94" s="45"/>
      <c r="EK94" s="45"/>
      <c r="EL94" s="45"/>
      <c r="EM94" s="45"/>
      <c r="EN94" s="45"/>
      <c r="EO94" s="45"/>
      <c r="EP94" s="45"/>
      <c r="EQ94" s="45"/>
      <c r="ER94" s="45"/>
      <c r="ES94" s="45"/>
      <c r="ET94" s="45"/>
      <c r="EU94" s="45"/>
      <c r="EV94" s="45"/>
      <c r="EW94" s="45"/>
      <c r="EX94" s="45"/>
      <c r="EY94" s="45"/>
      <c r="EZ94" s="45"/>
      <c r="FA94" s="45"/>
      <c r="FB94" s="45"/>
      <c r="FC94" s="45"/>
      <c r="FD94" s="45"/>
      <c r="FE94" s="45"/>
      <c r="FF94" s="45"/>
      <c r="FG94" s="45"/>
      <c r="FH94" s="45"/>
      <c r="FI94" s="45"/>
      <c r="FJ94" s="45"/>
      <c r="FK94" s="45"/>
      <c r="FL94" s="45"/>
      <c r="FM94" s="45"/>
      <c r="FN94" s="45"/>
      <c r="FO94" s="45"/>
      <c r="FP94" s="45"/>
      <c r="FQ94" s="45"/>
      <c r="FR94" s="45"/>
      <c r="FS94" s="45"/>
      <c r="FT94" s="45"/>
      <c r="FU94" s="45"/>
      <c r="FV94" s="45"/>
      <c r="FW94" s="45"/>
      <c r="FX94" s="45"/>
      <c r="FY94" s="45"/>
      <c r="FZ94" s="45"/>
      <c r="GA94" s="45"/>
      <c r="GB94" s="45"/>
      <c r="GC94" s="45"/>
    </row>
    <row r="95" spans="1:185" s="46" customFormat="1" ht="34.5" customHeight="1">
      <c r="A95" s="99" t="s">
        <v>713</v>
      </c>
      <c r="B95" s="50" t="str">
        <f>LOWER(
  IF(
    RIGHT(
      SUBSTITUTE(SUBSTITUTE(SUBSTITUTE(SUBSTITUTE(SUBSTITUTE(SUBSTITUTE(SUBSTITUTE(C95,"(","_"),")","_"),"/","_"),":","_"),"-","_")," ","_"),"__","_"),
      1
    )="_",
    LEFT(
      SUBSTITUTE(SUBSTITUTE(SUBSTITUTE(SUBSTITUTE(SUBSTITUTE(SUBSTITUTE(SUBSTITUTE(C95,"(","_"),")","_"),"/","_"),":","_"),"-","_")," ","_"),"__","_"),
      LEN(
        SUBSTITUTE(SUBSTITUTE(SUBSTITUTE(SUBSTITUTE(SUBSTITUTE(SUBSTITUTE(SUBSTITUTE(C95,"(","_"),")","_"),"/","_"),":","_"),"-","_")," ","_"),"__","_")
      )-1
    ),
    SUBSTITUTE(SUBSTITUTE(SUBSTITUTE(SUBSTITUTE(SUBSTITUTE(SUBSTITUTE(SUBSTITUTE(C95,"(","_"),")","_"),"/","_"),":","_"),"-","_")," ","_"),"__","_")
  )
)</f>
        <v>ncbi_subrealm</v>
      </c>
      <c r="C95" s="49" t="s">
        <v>714</v>
      </c>
      <c r="D95" s="50" t="s">
        <v>715</v>
      </c>
      <c r="E95" s="49" t="s">
        <v>64</v>
      </c>
      <c r="F95" s="49" t="s">
        <v>65</v>
      </c>
      <c r="G95" s="49"/>
      <c r="H95" s="49"/>
      <c r="I95" s="49"/>
      <c r="J95" s="49"/>
      <c r="K95" s="49"/>
      <c r="L95" s="49"/>
      <c r="M95" s="49"/>
      <c r="N95" s="49"/>
      <c r="O95" s="49"/>
      <c r="P95" s="49"/>
      <c r="Q95" s="49"/>
      <c r="R95" s="49"/>
      <c r="S95" s="49" t="s">
        <v>716</v>
      </c>
      <c r="T95" s="49"/>
      <c r="U95" s="49"/>
      <c r="V95" s="49"/>
      <c r="W95" s="49"/>
      <c r="X95" s="48" t="s">
        <v>698</v>
      </c>
      <c r="Y95" s="48" t="s">
        <v>699</v>
      </c>
      <c r="Z95" s="48" t="s">
        <v>337</v>
      </c>
      <c r="AA95" s="49" t="str">
        <f>"[" &amp; _xlfn.TEXTJOIN(", ", TRUE,
    IF(I95&lt;&gt;"", """" &amp; I$1 &amp; """", ""),
    IF(J95&lt;&gt;"", """" &amp; J$1 &amp; """", ""),
    IF(K95&lt;&gt;"", """" &amp; K$1 &amp; """", ""),
    IF(L95&lt;&gt;"", """" &amp; L$1 &amp; """", ""),
    IF(M95&lt;&gt;"", """" &amp; M$1 &amp; """", ""),    IF(N95&lt;&gt;"", """" &amp; N$1 &amp; """", ""),    IF(O95&lt;&gt;"", """" &amp; O$1 &amp; """", ""),     IF(P95&lt;&gt;"", """" &amp; P$1 &amp; """", ""),     IF(Q95&lt;&gt;"", """" &amp; Q$1 &amp; """", ""), IF(R95&lt;&gt;"", """" &amp; R$1 &amp; """", ""), IF(S95&lt;&gt;"", """" &amp; S$1 &amp; """", ""), IF(T95&lt;&gt;"", """" &amp; T$1 &amp; """", ""), IF(U95&lt;&gt;"", """" &amp; U$1 &amp; """", ""),
    IF(X95&lt;&gt;"", """" &amp; X95 &amp; """", ""), IF(V95&lt;&gt;"", """" &amp; V95 &amp; """", ""), IF(W95&lt;&gt;"", """" &amp; W95 &amp; """", ""),
    IF(Y95&lt;&gt;"", """" &amp; Y95 &amp; """", ""),
    IF(Z95&lt;&gt;"", """" &amp; Z95 &amp; """", "")
) &amp; "]"</f>
        <v>["PHD", "Taxonomy", "Virus Taxonomy", "NCBI Taxonomy"]</v>
      </c>
      <c r="AB95" s="49"/>
      <c r="AC95" s="49" t="s">
        <v>70</v>
      </c>
      <c r="AD95" s="49"/>
      <c r="AE95" s="49"/>
      <c r="AF95" s="49"/>
      <c r="AG95" s="49"/>
      <c r="AH95" s="49"/>
      <c r="AI95" s="49"/>
      <c r="AJ95" s="49"/>
      <c r="AK95" s="49"/>
      <c r="AL95" s="49"/>
      <c r="AM95" s="49"/>
      <c r="AN95" s="49"/>
      <c r="AO95" s="49"/>
      <c r="AP95" s="49"/>
      <c r="AQ95" s="49"/>
      <c r="AR95" s="49"/>
      <c r="AS95" s="49"/>
      <c r="AT95" s="49"/>
      <c r="AU95" s="49"/>
      <c r="AV95" s="49"/>
      <c r="AW95" s="49"/>
      <c r="AX95" s="54"/>
      <c r="AY95" s="49"/>
      <c r="AZ95" s="49"/>
      <c r="BA95" s="49"/>
      <c r="BB95" s="49"/>
      <c r="BC95" s="49" t="s">
        <v>73</v>
      </c>
      <c r="BD95" s="49" t="s">
        <v>702</v>
      </c>
      <c r="BE95" s="48"/>
      <c r="BF95" s="45"/>
      <c r="BG95" s="45"/>
      <c r="BH95" s="45"/>
      <c r="BI95" s="45"/>
      <c r="BJ95" s="45"/>
      <c r="BK95" s="45"/>
      <c r="BL95" s="45"/>
      <c r="BM95" s="45"/>
      <c r="BN95" s="45"/>
      <c r="BO95" s="45"/>
      <c r="BP95" s="45"/>
      <c r="BQ95" s="45"/>
      <c r="BR95" s="45"/>
      <c r="BS95" s="45"/>
      <c r="BT95" s="45"/>
      <c r="BU95" s="45"/>
      <c r="BV95" s="45"/>
      <c r="BW95" s="45"/>
      <c r="BX95" s="45"/>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5"/>
      <c r="DQ95" s="45"/>
      <c r="DR95" s="45"/>
      <c r="DS95" s="45"/>
      <c r="DT95" s="45"/>
      <c r="DU95" s="45"/>
      <c r="DV95" s="45"/>
      <c r="DW95" s="45"/>
      <c r="DX95" s="45"/>
      <c r="DY95" s="45"/>
      <c r="DZ95" s="45"/>
      <c r="EA95" s="45"/>
      <c r="EB95" s="45"/>
      <c r="EC95" s="45"/>
      <c r="ED95" s="45"/>
      <c r="EE95" s="45"/>
      <c r="EF95" s="45"/>
      <c r="EG95" s="45"/>
      <c r="EH95" s="45"/>
      <c r="EI95" s="45"/>
      <c r="EJ95" s="45"/>
      <c r="EK95" s="45"/>
      <c r="EL95" s="45"/>
      <c r="EM95" s="45"/>
      <c r="EN95" s="45"/>
      <c r="EO95" s="45"/>
      <c r="EP95" s="45"/>
      <c r="EQ95" s="45"/>
      <c r="ER95" s="45"/>
      <c r="ES95" s="45"/>
      <c r="ET95" s="45"/>
      <c r="EU95" s="45"/>
      <c r="EV95" s="45"/>
      <c r="EW95" s="45"/>
      <c r="EX95" s="45"/>
      <c r="EY95" s="45"/>
      <c r="EZ95" s="45"/>
      <c r="FA95" s="45"/>
      <c r="FB95" s="45"/>
      <c r="FC95" s="45"/>
      <c r="FD95" s="45"/>
      <c r="FE95" s="45"/>
      <c r="FF95" s="45"/>
      <c r="FG95" s="45"/>
      <c r="FH95" s="45"/>
      <c r="FI95" s="45"/>
      <c r="FJ95" s="45"/>
      <c r="FK95" s="45"/>
      <c r="FL95" s="45"/>
      <c r="FM95" s="45"/>
      <c r="FN95" s="45"/>
      <c r="FO95" s="45"/>
      <c r="FP95" s="45"/>
      <c r="FQ95" s="45"/>
      <c r="FR95" s="45"/>
      <c r="FS95" s="45"/>
      <c r="FT95" s="45"/>
      <c r="FU95" s="45"/>
      <c r="FV95" s="45"/>
      <c r="FW95" s="45"/>
      <c r="FX95" s="45"/>
      <c r="FY95" s="45"/>
      <c r="FZ95" s="45"/>
      <c r="GA95" s="45"/>
      <c r="GB95" s="45"/>
      <c r="GC95" s="45"/>
    </row>
    <row r="96" spans="1:185" s="46" customFormat="1" ht="34.5" customHeight="1">
      <c r="A96" s="99" t="s">
        <v>717</v>
      </c>
      <c r="B96" s="50" t="str">
        <f>LOWER(
  IF(
    RIGHT(
      SUBSTITUTE(SUBSTITUTE(SUBSTITUTE(SUBSTITUTE(SUBSTITUTE(SUBSTITUTE(SUBSTITUTE(C96,"(","_"),")","_"),"/","_"),":","_"),"-","_")," ","_"),"__","_"),
      1
    )="_",
    LEFT(
      SUBSTITUTE(SUBSTITUTE(SUBSTITUTE(SUBSTITUTE(SUBSTITUTE(SUBSTITUTE(SUBSTITUTE(C96,"(","_"),")","_"),"/","_"),":","_"),"-","_")," ","_"),"__","_"),
      LEN(
        SUBSTITUTE(SUBSTITUTE(SUBSTITUTE(SUBSTITUTE(SUBSTITUTE(SUBSTITUTE(SUBSTITUTE(C96,"(","_"),")","_"),"/","_"),":","_"),"-","_")," ","_"),"__","_")
      )-1
    ),
    SUBSTITUTE(SUBSTITUTE(SUBSTITUTE(SUBSTITUTE(SUBSTITUTE(SUBSTITUTE(SUBSTITUTE(C96,"(","_"),")","_"),"/","_"),":","_"),"-","_")," ","_"),"__","_")
  )
)</f>
        <v>ncbi_subkingdom</v>
      </c>
      <c r="C96" s="49" t="s">
        <v>718</v>
      </c>
      <c r="D96" s="50" t="s">
        <v>719</v>
      </c>
      <c r="E96" s="49" t="s">
        <v>64</v>
      </c>
      <c r="F96" s="49" t="s">
        <v>65</v>
      </c>
      <c r="G96" s="49"/>
      <c r="H96" s="49"/>
      <c r="I96" s="49"/>
      <c r="J96" s="49"/>
      <c r="K96" s="49"/>
      <c r="L96" s="49"/>
      <c r="M96" s="49"/>
      <c r="N96" s="49"/>
      <c r="O96" s="49"/>
      <c r="P96" s="49"/>
      <c r="Q96" s="49"/>
      <c r="R96" s="49"/>
      <c r="S96" s="49" t="s">
        <v>720</v>
      </c>
      <c r="T96" s="49"/>
      <c r="U96" s="49"/>
      <c r="V96" s="49"/>
      <c r="W96" s="49"/>
      <c r="X96" s="48" t="s">
        <v>698</v>
      </c>
      <c r="Y96" s="48" t="s">
        <v>699</v>
      </c>
      <c r="Z96" s="48" t="s">
        <v>337</v>
      </c>
      <c r="AA96" s="49" t="str">
        <f>"[" &amp; _xlfn.TEXTJOIN(", ", TRUE,
    IF(I96&lt;&gt;"", """" &amp; I$1 &amp; """", ""),
    IF(J96&lt;&gt;"", """" &amp; J$1 &amp; """", ""),
    IF(K96&lt;&gt;"", """" &amp; K$1 &amp; """", ""),
    IF(L96&lt;&gt;"", """" &amp; L$1 &amp; """", ""),
    IF(M96&lt;&gt;"", """" &amp; M$1 &amp; """", ""),    IF(N96&lt;&gt;"", """" &amp; N$1 &amp; """", ""),    IF(O96&lt;&gt;"", """" &amp; O$1 &amp; """", ""),     IF(P96&lt;&gt;"", """" &amp; P$1 &amp; """", ""),     IF(Q96&lt;&gt;"", """" &amp; Q$1 &amp; """", ""), IF(R96&lt;&gt;"", """" &amp; R$1 &amp; """", ""), IF(S96&lt;&gt;"", """" &amp; S$1 &amp; """", ""), IF(T96&lt;&gt;"", """" &amp; T$1 &amp; """", ""), IF(U96&lt;&gt;"", """" &amp; U$1 &amp; """", ""),
    IF(X96&lt;&gt;"", """" &amp; X96 &amp; """", ""), IF(V96&lt;&gt;"", """" &amp; V96 &amp; """", ""), IF(W96&lt;&gt;"", """" &amp; W96 &amp; """", ""),
    IF(Y96&lt;&gt;"", """" &amp; Y96 &amp; """", ""),
    IF(Z96&lt;&gt;"", """" &amp; Z96 &amp; """", "")
) &amp; "]"</f>
        <v>["PHD", "Taxonomy", "Virus Taxonomy", "NCBI Taxonomy"]</v>
      </c>
      <c r="AB96" s="49"/>
      <c r="AC96" s="49" t="s">
        <v>70</v>
      </c>
      <c r="AD96" s="49"/>
      <c r="AE96" s="49"/>
      <c r="AF96" s="49"/>
      <c r="AG96" s="49"/>
      <c r="AH96" s="49"/>
      <c r="AI96" s="49"/>
      <c r="AJ96" s="49"/>
      <c r="AK96" s="49"/>
      <c r="AL96" s="49"/>
      <c r="AM96" s="49"/>
      <c r="AN96" s="49"/>
      <c r="AO96" s="49"/>
      <c r="AP96" s="49"/>
      <c r="AQ96" s="49"/>
      <c r="AR96" s="49"/>
      <c r="AS96" s="49"/>
      <c r="AT96" s="49"/>
      <c r="AU96" s="49"/>
      <c r="AV96" s="49"/>
      <c r="AW96" s="49"/>
      <c r="AX96" s="54"/>
      <c r="AY96" s="49"/>
      <c r="AZ96" s="49"/>
      <c r="BA96" s="49"/>
      <c r="BB96" s="49"/>
      <c r="BC96" s="49" t="s">
        <v>73</v>
      </c>
      <c r="BD96" s="49" t="s">
        <v>702</v>
      </c>
      <c r="BE96" s="48"/>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5"/>
      <c r="DQ96" s="45"/>
      <c r="DR96" s="45"/>
      <c r="DS96" s="45"/>
      <c r="DT96" s="45"/>
      <c r="DU96" s="45"/>
      <c r="DV96" s="45"/>
      <c r="DW96" s="45"/>
      <c r="DX96" s="45"/>
      <c r="DY96" s="45"/>
      <c r="DZ96" s="45"/>
      <c r="EA96" s="45"/>
      <c r="EB96" s="45"/>
      <c r="EC96" s="45"/>
      <c r="ED96" s="45"/>
      <c r="EE96" s="45"/>
      <c r="EF96" s="45"/>
      <c r="EG96" s="45"/>
      <c r="EH96" s="45"/>
      <c r="EI96" s="45"/>
      <c r="EJ96" s="45"/>
      <c r="EK96" s="45"/>
      <c r="EL96" s="45"/>
      <c r="EM96" s="45"/>
      <c r="EN96" s="45"/>
      <c r="EO96" s="45"/>
      <c r="EP96" s="45"/>
      <c r="EQ96" s="45"/>
      <c r="ER96" s="45"/>
      <c r="ES96" s="45"/>
      <c r="ET96" s="45"/>
      <c r="EU96" s="45"/>
      <c r="EV96" s="45"/>
      <c r="EW96" s="45"/>
      <c r="EX96" s="45"/>
      <c r="EY96" s="45"/>
      <c r="EZ96" s="45"/>
      <c r="FA96" s="45"/>
      <c r="FB96" s="45"/>
      <c r="FC96" s="45"/>
      <c r="FD96" s="45"/>
      <c r="FE96" s="45"/>
      <c r="FF96" s="45"/>
      <c r="FG96" s="45"/>
      <c r="FH96" s="45"/>
      <c r="FI96" s="45"/>
      <c r="FJ96" s="45"/>
      <c r="FK96" s="45"/>
      <c r="FL96" s="45"/>
      <c r="FM96" s="45"/>
      <c r="FN96" s="45"/>
      <c r="FO96" s="45"/>
      <c r="FP96" s="45"/>
      <c r="FQ96" s="45"/>
      <c r="FR96" s="45"/>
      <c r="FS96" s="45"/>
      <c r="FT96" s="45"/>
      <c r="FU96" s="45"/>
      <c r="FV96" s="45"/>
      <c r="FW96" s="45"/>
      <c r="FX96" s="45"/>
      <c r="FY96" s="45"/>
      <c r="FZ96" s="45"/>
      <c r="GA96" s="45"/>
      <c r="GB96" s="45"/>
      <c r="GC96" s="45"/>
    </row>
    <row r="97" spans="1:185" s="46" customFormat="1" ht="34.5" customHeight="1">
      <c r="A97" s="99" t="s">
        <v>721</v>
      </c>
      <c r="B97" s="50" t="str">
        <f>LOWER(
  IF(
    RIGHT(
      SUBSTITUTE(SUBSTITUTE(SUBSTITUTE(SUBSTITUTE(SUBSTITUTE(SUBSTITUTE(SUBSTITUTE(C97,"(","_"),")","_"),"/","_"),":","_"),"-","_")," ","_"),"__","_"),
      1
    )="_",
    LEFT(
      SUBSTITUTE(SUBSTITUTE(SUBSTITUTE(SUBSTITUTE(SUBSTITUTE(SUBSTITUTE(SUBSTITUTE(C97,"(","_"),")","_"),"/","_"),":","_"),"-","_")," ","_"),"__","_"),
      LEN(
        SUBSTITUTE(SUBSTITUTE(SUBSTITUTE(SUBSTITUTE(SUBSTITUTE(SUBSTITUTE(SUBSTITUTE(C97,"(","_"),")","_"),"/","_"),":","_"),"-","_")," ","_"),"__","_")
      )-1
    ),
    SUBSTITUTE(SUBSTITUTE(SUBSTITUTE(SUBSTITUTE(SUBSTITUTE(SUBSTITUTE(SUBSTITUTE(C97,"(","_"),")","_"),"/","_"),":","_"),"-","_")," ","_"),"__","_")
  )
)</f>
        <v>ncbi_subclass</v>
      </c>
      <c r="C97" s="49" t="s">
        <v>722</v>
      </c>
      <c r="D97" s="50" t="s">
        <v>723</v>
      </c>
      <c r="E97" s="49" t="s">
        <v>64</v>
      </c>
      <c r="F97" s="49" t="s">
        <v>65</v>
      </c>
      <c r="G97" s="49"/>
      <c r="H97" s="49"/>
      <c r="I97" s="49"/>
      <c r="J97" s="49"/>
      <c r="K97" s="49"/>
      <c r="L97" s="49"/>
      <c r="M97" s="49"/>
      <c r="N97" s="49"/>
      <c r="O97" s="49"/>
      <c r="P97" s="49"/>
      <c r="Q97" s="49"/>
      <c r="R97" s="49"/>
      <c r="S97" s="49" t="s">
        <v>724</v>
      </c>
      <c r="T97" s="49"/>
      <c r="U97" s="49"/>
      <c r="V97" s="49"/>
      <c r="W97" s="49"/>
      <c r="X97" s="48" t="s">
        <v>698</v>
      </c>
      <c r="Y97" s="48" t="s">
        <v>699</v>
      </c>
      <c r="Z97" s="48" t="s">
        <v>337</v>
      </c>
      <c r="AA97" s="49" t="str">
        <f>"[" &amp; _xlfn.TEXTJOIN(", ", TRUE,
    IF(I97&lt;&gt;"", """" &amp; I$1 &amp; """", ""),
    IF(J97&lt;&gt;"", """" &amp; J$1 &amp; """", ""),
    IF(K97&lt;&gt;"", """" &amp; K$1 &amp; """", ""),
    IF(L97&lt;&gt;"", """" &amp; L$1 &amp; """", ""),
    IF(M97&lt;&gt;"", """" &amp; M$1 &amp; """", ""),    IF(N97&lt;&gt;"", """" &amp; N$1 &amp; """", ""),    IF(O97&lt;&gt;"", """" &amp; O$1 &amp; """", ""),     IF(P97&lt;&gt;"", """" &amp; P$1 &amp; """", ""),     IF(Q97&lt;&gt;"", """" &amp; Q$1 &amp; """", ""), IF(R97&lt;&gt;"", """" &amp; R$1 &amp; """", ""), IF(S97&lt;&gt;"", """" &amp; S$1 &amp; """", ""), IF(T97&lt;&gt;"", """" &amp; T$1 &amp; """", ""), IF(U97&lt;&gt;"", """" &amp; U$1 &amp; """", ""),
    IF(X97&lt;&gt;"", """" &amp; X97 &amp; """", ""), IF(V97&lt;&gt;"", """" &amp; V97 &amp; """", ""), IF(W97&lt;&gt;"", """" &amp; W97 &amp; """", ""),
    IF(Y97&lt;&gt;"", """" &amp; Y97 &amp; """", ""),
    IF(Z97&lt;&gt;"", """" &amp; Z97 &amp; """", "")
) &amp; "]"</f>
        <v>["PHD", "Taxonomy", "Virus Taxonomy", "NCBI Taxonomy"]</v>
      </c>
      <c r="AB97" s="49"/>
      <c r="AC97" s="49" t="s">
        <v>70</v>
      </c>
      <c r="AD97" s="49"/>
      <c r="AE97" s="49"/>
      <c r="AF97" s="49"/>
      <c r="AG97" s="49"/>
      <c r="AH97" s="49"/>
      <c r="AI97" s="49"/>
      <c r="AJ97" s="49"/>
      <c r="AK97" s="49"/>
      <c r="AL97" s="49"/>
      <c r="AM97" s="49"/>
      <c r="AN97" s="49"/>
      <c r="AO97" s="49"/>
      <c r="AP97" s="49"/>
      <c r="AQ97" s="49"/>
      <c r="AR97" s="49"/>
      <c r="AS97" s="49"/>
      <c r="AT97" s="49"/>
      <c r="AU97" s="49"/>
      <c r="AV97" s="49"/>
      <c r="AW97" s="49"/>
      <c r="AX97" s="54"/>
      <c r="AY97" s="49"/>
      <c r="AZ97" s="49"/>
      <c r="BA97" s="49"/>
      <c r="BB97" s="49"/>
      <c r="BC97" s="49" t="s">
        <v>73</v>
      </c>
      <c r="BD97" s="49" t="s">
        <v>702</v>
      </c>
      <c r="BE97" s="48"/>
      <c r="BF97" s="45"/>
      <c r="BG97" s="45"/>
      <c r="BH97" s="45"/>
      <c r="BI97" s="45"/>
      <c r="BJ97" s="45"/>
      <c r="BK97" s="45"/>
      <c r="BL97" s="45"/>
      <c r="BM97" s="45"/>
      <c r="BN97" s="45"/>
      <c r="BO97" s="45"/>
      <c r="BP97" s="45"/>
      <c r="BQ97" s="45"/>
      <c r="BR97" s="45"/>
      <c r="BS97" s="45"/>
      <c r="BT97" s="45"/>
      <c r="BU97" s="45"/>
      <c r="BV97" s="45"/>
      <c r="BW97" s="45"/>
      <c r="BX97" s="45"/>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5"/>
      <c r="DQ97" s="45"/>
      <c r="DR97" s="45"/>
      <c r="DS97" s="45"/>
      <c r="DT97" s="45"/>
      <c r="DU97" s="45"/>
      <c r="DV97" s="45"/>
      <c r="DW97" s="45"/>
      <c r="DX97" s="45"/>
      <c r="DY97" s="45"/>
      <c r="DZ97" s="45"/>
      <c r="EA97" s="45"/>
      <c r="EB97" s="45"/>
      <c r="EC97" s="45"/>
      <c r="ED97" s="45"/>
      <c r="EE97" s="45"/>
      <c r="EF97" s="45"/>
      <c r="EG97" s="45"/>
      <c r="EH97" s="45"/>
      <c r="EI97" s="45"/>
      <c r="EJ97" s="45"/>
      <c r="EK97" s="45"/>
      <c r="EL97" s="45"/>
      <c r="EM97" s="45"/>
      <c r="EN97" s="45"/>
      <c r="EO97" s="45"/>
      <c r="EP97" s="45"/>
      <c r="EQ97" s="45"/>
      <c r="ER97" s="45"/>
      <c r="ES97" s="45"/>
      <c r="ET97" s="45"/>
      <c r="EU97" s="45"/>
      <c r="EV97" s="45"/>
      <c r="EW97" s="45"/>
      <c r="EX97" s="45"/>
      <c r="EY97" s="45"/>
      <c r="EZ97" s="45"/>
      <c r="FA97" s="45"/>
      <c r="FB97" s="45"/>
      <c r="FC97" s="45"/>
      <c r="FD97" s="45"/>
      <c r="FE97" s="45"/>
      <c r="FF97" s="45"/>
      <c r="FG97" s="45"/>
      <c r="FH97" s="45"/>
      <c r="FI97" s="45"/>
      <c r="FJ97" s="45"/>
      <c r="FK97" s="45"/>
      <c r="FL97" s="45"/>
      <c r="FM97" s="45"/>
      <c r="FN97" s="45"/>
      <c r="FO97" s="45"/>
      <c r="FP97" s="45"/>
      <c r="FQ97" s="45"/>
      <c r="FR97" s="45"/>
      <c r="FS97" s="45"/>
      <c r="FT97" s="45"/>
      <c r="FU97" s="45"/>
      <c r="FV97" s="45"/>
      <c r="FW97" s="45"/>
      <c r="FX97" s="45"/>
      <c r="FY97" s="45"/>
      <c r="FZ97" s="45"/>
      <c r="GA97" s="45"/>
      <c r="GB97" s="45"/>
      <c r="GC97" s="45"/>
    </row>
    <row r="98" spans="1:185" s="46" customFormat="1" ht="34.5" customHeight="1">
      <c r="A98" s="99" t="s">
        <v>725</v>
      </c>
      <c r="B98" s="50" t="str">
        <f>LOWER(
  IF(
    RIGHT(
      SUBSTITUTE(SUBSTITUTE(SUBSTITUTE(SUBSTITUTE(SUBSTITUTE(SUBSTITUTE(SUBSTITUTE(C98,"(","_"),")","_"),"/","_"),":","_"),"-","_")," ","_"),"__","_"),
      1
    )="_",
    LEFT(
      SUBSTITUTE(SUBSTITUTE(SUBSTITUTE(SUBSTITUTE(SUBSTITUTE(SUBSTITUTE(SUBSTITUTE(C98,"(","_"),")","_"),"/","_"),":","_"),"-","_")," ","_"),"__","_"),
      LEN(
        SUBSTITUTE(SUBSTITUTE(SUBSTITUTE(SUBSTITUTE(SUBSTITUTE(SUBSTITUTE(SUBSTITUTE(C98,"(","_"),")","_"),"/","_"),":","_"),"-","_")," ","_"),"__","_")
      )-1
    ),
    SUBSTITUTE(SUBSTITUTE(SUBSTITUTE(SUBSTITUTE(SUBSTITUTE(SUBSTITUTE(SUBSTITUTE(C98,"(","_"),")","_"),"/","_"),":","_"),"-","_")," ","_"),"__","_")
  )
)</f>
        <v>host_age_normalized</v>
      </c>
      <c r="C98" s="49" t="s">
        <v>726</v>
      </c>
      <c r="D98" s="50" t="s">
        <v>727</v>
      </c>
      <c r="E98" s="49" t="s">
        <v>334</v>
      </c>
      <c r="F98" s="49" t="s">
        <v>65</v>
      </c>
      <c r="G98" s="49"/>
      <c r="H98" s="49"/>
      <c r="I98" s="49"/>
      <c r="J98" s="49"/>
      <c r="K98" s="49"/>
      <c r="L98" s="49"/>
      <c r="M98" s="49"/>
      <c r="N98" s="49"/>
      <c r="O98" s="49"/>
      <c r="P98" s="49"/>
      <c r="Q98" s="49"/>
      <c r="R98" s="49"/>
      <c r="S98" s="49"/>
      <c r="T98" s="49"/>
      <c r="U98" s="49"/>
      <c r="V98" s="49"/>
      <c r="W98" s="49"/>
      <c r="X98" s="48" t="s">
        <v>137</v>
      </c>
      <c r="Y98" s="48" t="s">
        <v>241</v>
      </c>
      <c r="Z98" s="48"/>
      <c r="AA98" s="49" t="str">
        <f>"[" &amp; _xlfn.TEXTJOIN(", ", TRUE,
    IF(I98&lt;&gt;"", """" &amp; I$1 &amp; """", ""),
    IF(J98&lt;&gt;"", """" &amp; J$1 &amp; """", ""),
    IF(K98&lt;&gt;"", """" &amp; K$1 &amp; """", ""),
    IF(L98&lt;&gt;"", """" &amp; L$1 &amp; """", ""),
    IF(M98&lt;&gt;"", """" &amp; M$1 &amp; """", ""),    IF(N98&lt;&gt;"", """" &amp; N$1 &amp; """", ""),    IF(O98&lt;&gt;"", """" &amp; O$1 &amp; """", ""),     IF(P98&lt;&gt;"", """" &amp; P$1 &amp; """", ""),     IF(Q98&lt;&gt;"", """" &amp; Q$1 &amp; """", ""), IF(R98&lt;&gt;"", """" &amp; R$1 &amp; """", ""), IF(S98&lt;&gt;"", """" &amp; S$1 &amp; """", ""), IF(T98&lt;&gt;"", """" &amp; T$1 &amp; """", ""), IF(U98&lt;&gt;"", """" &amp; U$1 &amp; """", ""),
    IF(X98&lt;&gt;"", """" &amp; X98 &amp; """", ""), IF(V98&lt;&gt;"", """" &amp; V98 &amp; """", ""), IF(W98&lt;&gt;"", """" &amp; W98 &amp; """", ""),
    IF(Y98&lt;&gt;"", """" &amp; Y98 &amp; """", ""),
    IF(Z98&lt;&gt;"", """" &amp; Z98 &amp; """", "")
) &amp; "]"</f>
        <v>["Host", "Clinical "]</v>
      </c>
      <c r="AB98" s="49" t="s">
        <v>18</v>
      </c>
      <c r="AC98" s="49" t="s">
        <v>728</v>
      </c>
      <c r="AD98" s="49"/>
      <c r="AE98" s="49"/>
      <c r="AF98" s="49"/>
      <c r="AG98" s="49"/>
      <c r="AH98" s="49"/>
      <c r="AI98" s="49"/>
      <c r="AJ98" s="49"/>
      <c r="AK98" s="49"/>
      <c r="AL98" s="49"/>
      <c r="AM98" s="49"/>
      <c r="AN98" s="49"/>
      <c r="AO98" s="49"/>
      <c r="AP98" s="49"/>
      <c r="AQ98" s="49"/>
      <c r="AR98" s="49"/>
      <c r="AS98" s="49"/>
      <c r="AT98" s="49"/>
      <c r="AU98" s="49"/>
      <c r="AV98" s="49"/>
      <c r="AW98" s="49"/>
      <c r="AX98" s="54"/>
      <c r="AY98" s="49"/>
      <c r="AZ98" s="49"/>
      <c r="BA98" s="49"/>
      <c r="BB98" s="49"/>
      <c r="BC98" s="49" t="s">
        <v>73</v>
      </c>
      <c r="BD98" s="49" t="s">
        <v>94</v>
      </c>
      <c r="BE98" s="49"/>
      <c r="BF98" s="45"/>
      <c r="BG98" s="45"/>
      <c r="BH98" s="45"/>
      <c r="BI98" s="45"/>
      <c r="BJ98" s="45"/>
      <c r="BK98" s="45"/>
      <c r="BL98" s="45"/>
      <c r="BM98" s="45"/>
      <c r="BN98" s="45"/>
      <c r="BO98" s="45"/>
      <c r="BP98" s="45"/>
      <c r="BQ98" s="45"/>
      <c r="BR98" s="45"/>
      <c r="BS98" s="45"/>
      <c r="BT98" s="45"/>
      <c r="BU98" s="45"/>
      <c r="BV98" s="45"/>
      <c r="BW98" s="45"/>
      <c r="BX98" s="45"/>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5"/>
      <c r="DQ98" s="45"/>
      <c r="DR98" s="45"/>
      <c r="DS98" s="45"/>
      <c r="DT98" s="45"/>
      <c r="DU98" s="45"/>
      <c r="DV98" s="45"/>
      <c r="DW98" s="45"/>
      <c r="DX98" s="45"/>
      <c r="DY98" s="45"/>
      <c r="DZ98" s="45"/>
      <c r="EA98" s="45"/>
      <c r="EB98" s="45"/>
      <c r="EC98" s="45"/>
      <c r="ED98" s="45"/>
      <c r="EE98" s="45"/>
      <c r="EF98" s="45"/>
      <c r="EG98" s="45"/>
      <c r="EH98" s="45"/>
      <c r="EI98" s="45"/>
      <c r="EJ98" s="45"/>
      <c r="EK98" s="45"/>
      <c r="EL98" s="45"/>
      <c r="EM98" s="45"/>
      <c r="EN98" s="45"/>
      <c r="EO98" s="45"/>
      <c r="EP98" s="45"/>
      <c r="EQ98" s="45"/>
      <c r="ER98" s="45"/>
      <c r="ES98" s="45"/>
      <c r="ET98" s="45"/>
      <c r="EU98" s="45"/>
      <c r="EV98" s="45"/>
      <c r="EW98" s="45"/>
      <c r="EX98" s="45"/>
      <c r="EY98" s="45"/>
      <c r="EZ98" s="45"/>
      <c r="FA98" s="45"/>
      <c r="FB98" s="45"/>
      <c r="FC98" s="45"/>
      <c r="FD98" s="45"/>
      <c r="FE98" s="45"/>
      <c r="FF98" s="45"/>
      <c r="FG98" s="45"/>
      <c r="FH98" s="45"/>
      <c r="FI98" s="45"/>
      <c r="FJ98" s="45"/>
      <c r="FK98" s="45"/>
      <c r="FL98" s="45"/>
      <c r="FM98" s="45"/>
      <c r="FN98" s="45"/>
      <c r="FO98" s="45"/>
      <c r="FP98" s="45"/>
      <c r="FQ98" s="45"/>
      <c r="FR98" s="45"/>
      <c r="FS98" s="45"/>
      <c r="FT98" s="45"/>
      <c r="FU98" s="45"/>
      <c r="FV98" s="45"/>
      <c r="FW98" s="45"/>
      <c r="FX98" s="45"/>
      <c r="FY98" s="45"/>
      <c r="FZ98" s="45"/>
      <c r="GA98" s="45"/>
      <c r="GB98" s="45"/>
      <c r="GC98" s="45"/>
    </row>
    <row r="99" spans="1:185" s="46" customFormat="1" ht="34.5" customHeight="1">
      <c r="A99" s="99" t="s">
        <v>729</v>
      </c>
      <c r="B99" s="50" t="str">
        <f>LOWER(
  IF(
    RIGHT(
      SUBSTITUTE(SUBSTITUTE(SUBSTITUTE(SUBSTITUTE(SUBSTITUTE(SUBSTITUTE(SUBSTITUTE(C99,"(","_"),")","_"),"/","_"),":","_"),"-","_")," ","_"),"__","_"),
      1
    )="_",
    LEFT(
      SUBSTITUTE(SUBSTITUTE(SUBSTITUTE(SUBSTITUTE(SUBSTITUTE(SUBSTITUTE(SUBSTITUTE(C99,"(","_"),")","_"),"/","_"),":","_"),"-","_")," ","_"),"__","_"),
      LEN(
        SUBSTITUTE(SUBSTITUTE(SUBSTITUTE(SUBSTITUTE(SUBSTITUTE(SUBSTITUTE(SUBSTITUTE(C99,"(","_"),")","_"),"/","_"),":","_"),"-","_")," ","_"),"__","_")
      )-1
    ),
    SUBSTITUTE(SUBSTITUTE(SUBSTITUTE(SUBSTITUTE(SUBSTITUTE(SUBSTITUTE(SUBSTITUTE(C99,"(","_"),")","_"),"/","_"),":","_"),"-","_")," ","_"),"__","_")
  )
)</f>
        <v>lab_passaged</v>
      </c>
      <c r="C99" s="49" t="s">
        <v>730</v>
      </c>
      <c r="D99" s="50" t="s">
        <v>731</v>
      </c>
      <c r="E99" s="49" t="s">
        <v>98</v>
      </c>
      <c r="F99" s="49" t="s">
        <v>65</v>
      </c>
      <c r="G99" s="49"/>
      <c r="H99" s="49"/>
      <c r="I99" s="49"/>
      <c r="J99" s="49"/>
      <c r="K99" s="49"/>
      <c r="L99" s="49"/>
      <c r="M99" s="49"/>
      <c r="N99" s="49"/>
      <c r="O99" s="49"/>
      <c r="P99" s="49"/>
      <c r="Q99" s="49"/>
      <c r="R99" s="49"/>
      <c r="S99" s="49"/>
      <c r="T99" s="49"/>
      <c r="U99" s="49"/>
      <c r="V99" s="49"/>
      <c r="W99" s="49"/>
      <c r="X99" s="48" t="s">
        <v>68</v>
      </c>
      <c r="Y99" s="48" t="s">
        <v>323</v>
      </c>
      <c r="Z99" s="48"/>
      <c r="AA99" s="49" t="str">
        <f>"[" &amp; _xlfn.TEXTJOIN(", ", TRUE,
    IF(I99&lt;&gt;"", """" &amp; I$1 &amp; """", ""),
    IF(J99&lt;&gt;"", """" &amp; J$1 &amp; """", ""),
    IF(K99&lt;&gt;"", """" &amp; K$1 &amp; """", ""),
    IF(L99&lt;&gt;"", """" &amp; L$1 &amp; """", ""),
    IF(M99&lt;&gt;"", """" &amp; M$1 &amp; """", ""),    IF(N99&lt;&gt;"", """" &amp; N$1 &amp; """", ""),    IF(O99&lt;&gt;"", """" &amp; O$1 &amp; """", ""),     IF(P99&lt;&gt;"", """" &amp; P$1 &amp; """", ""),     IF(Q99&lt;&gt;"", """" &amp; Q$1 &amp; """", ""), IF(R99&lt;&gt;"", """" &amp; R$1 &amp; """", ""), IF(S99&lt;&gt;"", """" &amp; S$1 &amp; """", ""), IF(T99&lt;&gt;"", """" &amp; T$1 &amp; """", ""), IF(U99&lt;&gt;"", """" &amp; U$1 &amp; """", ""),
    IF(X99&lt;&gt;"", """" &amp; X99 &amp; """", ""), IF(V99&lt;&gt;"", """" &amp; V99 &amp; """", ""), IF(W99&lt;&gt;"", """" &amp; W99 &amp; """", ""),
    IF(Y99&lt;&gt;"", """" &amp; Y99 &amp; """", ""),
    IF(Z99&lt;&gt;"", """" &amp; Z99 &amp; """", "")
) &amp; "]"</f>
        <v>["Sample", "Virus Info"]</v>
      </c>
      <c r="AB99" s="49" t="s">
        <v>8</v>
      </c>
      <c r="AC99" s="49" t="s">
        <v>196</v>
      </c>
      <c r="AD99" s="49"/>
      <c r="AE99" s="49"/>
      <c r="AF99" s="49"/>
      <c r="AG99" s="49"/>
      <c r="AH99" s="49"/>
      <c r="AI99" s="49"/>
      <c r="AJ99" s="49"/>
      <c r="AK99" s="49"/>
      <c r="AL99" s="49"/>
      <c r="AM99" s="49"/>
      <c r="AN99" s="49"/>
      <c r="AO99" s="49"/>
      <c r="AP99" s="49"/>
      <c r="AQ99" s="49"/>
      <c r="AR99" s="49"/>
      <c r="AS99" s="49"/>
      <c r="AT99" s="49"/>
      <c r="AU99" s="49"/>
      <c r="AV99" s="49"/>
      <c r="AW99" s="49"/>
      <c r="AX99" s="54"/>
      <c r="AY99" s="49"/>
      <c r="AZ99" s="49"/>
      <c r="BA99" s="49"/>
      <c r="BB99" s="49"/>
      <c r="BC99" s="49" t="s">
        <v>73</v>
      </c>
      <c r="BD99" s="49" t="s">
        <v>499</v>
      </c>
      <c r="BE99" s="49"/>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5"/>
      <c r="DQ99" s="45"/>
      <c r="DR99" s="45"/>
      <c r="DS99" s="45"/>
      <c r="DT99" s="45"/>
      <c r="DU99" s="45"/>
      <c r="DV99" s="45"/>
      <c r="DW99" s="45"/>
      <c r="DX99" s="45"/>
      <c r="DY99" s="45"/>
      <c r="DZ99" s="45"/>
      <c r="EA99" s="45"/>
      <c r="EB99" s="45"/>
      <c r="EC99" s="45"/>
      <c r="ED99" s="45"/>
      <c r="EE99" s="45"/>
      <c r="EF99" s="45"/>
      <c r="EG99" s="45"/>
      <c r="EH99" s="45"/>
      <c r="EI99" s="45"/>
      <c r="EJ99" s="45"/>
      <c r="EK99" s="45"/>
      <c r="EL99" s="45"/>
      <c r="EM99" s="45"/>
      <c r="EN99" s="45"/>
      <c r="EO99" s="45"/>
      <c r="EP99" s="45"/>
      <c r="EQ99" s="45"/>
      <c r="ER99" s="45"/>
      <c r="ES99" s="45"/>
      <c r="ET99" s="45"/>
      <c r="EU99" s="45"/>
      <c r="EV99" s="45"/>
      <c r="EW99" s="45"/>
      <c r="EX99" s="45"/>
      <c r="EY99" s="45"/>
      <c r="EZ99" s="45"/>
      <c r="FA99" s="45"/>
      <c r="FB99" s="45"/>
      <c r="FC99" s="45"/>
      <c r="FD99" s="45"/>
      <c r="FE99" s="45"/>
      <c r="FF99" s="45"/>
      <c r="FG99" s="45"/>
      <c r="FH99" s="45"/>
      <c r="FI99" s="45"/>
      <c r="FJ99" s="45"/>
      <c r="FK99" s="45"/>
      <c r="FL99" s="45"/>
      <c r="FM99" s="45"/>
      <c r="FN99" s="45"/>
      <c r="FO99" s="45"/>
      <c r="FP99" s="45"/>
      <c r="FQ99" s="45"/>
      <c r="FR99" s="45"/>
      <c r="FS99" s="45"/>
      <c r="FT99" s="45"/>
      <c r="FU99" s="45"/>
      <c r="FV99" s="45"/>
      <c r="FW99" s="45"/>
      <c r="FX99" s="45"/>
      <c r="FY99" s="45"/>
      <c r="FZ99" s="45"/>
      <c r="GA99" s="45"/>
      <c r="GB99" s="45"/>
      <c r="GC99" s="45"/>
    </row>
    <row r="100" spans="1:185" s="46" customFormat="1" ht="34.5" customHeight="1">
      <c r="A100" s="99" t="s">
        <v>732</v>
      </c>
      <c r="B100" s="50" t="str">
        <f>LOWER(
  IF(
    RIGHT(
      SUBSTITUTE(SUBSTITUTE(SUBSTITUTE(SUBSTITUTE(SUBSTITUTE(SUBSTITUTE(SUBSTITUTE(C100,"(","_"),")","_"),"/","_"),":","_"),"-","_")," ","_"),"__","_"),
      1
    )="_",
    LEFT(
      SUBSTITUTE(SUBSTITUTE(SUBSTITUTE(SUBSTITUTE(SUBSTITUTE(SUBSTITUTE(SUBSTITUTE(C100,"(","_"),")","_"),"/","_"),":","_"),"-","_")," ","_"),"__","_"),
      LEN(
        SUBSTITUTE(SUBSTITUTE(SUBSTITUTE(SUBSTITUTE(SUBSTITUTE(SUBSTITUTE(SUBSTITUTE(C100,"(","_"),")","_"),"/","_"),":","_"),"-","_")," ","_"),"__","_")
      )-1
    ),
    SUBSTITUTE(SUBSTITUTE(SUBSTITUTE(SUBSTITUTE(SUBSTITUTE(SUBSTITUTE(SUBSTITUTE(C100,"(","_"),")","_"),"/","_"),":","_"),"-","_")," ","_"),"__","_")
  )
)</f>
        <v>viralzone_page</v>
      </c>
      <c r="C100" s="49" t="s">
        <v>733</v>
      </c>
      <c r="D100" s="50" t="s">
        <v>734</v>
      </c>
      <c r="E100" s="49" t="s">
        <v>735</v>
      </c>
      <c r="F100" s="49" t="s">
        <v>65</v>
      </c>
      <c r="G100" s="49"/>
      <c r="H100" s="49"/>
      <c r="I100" s="49"/>
      <c r="J100" s="49"/>
      <c r="K100" s="49"/>
      <c r="L100" s="49"/>
      <c r="M100" s="49"/>
      <c r="N100" s="49"/>
      <c r="O100" s="49"/>
      <c r="P100" s="49"/>
      <c r="Q100" s="49"/>
      <c r="R100" s="49"/>
      <c r="S100" s="49"/>
      <c r="T100" s="49"/>
      <c r="U100" s="49"/>
      <c r="V100" s="49"/>
      <c r="W100" s="49"/>
      <c r="X100" s="48" t="s">
        <v>736</v>
      </c>
      <c r="Y100" s="48" t="s">
        <v>737</v>
      </c>
      <c r="Z100" s="48"/>
      <c r="AA100" s="49" t="str">
        <f>"[" &amp; _xlfn.TEXTJOIN(", ", TRUE,
    IF(I100&lt;&gt;"", """" &amp; I$1 &amp; """", ""),
    IF(J100&lt;&gt;"", """" &amp; J$1 &amp; """", ""),
    IF(K100&lt;&gt;"", """" &amp; K$1 &amp; """", ""),
    IF(L100&lt;&gt;"", """" &amp; L$1 &amp; """", ""),
    IF(M100&lt;&gt;"", """" &amp; M$1 &amp; """", ""),    IF(N100&lt;&gt;"", """" &amp; N$1 &amp; """", ""),    IF(O100&lt;&gt;"", """" &amp; O$1 &amp; """", ""),     IF(P100&lt;&gt;"", """" &amp; P$1 &amp; """", ""),     IF(Q100&lt;&gt;"", """" &amp; Q$1 &amp; """", ""), IF(R100&lt;&gt;"", """" &amp; R$1 &amp; """", ""), IF(S100&lt;&gt;"", """" &amp; S$1 &amp; """", ""), IF(T100&lt;&gt;"", """" &amp; T$1 &amp; """", ""), IF(U100&lt;&gt;"", """" &amp; U$1 &amp; """", ""),
    IF(X100&lt;&gt;"", """" &amp; X100 &amp; """", ""), IF(V100&lt;&gt;"", """" &amp; V100 &amp; """", ""), IF(W100&lt;&gt;"", """" &amp; W100 &amp; """", ""),
    IF(Y100&lt;&gt;"", """" &amp; Y100 &amp; """", ""),
    IF(Z100&lt;&gt;"", """" &amp; Z100 &amp; """", "")
) &amp; "]"</f>
        <v>["Source", "Flags"]</v>
      </c>
      <c r="AB100" s="49" t="s">
        <v>738</v>
      </c>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54"/>
      <c r="AY100" s="49"/>
      <c r="AZ100" s="49"/>
      <c r="BA100" s="49"/>
      <c r="BB100" s="49"/>
      <c r="BC100" s="49" t="s">
        <v>73</v>
      </c>
      <c r="BD100" s="49" t="s">
        <v>499</v>
      </c>
      <c r="BE100" s="49"/>
      <c r="BF100" s="45"/>
      <c r="BG100" s="45"/>
      <c r="BH100" s="45"/>
      <c r="BI100" s="45"/>
      <c r="BJ100" s="45"/>
      <c r="BK100" s="45"/>
      <c r="BL100" s="45"/>
      <c r="BM100" s="45"/>
      <c r="BN100" s="45"/>
      <c r="BO100" s="45"/>
      <c r="BP100" s="45"/>
      <c r="BQ100" s="45"/>
      <c r="BR100" s="45"/>
      <c r="BS100" s="45"/>
      <c r="BT100" s="45"/>
      <c r="BU100" s="45"/>
      <c r="BV100" s="45"/>
      <c r="BW100" s="45"/>
      <c r="BX100" s="45"/>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5"/>
      <c r="DQ100" s="45"/>
      <c r="DR100" s="45"/>
      <c r="DS100" s="45"/>
      <c r="DT100" s="45"/>
      <c r="DU100" s="45"/>
      <c r="DV100" s="45"/>
      <c r="DW100" s="45"/>
      <c r="DX100" s="45"/>
      <c r="DY100" s="45"/>
      <c r="DZ100" s="45"/>
      <c r="EA100" s="45"/>
      <c r="EB100" s="45"/>
      <c r="EC100" s="45"/>
      <c r="ED100" s="45"/>
      <c r="EE100" s="45"/>
      <c r="EF100" s="45"/>
      <c r="EG100" s="45"/>
      <c r="EH100" s="45"/>
      <c r="EI100" s="45"/>
      <c r="EJ100" s="45"/>
      <c r="EK100" s="45"/>
      <c r="EL100" s="45"/>
      <c r="EM100" s="45"/>
      <c r="EN100" s="45"/>
      <c r="EO100" s="45"/>
      <c r="EP100" s="45"/>
      <c r="EQ100" s="45"/>
      <c r="ER100" s="45"/>
      <c r="ES100" s="45"/>
      <c r="ET100" s="45"/>
      <c r="EU100" s="45"/>
      <c r="EV100" s="45"/>
      <c r="EW100" s="45"/>
      <c r="EX100" s="45"/>
      <c r="EY100" s="45"/>
      <c r="EZ100" s="45"/>
      <c r="FA100" s="45"/>
      <c r="FB100" s="45"/>
      <c r="FC100" s="45"/>
      <c r="FD100" s="45"/>
      <c r="FE100" s="45"/>
      <c r="FF100" s="45"/>
      <c r="FG100" s="45"/>
      <c r="FH100" s="45"/>
      <c r="FI100" s="45"/>
      <c r="FJ100" s="45"/>
      <c r="FK100" s="45"/>
      <c r="FL100" s="45"/>
      <c r="FM100" s="45"/>
      <c r="FN100" s="45"/>
      <c r="FO100" s="45"/>
      <c r="FP100" s="45"/>
      <c r="FQ100" s="45"/>
      <c r="FR100" s="45"/>
      <c r="FS100" s="45"/>
      <c r="FT100" s="45"/>
      <c r="FU100" s="45"/>
      <c r="FV100" s="45"/>
      <c r="FW100" s="45"/>
      <c r="FX100" s="45"/>
      <c r="FY100" s="45"/>
      <c r="FZ100" s="45"/>
      <c r="GA100" s="45"/>
      <c r="GB100" s="45"/>
      <c r="GC100" s="45"/>
    </row>
    <row r="101" spans="1:185" s="46" customFormat="1" ht="34.5" customHeight="1">
      <c r="A101" s="99" t="s">
        <v>739</v>
      </c>
      <c r="B101" s="50" t="str">
        <f>LOWER(
  IF(
    RIGHT(
      SUBSTITUTE(SUBSTITUTE(SUBSTITUTE(SUBSTITUTE(SUBSTITUTE(SUBSTITUTE(SUBSTITUTE(C101,"(","_"),")","_"),"/","_"),":","_"),"-","_")," ","_"),"__","_"),
      1
    )="_",
    LEFT(
      SUBSTITUTE(SUBSTITUTE(SUBSTITUTE(SUBSTITUTE(SUBSTITUTE(SUBSTITUTE(SUBSTITUTE(C101,"(","_"),")","_"),"/","_"),":","_"),"-","_")," ","_"),"__","_"),
      LEN(
        SUBSTITUTE(SUBSTITUTE(SUBSTITUTE(SUBSTITUTE(SUBSTITUTE(SUBSTITUTE(SUBSTITUTE(C101,"(","_"),")","_"),"/","_"),":","_"),"-","_")," ","_"),"__","_")
      )-1
    ),
    SUBSTITUTE(SUBSTITUTE(SUBSTITUTE(SUBSTITUTE(SUBSTITUTE(SUBSTITUTE(SUBSTITUTE(C101,"(","_"),")","_"),"/","_"),":","_"),"-","_")," ","_"),"__","_")
  )
)</f>
        <v>ictv_id</v>
      </c>
      <c r="C101" s="49" t="s">
        <v>740</v>
      </c>
      <c r="D101" s="50" t="s">
        <v>741</v>
      </c>
      <c r="E101" s="49" t="s">
        <v>98</v>
      </c>
      <c r="F101" s="49" t="s">
        <v>65</v>
      </c>
      <c r="G101" s="49"/>
      <c r="H101" s="49"/>
      <c r="I101" s="49"/>
      <c r="J101" s="49"/>
      <c r="K101" s="49"/>
      <c r="L101" s="49"/>
      <c r="M101" s="49"/>
      <c r="N101" s="49"/>
      <c r="O101" s="49"/>
      <c r="P101" s="49"/>
      <c r="Q101" s="49"/>
      <c r="R101" s="49"/>
      <c r="S101" s="49"/>
      <c r="T101" s="49"/>
      <c r="U101" s="49"/>
      <c r="V101" s="49"/>
      <c r="W101" s="49"/>
      <c r="X101" s="48" t="s">
        <v>736</v>
      </c>
      <c r="Y101" s="48" t="s">
        <v>737</v>
      </c>
      <c r="Z101" s="48" t="s">
        <v>324</v>
      </c>
      <c r="AA101" s="49" t="str">
        <f>"[" &amp; _xlfn.TEXTJOIN(", ", TRUE,
    IF(I101&lt;&gt;"", """" &amp; I$1 &amp; """", ""),
    IF(J101&lt;&gt;"", """" &amp; J$1 &amp; """", ""),
    IF(K101&lt;&gt;"", """" &amp; K$1 &amp; """", ""),
    IF(L101&lt;&gt;"", """" &amp; L$1 &amp; """", ""),
    IF(M101&lt;&gt;"", """" &amp; M$1 &amp; """", ""),    IF(N101&lt;&gt;"", """" &amp; N$1 &amp; """", ""),    IF(O101&lt;&gt;"", """" &amp; O$1 &amp; """", ""),     IF(P101&lt;&gt;"", """" &amp; P$1 &amp; """", ""),     IF(Q101&lt;&gt;"", """" &amp; Q$1 &amp; """", ""), IF(R101&lt;&gt;"", """" &amp; R$1 &amp; """", ""), IF(S101&lt;&gt;"", """" &amp; S$1 &amp; """", ""), IF(T101&lt;&gt;"", """" &amp; T$1 &amp; """", ""), IF(U101&lt;&gt;"", """" &amp; U$1 &amp; """", ""),
    IF(X101&lt;&gt;"", """" &amp; X101 &amp; """", ""), IF(V101&lt;&gt;"", """" &amp; V101 &amp; """", ""), IF(W101&lt;&gt;"", """" &amp; W101 &amp; """", ""),
    IF(Y101&lt;&gt;"", """" &amp; Y101 &amp; """", ""),
    IF(Z101&lt;&gt;"", """" &amp; Z101 &amp; """", "")
) &amp; "]"</f>
        <v>["Source", "Flags", "ICTV Taxonomy"]</v>
      </c>
      <c r="AB101" s="49" t="s">
        <v>325</v>
      </c>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54"/>
      <c r="AY101" s="49"/>
      <c r="AZ101" s="49"/>
      <c r="BA101" s="49"/>
      <c r="BB101" s="49" t="s">
        <v>742</v>
      </c>
      <c r="BC101" s="49" t="s">
        <v>73</v>
      </c>
      <c r="BD101" s="49" t="s">
        <v>108</v>
      </c>
      <c r="BE101" s="49"/>
      <c r="BF101" s="45"/>
      <c r="BG101" s="45"/>
      <c r="BH101" s="45"/>
      <c r="BI101" s="45"/>
      <c r="BJ101" s="45"/>
      <c r="BK101" s="45"/>
      <c r="BL101" s="45"/>
      <c r="BM101" s="45"/>
      <c r="BN101" s="45"/>
      <c r="BO101" s="45"/>
      <c r="BP101" s="45"/>
      <c r="BQ101" s="45"/>
      <c r="BR101" s="45"/>
      <c r="BS101" s="45"/>
      <c r="BT101" s="45"/>
      <c r="BU101" s="45"/>
      <c r="BV101" s="45"/>
      <c r="BW101" s="45"/>
      <c r="BX101" s="45"/>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5"/>
      <c r="DQ101" s="45"/>
      <c r="DR101" s="45"/>
      <c r="DS101" s="45"/>
      <c r="DT101" s="45"/>
      <c r="DU101" s="45"/>
      <c r="DV101" s="45"/>
      <c r="DW101" s="45"/>
      <c r="DX101" s="45"/>
      <c r="DY101" s="45"/>
      <c r="DZ101" s="45"/>
      <c r="EA101" s="45"/>
      <c r="EB101" s="45"/>
      <c r="EC101" s="45"/>
      <c r="ED101" s="45"/>
      <c r="EE101" s="45"/>
      <c r="EF101" s="45"/>
      <c r="EG101" s="45"/>
      <c r="EH101" s="45"/>
      <c r="EI101" s="45"/>
      <c r="EJ101" s="45"/>
      <c r="EK101" s="45"/>
      <c r="EL101" s="45"/>
      <c r="EM101" s="45"/>
      <c r="EN101" s="45"/>
      <c r="EO101" s="45"/>
      <c r="EP101" s="45"/>
      <c r="EQ101" s="45"/>
      <c r="ER101" s="45"/>
      <c r="ES101" s="45"/>
      <c r="ET101" s="45"/>
      <c r="EU101" s="45"/>
      <c r="EV101" s="45"/>
      <c r="EW101" s="45"/>
      <c r="EX101" s="45"/>
      <c r="EY101" s="45"/>
      <c r="EZ101" s="45"/>
      <c r="FA101" s="45"/>
      <c r="FB101" s="45"/>
      <c r="FC101" s="45"/>
      <c r="FD101" s="45"/>
      <c r="FE101" s="45"/>
      <c r="FF101" s="45"/>
      <c r="FG101" s="45"/>
      <c r="FH101" s="45"/>
      <c r="FI101" s="45"/>
      <c r="FJ101" s="45"/>
      <c r="FK101" s="45"/>
      <c r="FL101" s="45"/>
      <c r="FM101" s="45"/>
      <c r="FN101" s="45"/>
      <c r="FO101" s="45"/>
      <c r="FP101" s="45"/>
      <c r="FQ101" s="45"/>
      <c r="FR101" s="45"/>
      <c r="FS101" s="45"/>
      <c r="FT101" s="45"/>
      <c r="FU101" s="45"/>
      <c r="FV101" s="45"/>
      <c r="FW101" s="45"/>
      <c r="FX101" s="45"/>
      <c r="FY101" s="45"/>
      <c r="FZ101" s="45"/>
      <c r="GA101" s="45"/>
      <c r="GB101" s="45"/>
      <c r="GC101" s="45"/>
    </row>
    <row r="102" spans="1:185" s="46" customFormat="1" ht="34.5" customHeight="1">
      <c r="A102" s="99" t="s">
        <v>743</v>
      </c>
      <c r="B102" s="50" t="str">
        <f>LOWER(
  IF(
    RIGHT(
      SUBSTITUTE(SUBSTITUTE(SUBSTITUTE(SUBSTITUTE(SUBSTITUTE(SUBSTITUTE(SUBSTITUTE(C102,"(","_"),")","_"),"/","_"),":","_"),"-","_")," ","_"),"__","_"),
      1
    )="_",
    LEFT(
      SUBSTITUTE(SUBSTITUTE(SUBSTITUTE(SUBSTITUTE(SUBSTITUTE(SUBSTITUTE(SUBSTITUTE(C102,"(","_"),")","_"),"/","_"),":","_"),"-","_")," ","_"),"__","_"),
      LEN(
        SUBSTITUTE(SUBSTITUTE(SUBSTITUTE(SUBSTITUTE(SUBSTITUTE(SUBSTITUTE(SUBSTITUTE(C102,"(","_"),")","_"),"/","_"),":","_"),"-","_")," ","_"),"__","_")
      )-1
    ),
    SUBSTITUTE(SUBSTITUTE(SUBSTITUTE(SUBSTITUTE(SUBSTITUTE(SUBSTITUTE(SUBSTITUTE(C102,"(","_"),")","_"),"/","_"),":","_"),"-","_")," ","_"),"__","_")
  )
)</f>
        <v>ictv_virus_name</v>
      </c>
      <c r="C102" s="49" t="s">
        <v>744</v>
      </c>
      <c r="D102" s="50" t="s">
        <v>745</v>
      </c>
      <c r="E102" s="49" t="s">
        <v>64</v>
      </c>
      <c r="F102" s="49" t="s">
        <v>65</v>
      </c>
      <c r="G102" s="49"/>
      <c r="H102" s="49"/>
      <c r="I102" s="49"/>
      <c r="J102" s="49"/>
      <c r="K102" s="49"/>
      <c r="L102" s="49"/>
      <c r="M102" s="49"/>
      <c r="N102" s="49"/>
      <c r="O102" s="49"/>
      <c r="P102" s="49"/>
      <c r="Q102" s="49"/>
      <c r="R102" s="49"/>
      <c r="S102" s="49"/>
      <c r="T102" s="49"/>
      <c r="U102" s="49"/>
      <c r="V102" s="49"/>
      <c r="W102" s="49"/>
      <c r="X102" s="48" t="s">
        <v>698</v>
      </c>
      <c r="Y102" s="48" t="s">
        <v>323</v>
      </c>
      <c r="Z102" s="48" t="s">
        <v>324</v>
      </c>
      <c r="AA102" s="49" t="str">
        <f>"[" &amp; _xlfn.TEXTJOIN(", ", TRUE,
    IF(I102&lt;&gt;"", """" &amp; I$1 &amp; """", ""),
    IF(J102&lt;&gt;"", """" &amp; J$1 &amp; """", ""),
    IF(K102&lt;&gt;"", """" &amp; K$1 &amp; """", ""),
    IF(L102&lt;&gt;"", """" &amp; L$1 &amp; """", ""),
    IF(M102&lt;&gt;"", """" &amp; M$1 &amp; """", ""),    IF(N102&lt;&gt;"", """" &amp; N$1 &amp; """", ""),    IF(O102&lt;&gt;"", """" &amp; O$1 &amp; """", ""),     IF(P102&lt;&gt;"", """" &amp; P$1 &amp; """", ""),     IF(Q102&lt;&gt;"", """" &amp; Q$1 &amp; """", ""), IF(R102&lt;&gt;"", """" &amp; R$1 &amp; """", ""), IF(S102&lt;&gt;"", """" &amp; S$1 &amp; """", ""), IF(T102&lt;&gt;"", """" &amp; T$1 &amp; """", ""), IF(U102&lt;&gt;"", """" &amp; U$1 &amp; """", ""),
    IF(X102&lt;&gt;"", """" &amp; X102 &amp; """", ""), IF(V102&lt;&gt;"", """" &amp; V102 &amp; """", ""), IF(W102&lt;&gt;"", """" &amp; W102 &amp; """", ""),
    IF(Y102&lt;&gt;"", """" &amp; Y102 &amp; """", ""),
    IF(Z102&lt;&gt;"", """" &amp; Z102 &amp; """", "")
) &amp; "]"</f>
        <v>["Taxonomy", "Virus Info", "ICTV Taxonomy"]</v>
      </c>
      <c r="AB102" s="49" t="s">
        <v>325</v>
      </c>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54"/>
      <c r="AY102" s="49"/>
      <c r="AZ102" s="49"/>
      <c r="BA102" s="49"/>
      <c r="BB102" s="49" t="s">
        <v>746</v>
      </c>
      <c r="BC102" s="49" t="s">
        <v>73</v>
      </c>
      <c r="BD102" s="49" t="s">
        <v>142</v>
      </c>
      <c r="BE102" s="49" t="s">
        <v>60</v>
      </c>
      <c r="BF102" s="45"/>
      <c r="BG102" s="45"/>
      <c r="BH102" s="45"/>
      <c r="BI102" s="45"/>
      <c r="BJ102" s="45"/>
      <c r="BK102" s="45"/>
      <c r="BL102" s="45"/>
      <c r="BM102" s="45"/>
      <c r="BN102" s="45"/>
      <c r="BO102" s="45"/>
      <c r="BP102" s="45"/>
      <c r="BQ102" s="45"/>
      <c r="BR102" s="45"/>
      <c r="BS102" s="45"/>
      <c r="BT102" s="45"/>
      <c r="BU102" s="45"/>
      <c r="BV102" s="45"/>
      <c r="BW102" s="45"/>
      <c r="BX102" s="45"/>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5"/>
      <c r="DQ102" s="45"/>
      <c r="DR102" s="45"/>
      <c r="DS102" s="45"/>
      <c r="DT102" s="45"/>
      <c r="DU102" s="45"/>
      <c r="DV102" s="45"/>
      <c r="DW102" s="45"/>
      <c r="DX102" s="45"/>
      <c r="DY102" s="45"/>
      <c r="DZ102" s="45"/>
      <c r="EA102" s="45"/>
      <c r="EB102" s="45"/>
      <c r="EC102" s="45"/>
      <c r="ED102" s="45"/>
      <c r="EE102" s="45"/>
      <c r="EF102" s="45"/>
      <c r="EG102" s="45"/>
      <c r="EH102" s="45"/>
      <c r="EI102" s="45"/>
      <c r="EJ102" s="45"/>
      <c r="EK102" s="45"/>
      <c r="EL102" s="45"/>
      <c r="EM102" s="45"/>
      <c r="EN102" s="45"/>
      <c r="EO102" s="45"/>
      <c r="EP102" s="45"/>
      <c r="EQ102" s="45"/>
      <c r="ER102" s="45"/>
      <c r="ES102" s="45"/>
      <c r="ET102" s="45"/>
      <c r="EU102" s="45"/>
      <c r="EV102" s="45"/>
      <c r="EW102" s="45"/>
      <c r="EX102" s="45"/>
      <c r="EY102" s="45"/>
      <c r="EZ102" s="45"/>
      <c r="FA102" s="45"/>
      <c r="FB102" s="45"/>
      <c r="FC102" s="45"/>
      <c r="FD102" s="45"/>
      <c r="FE102" s="45"/>
      <c r="FF102" s="45"/>
      <c r="FG102" s="45"/>
      <c r="FH102" s="45"/>
      <c r="FI102" s="45"/>
      <c r="FJ102" s="45"/>
      <c r="FK102" s="45"/>
      <c r="FL102" s="45"/>
      <c r="FM102" s="45"/>
      <c r="FN102" s="45"/>
      <c r="FO102" s="45"/>
      <c r="FP102" s="45"/>
      <c r="FQ102" s="45"/>
      <c r="FR102" s="45"/>
      <c r="FS102" s="45"/>
      <c r="FT102" s="45"/>
      <c r="FU102" s="45"/>
      <c r="FV102" s="45"/>
      <c r="FW102" s="45"/>
      <c r="FX102" s="45"/>
      <c r="FY102" s="45"/>
      <c r="FZ102" s="45"/>
      <c r="GA102" s="45"/>
      <c r="GB102" s="45"/>
      <c r="GC102" s="45"/>
    </row>
    <row r="103" spans="1:185" s="46" customFormat="1" ht="34.5" customHeight="1">
      <c r="A103" s="99" t="s">
        <v>747</v>
      </c>
      <c r="B103" s="50" t="str">
        <f>LOWER(
  IF(
    RIGHT(
      SUBSTITUTE(SUBSTITUTE(SUBSTITUTE(SUBSTITUTE(SUBSTITUTE(SUBSTITUTE(SUBSTITUTE(C103,"(","_"),")","_"),"/","_"),":","_"),"-","_")," ","_"),"__","_"),
      1
    )="_",
    LEFT(
      SUBSTITUTE(SUBSTITUTE(SUBSTITUTE(SUBSTITUTE(SUBSTITUTE(SUBSTITUTE(SUBSTITUTE(C103,"(","_"),")","_"),"/","_"),":","_"),"-","_")," ","_"),"__","_"),
      LEN(
        SUBSTITUTE(SUBSTITUTE(SUBSTITUTE(SUBSTITUTE(SUBSTITUTE(SUBSTITUTE(SUBSTITUTE(C103,"(","_"),")","_"),"/","_"),":","_"),"-","_")," ","_"),"__","_")
      )-1
    ),
    SUBSTITUTE(SUBSTITUTE(SUBSTITUTE(SUBSTITUTE(SUBSTITUTE(SUBSTITUTE(SUBSTITUTE(C103,"(","_"),")","_"),"/","_"),":","_"),"-","_")," ","_"),"__","_")
  )
)</f>
        <v>taxonomy_tree_hash</v>
      </c>
      <c r="C103" s="49" t="s">
        <v>748</v>
      </c>
      <c r="D103" s="50" t="s">
        <v>749</v>
      </c>
      <c r="E103" s="49" t="s">
        <v>98</v>
      </c>
      <c r="F103" s="49" t="s">
        <v>65</v>
      </c>
      <c r="G103" s="49"/>
      <c r="H103" s="49"/>
      <c r="I103" s="49"/>
      <c r="J103" s="49"/>
      <c r="K103" s="49"/>
      <c r="L103" s="49"/>
      <c r="M103" s="49"/>
      <c r="N103" s="49"/>
      <c r="O103" s="49"/>
      <c r="P103" s="49"/>
      <c r="Q103" s="49"/>
      <c r="R103" s="49"/>
      <c r="S103" s="49"/>
      <c r="T103" s="49"/>
      <c r="U103" s="49"/>
      <c r="V103" s="49"/>
      <c r="W103" s="49"/>
      <c r="X103" s="48" t="s">
        <v>685</v>
      </c>
      <c r="Y103" s="48"/>
      <c r="Z103" s="48" t="s">
        <v>93</v>
      </c>
      <c r="AA103" s="49" t="str">
        <f>"[" &amp; _xlfn.TEXTJOIN(", ", TRUE,
    IF(I103&lt;&gt;"", """" &amp; I$1 &amp; """", ""),
    IF(J103&lt;&gt;"", """" &amp; J$1 &amp; """", ""),
    IF(K103&lt;&gt;"", """" &amp; K$1 &amp; """", ""),
    IF(L103&lt;&gt;"", """" &amp; L$1 &amp; """", ""),
    IF(M103&lt;&gt;"", """" &amp; M$1 &amp; """", ""),    IF(N103&lt;&gt;"", """" &amp; N$1 &amp; """", ""),    IF(O103&lt;&gt;"", """" &amp; O$1 &amp; """", ""),     IF(P103&lt;&gt;"", """" &amp; P$1 &amp; """", ""),     IF(Q103&lt;&gt;"", """" &amp; Q$1 &amp; """", ""), IF(R103&lt;&gt;"", """" &amp; R$1 &amp; """", ""), IF(S103&lt;&gt;"", """" &amp; S$1 &amp; """", ""), IF(T103&lt;&gt;"", """" &amp; T$1 &amp; """", ""), IF(U103&lt;&gt;"", """" &amp; U$1 &amp; """", ""),
    IF(X103&lt;&gt;"", """" &amp; X103 &amp; """", ""), IF(V103&lt;&gt;"", """" &amp; V103 &amp; """", ""), IF(W103&lt;&gt;"", """" &amp; W103 &amp; """", ""),
    IF(Y103&lt;&gt;"", """" &amp; Y103 &amp; """", ""),
    IF(Z103&lt;&gt;"", """" &amp; Z103 &amp; """", "")
) &amp; "]"</f>
        <v>["Internal", "Workflows"]</v>
      </c>
      <c r="AB103" s="49" t="s">
        <v>18</v>
      </c>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54"/>
      <c r="AY103" s="49"/>
      <c r="AZ103" s="49"/>
      <c r="BA103" s="49"/>
      <c r="BB103" s="49"/>
      <c r="BC103" s="49" t="s">
        <v>73</v>
      </c>
      <c r="BD103" s="49" t="s">
        <v>499</v>
      </c>
      <c r="BE103" s="49"/>
      <c r="BF103" s="45"/>
      <c r="BG103" s="45"/>
      <c r="BH103" s="45"/>
      <c r="BI103" s="45"/>
      <c r="BJ103" s="45"/>
      <c r="BK103" s="45"/>
      <c r="BL103" s="45"/>
      <c r="BM103" s="45"/>
      <c r="BN103" s="45"/>
      <c r="BO103" s="45"/>
      <c r="BP103" s="45"/>
      <c r="BQ103" s="45"/>
      <c r="BR103" s="45"/>
      <c r="BS103" s="45"/>
      <c r="BT103" s="45"/>
      <c r="BU103" s="45"/>
      <c r="BV103" s="45"/>
      <c r="BW103" s="45"/>
      <c r="BX103" s="45"/>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5"/>
      <c r="DQ103" s="45"/>
      <c r="DR103" s="45"/>
      <c r="DS103" s="45"/>
      <c r="DT103" s="45"/>
      <c r="DU103" s="45"/>
      <c r="DV103" s="45"/>
      <c r="DW103" s="45"/>
      <c r="DX103" s="45"/>
      <c r="DY103" s="45"/>
      <c r="DZ103" s="45"/>
      <c r="EA103" s="45"/>
      <c r="EB103" s="45"/>
      <c r="EC103" s="45"/>
      <c r="ED103" s="45"/>
      <c r="EE103" s="45"/>
      <c r="EF103" s="45"/>
      <c r="EG103" s="45"/>
      <c r="EH103" s="45"/>
      <c r="EI103" s="45"/>
      <c r="EJ103" s="45"/>
      <c r="EK103" s="45"/>
      <c r="EL103" s="45"/>
      <c r="EM103" s="45"/>
      <c r="EN103" s="45"/>
      <c r="EO103" s="45"/>
      <c r="EP103" s="45"/>
      <c r="EQ103" s="45"/>
      <c r="ER103" s="45"/>
      <c r="ES103" s="45"/>
      <c r="ET103" s="45"/>
      <c r="EU103" s="45"/>
      <c r="EV103" s="45"/>
      <c r="EW103" s="45"/>
      <c r="EX103" s="45"/>
      <c r="EY103" s="45"/>
      <c r="EZ103" s="45"/>
      <c r="FA103" s="45"/>
      <c r="FB103" s="45"/>
      <c r="FC103" s="45"/>
      <c r="FD103" s="45"/>
      <c r="FE103" s="45"/>
      <c r="FF103" s="45"/>
      <c r="FG103" s="45"/>
      <c r="FH103" s="45"/>
      <c r="FI103" s="45"/>
      <c r="FJ103" s="45"/>
      <c r="FK103" s="45"/>
      <c r="FL103" s="45"/>
      <c r="FM103" s="45"/>
      <c r="FN103" s="45"/>
      <c r="FO103" s="45"/>
      <c r="FP103" s="45"/>
      <c r="FQ103" s="45"/>
      <c r="FR103" s="45"/>
      <c r="FS103" s="45"/>
      <c r="FT103" s="45"/>
      <c r="FU103" s="45"/>
      <c r="FV103" s="45"/>
      <c r="FW103" s="45"/>
      <c r="FX103" s="45"/>
      <c r="FY103" s="45"/>
      <c r="FZ103" s="45"/>
      <c r="GA103" s="45"/>
      <c r="GB103" s="45"/>
      <c r="GC103" s="45"/>
    </row>
    <row r="104" spans="1:185" s="46" customFormat="1" ht="34.5" customHeight="1">
      <c r="A104" s="99" t="s">
        <v>750</v>
      </c>
      <c r="B104" s="50" t="str">
        <f>LOWER(
  IF(
    RIGHT(
      SUBSTITUTE(SUBSTITUTE(SUBSTITUTE(SUBSTITUTE(SUBSTITUTE(SUBSTITUTE(SUBSTITUTE(C104,"(","_"),")","_"),"/","_"),":","_"),"-","_")," ","_"),"__","_"),
      1
    )="_",
    LEFT(
      SUBSTITUTE(SUBSTITUTE(SUBSTITUTE(SUBSTITUTE(SUBSTITUTE(SUBSTITUTE(SUBSTITUTE(C104,"(","_"),")","_"),"/","_"),":","_"),"-","_")," ","_"),"__","_"),
      LEN(
        SUBSTITUTE(SUBSTITUTE(SUBSTITUTE(SUBSTITUTE(SUBSTITUTE(SUBSTITUTE(SUBSTITUTE(C104,"(","_"),")","_"),"/","_"),":","_"),"-","_")," ","_"),"__","_")
      )-1
    ),
    SUBSTITUTE(SUBSTITUTE(SUBSTITUTE(SUBSTITUTE(SUBSTITUTE(SUBSTITUTE(SUBSTITUTE(C104,"(","_"),")","_"),"/","_"),":","_"),"-","_")," ","_"),"__","_")
  )
)</f>
        <v>current_virjen_version</v>
      </c>
      <c r="C104" s="49" t="s">
        <v>751</v>
      </c>
      <c r="D104" s="50" t="s">
        <v>752</v>
      </c>
      <c r="E104" s="49" t="s">
        <v>735</v>
      </c>
      <c r="F104" s="49" t="s">
        <v>65</v>
      </c>
      <c r="G104" s="49"/>
      <c r="H104" s="49"/>
      <c r="I104" s="49"/>
      <c r="J104" s="49"/>
      <c r="K104" s="49"/>
      <c r="L104" s="49"/>
      <c r="M104" s="49"/>
      <c r="N104" s="49"/>
      <c r="O104" s="49"/>
      <c r="P104" s="49"/>
      <c r="Q104" s="49"/>
      <c r="R104" s="49"/>
      <c r="S104" s="49"/>
      <c r="T104" s="49"/>
      <c r="U104" s="49"/>
      <c r="V104" s="49"/>
      <c r="W104" s="49"/>
      <c r="X104" s="48" t="s">
        <v>685</v>
      </c>
      <c r="Y104" s="48"/>
      <c r="Z104" s="48" t="s">
        <v>93</v>
      </c>
      <c r="AA104" s="49" t="str">
        <f>"[" &amp; _xlfn.TEXTJOIN(", ", TRUE,
    IF(I104&lt;&gt;"", """" &amp; I$1 &amp; """", ""),
    IF(J104&lt;&gt;"", """" &amp; J$1 &amp; """", ""),
    IF(K104&lt;&gt;"", """" &amp; K$1 &amp; """", ""),
    IF(L104&lt;&gt;"", """" &amp; L$1 &amp; """", ""),
    IF(M104&lt;&gt;"", """" &amp; M$1 &amp; """", ""),    IF(N104&lt;&gt;"", """" &amp; N$1 &amp; """", ""),    IF(O104&lt;&gt;"", """" &amp; O$1 &amp; """", ""),     IF(P104&lt;&gt;"", """" &amp; P$1 &amp; """", ""),     IF(Q104&lt;&gt;"", """" &amp; Q$1 &amp; """", ""), IF(R104&lt;&gt;"", """" &amp; R$1 &amp; """", ""), IF(S104&lt;&gt;"", """" &amp; S$1 &amp; """", ""), IF(T104&lt;&gt;"", """" &amp; T$1 &amp; """", ""), IF(U104&lt;&gt;"", """" &amp; U$1 &amp; """", ""),
    IF(X104&lt;&gt;"", """" &amp; X104 &amp; """", ""), IF(V104&lt;&gt;"", """" &amp; V104 &amp; """", ""), IF(W104&lt;&gt;"", """" &amp; W104 &amp; """", ""),
    IF(Y104&lt;&gt;"", """" &amp; Y104 &amp; """", ""),
    IF(Z104&lt;&gt;"", """" &amp; Z104 &amp; """", "")
) &amp; "]"</f>
        <v>["Internal", "Workflows"]</v>
      </c>
      <c r="AB104" s="49" t="s">
        <v>18</v>
      </c>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54"/>
      <c r="AY104" s="49"/>
      <c r="AZ104" s="49"/>
      <c r="BA104" s="49"/>
      <c r="BB104" s="49"/>
      <c r="BC104" s="49" t="s">
        <v>73</v>
      </c>
      <c r="BD104" s="49" t="s">
        <v>499</v>
      </c>
      <c r="BE104" s="49"/>
      <c r="BF104" s="45"/>
      <c r="BG104" s="45"/>
      <c r="BH104" s="45"/>
      <c r="BI104" s="45"/>
      <c r="BJ104" s="45"/>
      <c r="BK104" s="45"/>
      <c r="BL104" s="45"/>
      <c r="BM104" s="45"/>
      <c r="BN104" s="45"/>
      <c r="BO104" s="45"/>
      <c r="BP104" s="45"/>
      <c r="BQ104" s="45"/>
      <c r="BR104" s="45"/>
      <c r="BS104" s="45"/>
      <c r="BT104" s="45"/>
      <c r="BU104" s="45"/>
      <c r="BV104" s="45"/>
      <c r="BW104" s="45"/>
      <c r="BX104" s="45"/>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5"/>
      <c r="DQ104" s="45"/>
      <c r="DR104" s="45"/>
      <c r="DS104" s="45"/>
      <c r="DT104" s="45"/>
      <c r="DU104" s="45"/>
      <c r="DV104" s="45"/>
      <c r="DW104" s="45"/>
      <c r="DX104" s="45"/>
      <c r="DY104" s="45"/>
      <c r="DZ104" s="45"/>
      <c r="EA104" s="45"/>
      <c r="EB104" s="45"/>
      <c r="EC104" s="45"/>
      <c r="ED104" s="45"/>
      <c r="EE104" s="45"/>
      <c r="EF104" s="45"/>
      <c r="EG104" s="45"/>
      <c r="EH104" s="45"/>
      <c r="EI104" s="45"/>
      <c r="EJ104" s="45"/>
      <c r="EK104" s="45"/>
      <c r="EL104" s="45"/>
      <c r="EM104" s="45"/>
      <c r="EN104" s="45"/>
      <c r="EO104" s="45"/>
      <c r="EP104" s="45"/>
      <c r="EQ104" s="45"/>
      <c r="ER104" s="45"/>
      <c r="ES104" s="45"/>
      <c r="ET104" s="45"/>
      <c r="EU104" s="45"/>
      <c r="EV104" s="45"/>
      <c r="EW104" s="45"/>
      <c r="EX104" s="45"/>
      <c r="EY104" s="45"/>
      <c r="EZ104" s="45"/>
      <c r="FA104" s="45"/>
      <c r="FB104" s="45"/>
      <c r="FC104" s="45"/>
      <c r="FD104" s="45"/>
      <c r="FE104" s="45"/>
      <c r="FF104" s="45"/>
      <c r="FG104" s="45"/>
      <c r="FH104" s="45"/>
      <c r="FI104" s="45"/>
      <c r="FJ104" s="45"/>
      <c r="FK104" s="45"/>
      <c r="FL104" s="45"/>
      <c r="FM104" s="45"/>
      <c r="FN104" s="45"/>
      <c r="FO104" s="45"/>
      <c r="FP104" s="45"/>
      <c r="FQ104" s="45"/>
      <c r="FR104" s="45"/>
      <c r="FS104" s="45"/>
      <c r="FT104" s="45"/>
      <c r="FU104" s="45"/>
      <c r="FV104" s="45"/>
      <c r="FW104" s="45"/>
      <c r="FX104" s="45"/>
      <c r="FY104" s="45"/>
      <c r="FZ104" s="45"/>
      <c r="GA104" s="45"/>
      <c r="GB104" s="45"/>
      <c r="GC104" s="45"/>
    </row>
    <row r="105" spans="1:185" s="46" customFormat="1" ht="34.5" customHeight="1">
      <c r="A105" s="99" t="s">
        <v>753</v>
      </c>
      <c r="B105" s="50" t="str">
        <f>LOWER(
  IF(
    RIGHT(
      SUBSTITUTE(SUBSTITUTE(SUBSTITUTE(SUBSTITUTE(SUBSTITUTE(SUBSTITUTE(SUBSTITUTE(C105,"(","_"),")","_"),"/","_"),":","_"),"-","_")," ","_"),"__","_"),
      1
    )="_",
    LEFT(
      SUBSTITUTE(SUBSTITUTE(SUBSTITUTE(SUBSTITUTE(SUBSTITUTE(SUBSTITUTE(SUBSTITUTE(C105,"(","_"),")","_"),"/","_"),":","_"),"-","_")," ","_"),"__","_"),
      LEN(
        SUBSTITUTE(SUBSTITUTE(SUBSTITUTE(SUBSTITUTE(SUBSTITUTE(SUBSTITUTE(SUBSTITUTE(C105,"(","_"),")","_"),"/","_"),":","_"),"-","_")," ","_"),"__","_")
      )-1
    ),
    SUBSTITUTE(SUBSTITUTE(SUBSTITUTE(SUBSTITUTE(SUBSTITUTE(SUBSTITUTE(SUBSTITUTE(C105,"(","_"),")","_"),"/","_"),":","_"),"-","_")," ","_"),"__","_")
  )
)</f>
        <v>updated_fields</v>
      </c>
      <c r="C105" s="49" t="s">
        <v>754</v>
      </c>
      <c r="D105" s="50" t="s">
        <v>755</v>
      </c>
      <c r="E105" s="49" t="s">
        <v>292</v>
      </c>
      <c r="F105" s="49" t="s">
        <v>65</v>
      </c>
      <c r="G105" s="49"/>
      <c r="H105" s="49"/>
      <c r="I105" s="49"/>
      <c r="J105" s="49"/>
      <c r="K105" s="49"/>
      <c r="L105" s="49"/>
      <c r="M105" s="49"/>
      <c r="N105" s="49"/>
      <c r="O105" s="49"/>
      <c r="P105" s="49"/>
      <c r="Q105" s="49"/>
      <c r="R105" s="49"/>
      <c r="S105" s="49"/>
      <c r="T105" s="49"/>
      <c r="U105" s="49"/>
      <c r="V105" s="49"/>
      <c r="W105" s="49"/>
      <c r="X105" s="48" t="s">
        <v>685</v>
      </c>
      <c r="Y105" s="48"/>
      <c r="Z105" s="48" t="s">
        <v>93</v>
      </c>
      <c r="AA105" s="49" t="str">
        <f>"[" &amp; _xlfn.TEXTJOIN(", ", TRUE,
    IF(I105&lt;&gt;"", """" &amp; I$1 &amp; """", ""),
    IF(J105&lt;&gt;"", """" &amp; J$1 &amp; """", ""),
    IF(K105&lt;&gt;"", """" &amp; K$1 &amp; """", ""),
    IF(L105&lt;&gt;"", """" &amp; L$1 &amp; """", ""),
    IF(M105&lt;&gt;"", """" &amp; M$1 &amp; """", ""),    IF(N105&lt;&gt;"", """" &amp; N$1 &amp; """", ""),    IF(O105&lt;&gt;"", """" &amp; O$1 &amp; """", ""),     IF(P105&lt;&gt;"", """" &amp; P$1 &amp; """", ""),     IF(Q105&lt;&gt;"", """" &amp; Q$1 &amp; """", ""), IF(R105&lt;&gt;"", """" &amp; R$1 &amp; """", ""), IF(S105&lt;&gt;"", """" &amp; S$1 &amp; """", ""), IF(T105&lt;&gt;"", """" &amp; T$1 &amp; """", ""), IF(U105&lt;&gt;"", """" &amp; U$1 &amp; """", ""),
    IF(X105&lt;&gt;"", """" &amp; X105 &amp; """", ""), IF(V105&lt;&gt;"", """" &amp; V105 &amp; """", ""), IF(W105&lt;&gt;"", """" &amp; W105 &amp; """", ""),
    IF(Y105&lt;&gt;"", """" &amp; Y105 &amp; """", ""),
    IF(Z105&lt;&gt;"", """" &amp; Z105 &amp; """", "")
) &amp; "]"</f>
        <v>["Internal", "Workflows"]</v>
      </c>
      <c r="AB105" s="49" t="s">
        <v>18</v>
      </c>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54"/>
      <c r="AY105" s="49"/>
      <c r="AZ105" s="49"/>
      <c r="BA105" s="49"/>
      <c r="BB105" s="49"/>
      <c r="BC105" s="49" t="s">
        <v>73</v>
      </c>
      <c r="BD105" s="49" t="s">
        <v>499</v>
      </c>
      <c r="BE105" s="49"/>
      <c r="BF105" s="45"/>
      <c r="BG105" s="45"/>
      <c r="BH105" s="45"/>
      <c r="BI105" s="45"/>
      <c r="BJ105" s="45"/>
      <c r="BK105" s="45"/>
      <c r="BL105" s="45"/>
      <c r="BM105" s="45"/>
      <c r="BN105" s="45"/>
      <c r="BO105" s="45"/>
      <c r="BP105" s="45"/>
      <c r="BQ105" s="45"/>
      <c r="BR105" s="45"/>
      <c r="BS105" s="45"/>
      <c r="BT105" s="45"/>
      <c r="BU105" s="45"/>
      <c r="BV105" s="45"/>
      <c r="BW105" s="45"/>
      <c r="BX105" s="45"/>
      <c r="BY105" s="45"/>
      <c r="BZ105" s="45"/>
      <c r="CA105" s="45"/>
      <c r="CB105" s="45"/>
      <c r="CC105" s="45"/>
      <c r="CD105" s="45"/>
      <c r="CE105" s="45"/>
      <c r="CF105" s="45"/>
      <c r="CG105" s="45"/>
      <c r="CH105" s="45"/>
      <c r="CI105" s="45"/>
      <c r="CJ105" s="45"/>
      <c r="CK105" s="45"/>
      <c r="CL105" s="45"/>
      <c r="CM105" s="45"/>
      <c r="CN105" s="45"/>
      <c r="CO105" s="45"/>
      <c r="CP105" s="45"/>
      <c r="CQ105" s="45"/>
      <c r="CR105" s="45"/>
      <c r="CS105" s="45"/>
      <c r="CT105" s="45"/>
      <c r="CU105" s="45"/>
      <c r="CV105" s="45"/>
      <c r="CW105" s="45"/>
      <c r="CX105" s="45"/>
      <c r="CY105" s="45"/>
      <c r="CZ105" s="45"/>
      <c r="DA105" s="45"/>
      <c r="DB105" s="45"/>
      <c r="DC105" s="45"/>
      <c r="DD105" s="45"/>
      <c r="DE105" s="45"/>
      <c r="DF105" s="45"/>
      <c r="DG105" s="45"/>
      <c r="DH105" s="45"/>
      <c r="DI105" s="45"/>
      <c r="DJ105" s="45"/>
      <c r="DK105" s="45"/>
      <c r="DL105" s="45"/>
      <c r="DM105" s="45"/>
      <c r="DN105" s="45"/>
      <c r="DO105" s="45"/>
      <c r="DP105" s="45"/>
      <c r="DQ105" s="45"/>
      <c r="DR105" s="45"/>
      <c r="DS105" s="45"/>
      <c r="DT105" s="45"/>
      <c r="DU105" s="45"/>
      <c r="DV105" s="45"/>
      <c r="DW105" s="45"/>
      <c r="DX105" s="45"/>
      <c r="DY105" s="45"/>
      <c r="DZ105" s="45"/>
      <c r="EA105" s="45"/>
      <c r="EB105" s="45"/>
      <c r="EC105" s="45"/>
      <c r="ED105" s="45"/>
      <c r="EE105" s="45"/>
      <c r="EF105" s="45"/>
      <c r="EG105" s="45"/>
      <c r="EH105" s="45"/>
      <c r="EI105" s="45"/>
      <c r="EJ105" s="45"/>
      <c r="EK105" s="45"/>
      <c r="EL105" s="45"/>
      <c r="EM105" s="45"/>
      <c r="EN105" s="45"/>
      <c r="EO105" s="45"/>
      <c r="EP105" s="45"/>
      <c r="EQ105" s="45"/>
      <c r="ER105" s="45"/>
      <c r="ES105" s="45"/>
      <c r="ET105" s="45"/>
      <c r="EU105" s="45"/>
      <c r="EV105" s="45"/>
      <c r="EW105" s="45"/>
      <c r="EX105" s="45"/>
      <c r="EY105" s="45"/>
      <c r="EZ105" s="45"/>
      <c r="FA105" s="45"/>
      <c r="FB105" s="45"/>
      <c r="FC105" s="45"/>
      <c r="FD105" s="45"/>
      <c r="FE105" s="45"/>
      <c r="FF105" s="45"/>
      <c r="FG105" s="45"/>
      <c r="FH105" s="45"/>
      <c r="FI105" s="45"/>
      <c r="FJ105" s="45"/>
      <c r="FK105" s="45"/>
      <c r="FL105" s="45"/>
      <c r="FM105" s="45"/>
      <c r="FN105" s="45"/>
      <c r="FO105" s="45"/>
      <c r="FP105" s="45"/>
      <c r="FQ105" s="45"/>
      <c r="FR105" s="45"/>
      <c r="FS105" s="45"/>
      <c r="FT105" s="45"/>
      <c r="FU105" s="45"/>
      <c r="FV105" s="45"/>
      <c r="FW105" s="45"/>
      <c r="FX105" s="45"/>
      <c r="FY105" s="45"/>
      <c r="FZ105" s="45"/>
      <c r="GA105" s="45"/>
      <c r="GB105" s="45"/>
      <c r="GC105" s="45"/>
    </row>
    <row r="106" spans="1:185" s="46" customFormat="1" ht="34.5" customHeight="1">
      <c r="A106" s="99" t="s">
        <v>756</v>
      </c>
      <c r="B106" s="50" t="str">
        <f>LOWER(
  IF(
    RIGHT(
      SUBSTITUTE(SUBSTITUTE(SUBSTITUTE(SUBSTITUTE(SUBSTITUTE(SUBSTITUTE(SUBSTITUTE(C106,"(","_"),")","_"),"/","_"),":","_"),"-","_")," ","_"),"__","_"),
      1
    )="_",
    LEFT(
      SUBSTITUTE(SUBSTITUTE(SUBSTITUTE(SUBSTITUTE(SUBSTITUTE(SUBSTITUTE(SUBSTITUTE(C106,"(","_"),")","_"),"/","_"),":","_"),"-","_")," ","_"),"__","_"),
      LEN(
        SUBSTITUTE(SUBSTITUTE(SUBSTITUTE(SUBSTITUTE(SUBSTITUTE(SUBSTITUTE(SUBSTITUTE(C106,"(","_"),")","_"),"/","_"),":","_"),"-","_")," ","_"),"__","_")
      )-1
    ),
    SUBSTITUTE(SUBSTITUTE(SUBSTITUTE(SUBSTITUTE(SUBSTITUTE(SUBSTITUTE(SUBSTITUTE(C106,"(","_"),")","_"),"/","_"),":","_"),"-","_")," ","_"),"__","_")
  )
)</f>
        <v>genome_sequence</v>
      </c>
      <c r="C106" s="49" t="s">
        <v>757</v>
      </c>
      <c r="D106" s="50" t="s">
        <v>758</v>
      </c>
      <c r="E106" s="49" t="s">
        <v>98</v>
      </c>
      <c r="F106" s="49" t="s">
        <v>65</v>
      </c>
      <c r="G106" s="49"/>
      <c r="H106" s="49"/>
      <c r="I106" s="49"/>
      <c r="J106" s="49"/>
      <c r="K106" s="49"/>
      <c r="L106" s="49"/>
      <c r="M106" s="49"/>
      <c r="N106" s="49"/>
      <c r="O106" s="49"/>
      <c r="P106" s="49"/>
      <c r="Q106" s="49"/>
      <c r="R106" s="49"/>
      <c r="S106" s="49"/>
      <c r="T106" s="49"/>
      <c r="U106" s="49"/>
      <c r="V106" s="49"/>
      <c r="W106" s="49"/>
      <c r="X106" s="48" t="s">
        <v>685</v>
      </c>
      <c r="Y106" s="48"/>
      <c r="Z106" s="48" t="s">
        <v>93</v>
      </c>
      <c r="AA106" s="49" t="str">
        <f>"[" &amp; _xlfn.TEXTJOIN(", ", TRUE,
    IF(I106&lt;&gt;"", """" &amp; I$1 &amp; """", ""),
    IF(J106&lt;&gt;"", """" &amp; J$1 &amp; """", ""),
    IF(K106&lt;&gt;"", """" &amp; K$1 &amp; """", ""),
    IF(L106&lt;&gt;"", """" &amp; L$1 &amp; """", ""),
    IF(M106&lt;&gt;"", """" &amp; M$1 &amp; """", ""),    IF(N106&lt;&gt;"", """" &amp; N$1 &amp; """", ""),    IF(O106&lt;&gt;"", """" &amp; O$1 &amp; """", ""),     IF(P106&lt;&gt;"", """" &amp; P$1 &amp; """", ""),     IF(Q106&lt;&gt;"", """" &amp; Q$1 &amp; """", ""), IF(R106&lt;&gt;"", """" &amp; R$1 &amp; """", ""), IF(S106&lt;&gt;"", """" &amp; S$1 &amp; """", ""), IF(T106&lt;&gt;"", """" &amp; T$1 &amp; """", ""), IF(U106&lt;&gt;"", """" &amp; U$1 &amp; """", ""),
    IF(X106&lt;&gt;"", """" &amp; X106 &amp; """", ""), IF(V106&lt;&gt;"", """" &amp; V106 &amp; """", ""), IF(W106&lt;&gt;"", """" &amp; W106 &amp; """", ""),
    IF(Y106&lt;&gt;"", """" &amp; Y106 &amp; """", ""),
    IF(Z106&lt;&gt;"", """" &amp; Z106 &amp; """", "")
) &amp; "]"</f>
        <v>["Internal", "Workflows"]</v>
      </c>
      <c r="AB106" s="49" t="s">
        <v>759</v>
      </c>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t="s">
        <v>760</v>
      </c>
      <c r="BD106" s="49" t="s">
        <v>499</v>
      </c>
      <c r="BE106" s="49"/>
      <c r="BF106" s="45"/>
      <c r="BG106" s="45"/>
      <c r="BH106" s="45"/>
      <c r="BI106" s="45"/>
      <c r="BJ106" s="45"/>
      <c r="BK106" s="45"/>
      <c r="BL106" s="45"/>
      <c r="BM106" s="45"/>
      <c r="BN106" s="45"/>
      <c r="BO106" s="45"/>
      <c r="BP106" s="45"/>
      <c r="BQ106" s="45"/>
      <c r="BR106" s="45"/>
      <c r="BS106" s="45"/>
      <c r="BT106" s="45"/>
      <c r="BU106" s="45"/>
      <c r="BV106" s="45"/>
      <c r="BW106" s="45"/>
      <c r="BX106" s="45"/>
      <c r="BY106" s="45"/>
      <c r="BZ106" s="45"/>
      <c r="CA106" s="45"/>
      <c r="CB106" s="45"/>
      <c r="CC106" s="45"/>
      <c r="CD106" s="45"/>
      <c r="CE106" s="45"/>
      <c r="CF106" s="45"/>
      <c r="CG106" s="45"/>
      <c r="CH106" s="45"/>
      <c r="CI106" s="45"/>
      <c r="CJ106" s="45"/>
      <c r="CK106" s="45"/>
      <c r="CL106" s="45"/>
      <c r="CM106" s="45"/>
      <c r="CN106" s="45"/>
      <c r="CO106" s="45"/>
      <c r="CP106" s="45"/>
      <c r="CQ106" s="45"/>
      <c r="CR106" s="45"/>
      <c r="CS106" s="45"/>
      <c r="CT106" s="45"/>
      <c r="CU106" s="45"/>
      <c r="CV106" s="45"/>
      <c r="CW106" s="45"/>
      <c r="CX106" s="45"/>
      <c r="CY106" s="45"/>
      <c r="CZ106" s="45"/>
      <c r="DA106" s="45"/>
      <c r="DB106" s="45"/>
      <c r="DC106" s="45"/>
      <c r="DD106" s="45"/>
      <c r="DE106" s="45"/>
      <c r="DF106" s="45"/>
      <c r="DG106" s="45"/>
      <c r="DH106" s="45"/>
      <c r="DI106" s="45"/>
      <c r="DJ106" s="45"/>
      <c r="DK106" s="45"/>
      <c r="DL106" s="45"/>
      <c r="DM106" s="45"/>
      <c r="DN106" s="45"/>
      <c r="DO106" s="45"/>
      <c r="DP106" s="45"/>
      <c r="DQ106" s="45"/>
      <c r="DR106" s="45"/>
      <c r="DS106" s="45"/>
      <c r="DT106" s="45"/>
      <c r="DU106" s="45"/>
      <c r="DV106" s="45"/>
      <c r="DW106" s="45"/>
      <c r="DX106" s="45"/>
      <c r="DY106" s="45"/>
      <c r="DZ106" s="45"/>
      <c r="EA106" s="45"/>
      <c r="EB106" s="45"/>
      <c r="EC106" s="45"/>
      <c r="ED106" s="45"/>
      <c r="EE106" s="45"/>
      <c r="EF106" s="45"/>
      <c r="EG106" s="45"/>
      <c r="EH106" s="45"/>
      <c r="EI106" s="45"/>
      <c r="EJ106" s="45"/>
      <c r="EK106" s="45"/>
      <c r="EL106" s="45"/>
      <c r="EM106" s="45"/>
      <c r="EN106" s="45"/>
      <c r="EO106" s="45"/>
      <c r="EP106" s="45"/>
      <c r="EQ106" s="45"/>
      <c r="ER106" s="45"/>
      <c r="ES106" s="45"/>
      <c r="ET106" s="45"/>
      <c r="EU106" s="45"/>
      <c r="EV106" s="45"/>
      <c r="EW106" s="45"/>
      <c r="EX106" s="45"/>
      <c r="EY106" s="45"/>
      <c r="EZ106" s="45"/>
      <c r="FA106" s="45"/>
      <c r="FB106" s="45"/>
      <c r="FC106" s="45"/>
      <c r="FD106" s="45"/>
      <c r="FE106" s="45"/>
      <c r="FF106" s="45"/>
      <c r="FG106" s="45"/>
      <c r="FH106" s="45"/>
      <c r="FI106" s="45"/>
      <c r="FJ106" s="45"/>
      <c r="FK106" s="45"/>
      <c r="FL106" s="45"/>
      <c r="FM106" s="45"/>
      <c r="FN106" s="45"/>
      <c r="FO106" s="45"/>
      <c r="FP106" s="45"/>
      <c r="FQ106" s="45"/>
      <c r="FR106" s="45"/>
      <c r="FS106" s="45"/>
      <c r="FT106" s="45"/>
      <c r="FU106" s="45"/>
      <c r="FV106" s="45"/>
      <c r="FW106" s="45"/>
      <c r="FX106" s="45"/>
      <c r="FY106" s="45"/>
      <c r="FZ106" s="45"/>
      <c r="GA106" s="45"/>
      <c r="GB106" s="45"/>
      <c r="GC106" s="45"/>
    </row>
    <row r="107" spans="1:185" s="72" customFormat="1" ht="34.5" customHeight="1">
      <c r="A107" s="99" t="s">
        <v>761</v>
      </c>
      <c r="B107" s="50" t="str">
        <f>LOWER(
  IF(
    RIGHT(
      SUBSTITUTE(SUBSTITUTE(SUBSTITUTE(SUBSTITUTE(SUBSTITUTE(SUBSTITUTE(SUBSTITUTE(C107,"(","_"),")","_"),"/","_"),":","_"),"-","_")," ","_"),"__","_"),
      1
    )="_",
    LEFT(
      SUBSTITUTE(SUBSTITUTE(SUBSTITUTE(SUBSTITUTE(SUBSTITUTE(SUBSTITUTE(SUBSTITUTE(C107,"(","_"),")","_"),"/","_"),":","_"),"-","_")," ","_"),"__","_"),
      LEN(
        SUBSTITUTE(SUBSTITUTE(SUBSTITUTE(SUBSTITUTE(SUBSTITUTE(SUBSTITUTE(SUBSTITUTE(C107,"(","_"),")","_"),"/","_"),":","_"),"-","_")," ","_"),"__","_")
      )-1
    ),
    SUBSTITUTE(SUBSTITUTE(SUBSTITUTE(SUBSTITUTE(SUBSTITUTE(SUBSTITUTE(SUBSTITUTE(C107,"(","_"),")","_"),"/","_"),":","_"),"-","_")," ","_"),"__","_")
  )
)</f>
        <v>genome_sequence_hash</v>
      </c>
      <c r="C107" s="49" t="s">
        <v>762</v>
      </c>
      <c r="D107" s="50" t="s">
        <v>763</v>
      </c>
      <c r="E107" s="49" t="s">
        <v>98</v>
      </c>
      <c r="F107" s="49" t="s">
        <v>65</v>
      </c>
      <c r="G107" s="49"/>
      <c r="H107" s="49"/>
      <c r="I107" s="49"/>
      <c r="J107" s="49"/>
      <c r="K107" s="49"/>
      <c r="L107" s="49"/>
      <c r="M107" s="49"/>
      <c r="N107" s="49"/>
      <c r="O107" s="49"/>
      <c r="P107" s="49"/>
      <c r="Q107" s="49"/>
      <c r="R107" s="49"/>
      <c r="S107" s="49"/>
      <c r="T107" s="49"/>
      <c r="U107" s="49"/>
      <c r="V107" s="49"/>
      <c r="W107" s="49"/>
      <c r="X107" s="48" t="s">
        <v>685</v>
      </c>
      <c r="Y107" s="48"/>
      <c r="Z107" s="48" t="s">
        <v>93</v>
      </c>
      <c r="AA107" s="49" t="str">
        <f>"[" &amp; _xlfn.TEXTJOIN(", ", TRUE,
    IF(I107&lt;&gt;"", """" &amp; I$1 &amp; """", ""),
    IF(J107&lt;&gt;"", """" &amp; J$1 &amp; """", ""),
    IF(K107&lt;&gt;"", """" &amp; K$1 &amp; """", ""),
    IF(L107&lt;&gt;"", """" &amp; L$1 &amp; """", ""),
    IF(M107&lt;&gt;"", """" &amp; M$1 &amp; """", ""),    IF(N107&lt;&gt;"", """" &amp; N$1 &amp; """", ""),    IF(O107&lt;&gt;"", """" &amp; O$1 &amp; """", ""),     IF(P107&lt;&gt;"", """" &amp; P$1 &amp; """", ""),     IF(Q107&lt;&gt;"", """" &amp; Q$1 &amp; """", ""), IF(R107&lt;&gt;"", """" &amp; R$1 &amp; """", ""), IF(S107&lt;&gt;"", """" &amp; S$1 &amp; """", ""), IF(T107&lt;&gt;"", """" &amp; T$1 &amp; """", ""), IF(U107&lt;&gt;"", """" &amp; U$1 &amp; """", ""),
    IF(X107&lt;&gt;"", """" &amp; X107 &amp; """", ""), IF(V107&lt;&gt;"", """" &amp; V107 &amp; """", ""), IF(W107&lt;&gt;"", """" &amp; W107 &amp; """", ""),
    IF(Y107&lt;&gt;"", """" &amp; Y107 &amp; """", ""),
    IF(Z107&lt;&gt;"", """" &amp; Z107 &amp; """", "")
) &amp; "]"</f>
        <v>["Internal", "Workflows"]</v>
      </c>
      <c r="AB107" s="49" t="s">
        <v>18</v>
      </c>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t="s">
        <v>760</v>
      </c>
      <c r="BD107" s="49" t="s">
        <v>499</v>
      </c>
      <c r="BE107" s="49"/>
      <c r="BF107" s="45"/>
      <c r="BG107" s="45"/>
      <c r="BH107" s="45"/>
      <c r="BI107" s="45"/>
      <c r="BJ107" s="45"/>
      <c r="BK107" s="45"/>
      <c r="BL107" s="45"/>
      <c r="BM107" s="45"/>
      <c r="BN107" s="45"/>
      <c r="BO107" s="45"/>
      <c r="BP107" s="45"/>
      <c r="BQ107" s="45"/>
      <c r="BR107" s="45"/>
      <c r="BS107" s="45"/>
      <c r="BT107" s="45"/>
      <c r="BU107" s="45"/>
      <c r="BV107" s="45"/>
      <c r="BW107" s="45"/>
      <c r="BX107" s="45"/>
      <c r="BY107" s="45"/>
      <c r="BZ107" s="45"/>
      <c r="CA107" s="45"/>
      <c r="CB107" s="45"/>
      <c r="CC107" s="45"/>
      <c r="CD107" s="45"/>
      <c r="CE107" s="45"/>
      <c r="CF107" s="45"/>
      <c r="CG107" s="45"/>
      <c r="CH107" s="45"/>
      <c r="CI107" s="45"/>
      <c r="CJ107" s="45"/>
      <c r="CK107" s="45"/>
      <c r="CL107" s="45"/>
      <c r="CM107" s="45"/>
      <c r="CN107" s="45"/>
      <c r="CO107" s="45"/>
      <c r="CP107" s="45"/>
      <c r="CQ107" s="45"/>
      <c r="CR107" s="45"/>
      <c r="CS107" s="45"/>
      <c r="CT107" s="45"/>
      <c r="CU107" s="45"/>
      <c r="CV107" s="45"/>
      <c r="CW107" s="45"/>
      <c r="CX107" s="45"/>
      <c r="CY107" s="45"/>
      <c r="CZ107" s="45"/>
      <c r="DA107" s="45"/>
      <c r="DB107" s="45"/>
      <c r="DC107" s="45"/>
      <c r="DD107" s="45"/>
      <c r="DE107" s="45"/>
      <c r="DF107" s="45"/>
      <c r="DG107" s="45"/>
      <c r="DH107" s="45"/>
      <c r="DI107" s="45"/>
      <c r="DJ107" s="45"/>
      <c r="DK107" s="45"/>
      <c r="DL107" s="45"/>
      <c r="DM107" s="45"/>
      <c r="DN107" s="45"/>
      <c r="DO107" s="45"/>
      <c r="DP107" s="45"/>
      <c r="DQ107" s="45"/>
      <c r="DR107" s="45"/>
      <c r="DS107" s="45"/>
      <c r="DT107" s="45"/>
      <c r="DU107" s="45"/>
      <c r="DV107" s="45"/>
      <c r="DW107" s="45"/>
      <c r="DX107" s="45"/>
      <c r="DY107" s="45"/>
      <c r="DZ107" s="45"/>
      <c r="EA107" s="45"/>
      <c r="EB107" s="45"/>
      <c r="EC107" s="45"/>
      <c r="ED107" s="45"/>
      <c r="EE107" s="45"/>
      <c r="EF107" s="45"/>
      <c r="EG107" s="45"/>
      <c r="EH107" s="45"/>
      <c r="EI107" s="45"/>
      <c r="EJ107" s="45"/>
      <c r="EK107" s="45"/>
      <c r="EL107" s="45"/>
      <c r="EM107" s="45"/>
      <c r="EN107" s="45"/>
      <c r="EO107" s="45"/>
      <c r="EP107" s="45"/>
      <c r="EQ107" s="45"/>
      <c r="ER107" s="45"/>
      <c r="ES107" s="45"/>
      <c r="ET107" s="45"/>
      <c r="EU107" s="45"/>
      <c r="EV107" s="45"/>
      <c r="EW107" s="45"/>
      <c r="EX107" s="45"/>
      <c r="EY107" s="45"/>
      <c r="EZ107" s="45"/>
      <c r="FA107" s="45"/>
      <c r="FB107" s="45"/>
      <c r="FC107" s="45"/>
      <c r="FD107" s="45"/>
      <c r="FE107" s="45"/>
      <c r="FF107" s="45"/>
      <c r="FG107" s="45"/>
      <c r="FH107" s="45"/>
      <c r="FI107" s="45"/>
      <c r="FJ107" s="45"/>
      <c r="FK107" s="45"/>
      <c r="FL107" s="45"/>
      <c r="FM107" s="45"/>
      <c r="FN107" s="45"/>
      <c r="FO107" s="45"/>
      <c r="FP107" s="45"/>
      <c r="FQ107" s="45"/>
      <c r="FR107" s="45"/>
      <c r="FS107" s="45"/>
      <c r="FT107" s="45"/>
      <c r="FU107" s="45"/>
      <c r="FV107" s="45"/>
      <c r="FW107" s="45"/>
      <c r="FX107" s="45"/>
      <c r="FY107" s="45"/>
      <c r="FZ107" s="45"/>
      <c r="GA107" s="45"/>
      <c r="GB107" s="45"/>
      <c r="GC107" s="45"/>
    </row>
    <row r="108" spans="1:185" s="46" customFormat="1" ht="34.5" customHeight="1">
      <c r="A108" s="99" t="s">
        <v>764</v>
      </c>
      <c r="B108" s="50" t="str">
        <f>LOWER(
  IF(
    RIGHT(
      SUBSTITUTE(SUBSTITUTE(SUBSTITUTE(SUBSTITUTE(SUBSTITUTE(SUBSTITUTE(SUBSTITUTE(C108,"(","_"),")","_"),"/","_"),":","_"),"-","_")," ","_"),"__","_"),
      1
    )="_",
    LEFT(
      SUBSTITUTE(SUBSTITUTE(SUBSTITUTE(SUBSTITUTE(SUBSTITUTE(SUBSTITUTE(SUBSTITUTE(C108,"(","_"),")","_"),"/","_"),":","_"),"-","_")," ","_"),"__","_"),
      LEN(
        SUBSTITUTE(SUBSTITUTE(SUBSTITUTE(SUBSTITUTE(SUBSTITUTE(SUBSTITUTE(SUBSTITUTE(C108,"(","_"),")","_"),"/","_"),":","_"),"-","_")," ","_"),"__","_")
      )-1
    ),
    SUBSTITUTE(SUBSTITUTE(SUBSTITUTE(SUBSTITUTE(SUBSTITUTE(SUBSTITUTE(SUBSTITUTE(C108,"(","_"),")","_"),"/","_"),":","_"),"-","_")," ","_"),"__","_")
  )
)</f>
        <v>host_assembly_program</v>
      </c>
      <c r="C108" s="49" t="s">
        <v>765</v>
      </c>
      <c r="D108" s="50" t="s">
        <v>766</v>
      </c>
      <c r="E108" s="49" t="s">
        <v>64</v>
      </c>
      <c r="F108" s="49" t="s">
        <v>65</v>
      </c>
      <c r="G108" s="49"/>
      <c r="H108" s="49"/>
      <c r="I108" s="49"/>
      <c r="J108" s="49"/>
      <c r="K108" s="49"/>
      <c r="L108" s="49"/>
      <c r="M108" s="49"/>
      <c r="N108" s="49"/>
      <c r="O108" s="49"/>
      <c r="P108" s="49"/>
      <c r="Q108" s="49"/>
      <c r="R108" s="73" t="s">
        <v>767</v>
      </c>
      <c r="S108" s="73"/>
      <c r="T108" s="73" t="s">
        <v>767</v>
      </c>
      <c r="U108" s="49"/>
      <c r="V108" s="50"/>
      <c r="W108" s="50"/>
      <c r="X108" s="48" t="s">
        <v>137</v>
      </c>
      <c r="Y108" s="48"/>
      <c r="Z108" s="48" t="s">
        <v>93</v>
      </c>
      <c r="AA108" s="49" t="str">
        <f>"[" &amp; _xlfn.TEXTJOIN(", ", TRUE,
    IF(I108&lt;&gt;"", """" &amp; I$1 &amp; """", ""),
    IF(J108&lt;&gt;"", """" &amp; J$1 &amp; """", ""),
    IF(K108&lt;&gt;"", """" &amp; K$1 &amp; """", ""),
    IF(L108&lt;&gt;"", """" &amp; L$1 &amp; """", ""),
    IF(M108&lt;&gt;"", """" &amp; M$1 &amp; """", ""),    IF(N108&lt;&gt;"", """" &amp; N$1 &amp; """", ""),    IF(O108&lt;&gt;"", """" &amp; O$1 &amp; """", ""),     IF(P108&lt;&gt;"", """" &amp; P$1 &amp; """", ""),     IF(Q108&lt;&gt;"", """" &amp; Q$1 &amp; """", ""), IF(R108&lt;&gt;"", """" &amp; R$1 &amp; """", ""), IF(S108&lt;&gt;"", """" &amp; S$1 &amp; """", ""), IF(T108&lt;&gt;"", """" &amp; T$1 &amp; """", ""), IF(U108&lt;&gt;"", """" &amp; U$1 &amp; """", ""),
    IF(X108&lt;&gt;"", """" &amp; X108 &amp; """", ""), IF(V108&lt;&gt;"", """" &amp; V108 &amp; """", ""), IF(W108&lt;&gt;"", """" &amp; W108 &amp; """", ""),
    IF(Y108&lt;&gt;"", """" &amp; Y108 &amp; """", ""),
    IF(Z108&lt;&gt;"", """" &amp; Z108 &amp; """", "")
) &amp; "]"</f>
        <v>["IMG/VR", "PhiSpy", "Host", "Workflows"]</v>
      </c>
      <c r="AB108" s="49" t="s">
        <v>768</v>
      </c>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54"/>
      <c r="AY108" s="49" t="s">
        <v>131</v>
      </c>
      <c r="AZ108" s="48"/>
      <c r="BA108" s="48"/>
      <c r="BB108" s="49"/>
      <c r="BC108" s="49" t="s">
        <v>73</v>
      </c>
      <c r="BD108" s="49" t="s">
        <v>108</v>
      </c>
      <c r="BE108" s="49"/>
      <c r="BF108" s="45"/>
      <c r="BG108" s="45"/>
      <c r="BH108" s="45"/>
      <c r="BI108" s="45"/>
      <c r="BJ108" s="45"/>
      <c r="BK108" s="45"/>
      <c r="BL108" s="45"/>
      <c r="BM108" s="45"/>
      <c r="BN108" s="45"/>
      <c r="BO108" s="45"/>
      <c r="BP108" s="45"/>
      <c r="BQ108" s="45"/>
      <c r="BR108" s="45"/>
      <c r="BS108" s="45"/>
      <c r="BT108" s="45"/>
      <c r="BU108" s="45"/>
      <c r="BV108" s="45"/>
      <c r="BW108" s="45"/>
      <c r="BX108" s="45"/>
      <c r="BY108" s="45"/>
      <c r="BZ108" s="45"/>
      <c r="CA108" s="45"/>
      <c r="CB108" s="45"/>
      <c r="CC108" s="45"/>
      <c r="CD108" s="45"/>
      <c r="CE108" s="45"/>
      <c r="CF108" s="45"/>
      <c r="CG108" s="45"/>
      <c r="CH108" s="45"/>
      <c r="CI108" s="45"/>
      <c r="CJ108" s="45"/>
      <c r="CK108" s="45"/>
      <c r="CL108" s="45"/>
      <c r="CM108" s="45"/>
      <c r="CN108" s="45"/>
      <c r="CO108" s="45"/>
      <c r="CP108" s="45"/>
      <c r="CQ108" s="45"/>
      <c r="CR108" s="45"/>
      <c r="CS108" s="45"/>
      <c r="CT108" s="45"/>
      <c r="CU108" s="45"/>
      <c r="CV108" s="45"/>
      <c r="CW108" s="45"/>
      <c r="CX108" s="45"/>
      <c r="CY108" s="45"/>
      <c r="CZ108" s="45"/>
      <c r="DA108" s="45"/>
      <c r="DB108" s="45"/>
      <c r="DC108" s="45"/>
      <c r="DD108" s="45"/>
      <c r="DE108" s="45"/>
      <c r="DF108" s="45"/>
      <c r="DG108" s="45"/>
      <c r="DH108" s="45"/>
      <c r="DI108" s="45"/>
      <c r="DJ108" s="45"/>
      <c r="DK108" s="45"/>
      <c r="DL108" s="45"/>
      <c r="DM108" s="45"/>
      <c r="DN108" s="45"/>
      <c r="DO108" s="45"/>
      <c r="DP108" s="45"/>
      <c r="DQ108" s="45"/>
      <c r="DR108" s="45"/>
      <c r="DS108" s="45"/>
      <c r="DT108" s="45"/>
      <c r="DU108" s="45"/>
      <c r="DV108" s="45"/>
      <c r="DW108" s="45"/>
      <c r="DX108" s="45"/>
      <c r="DY108" s="45"/>
      <c r="DZ108" s="45"/>
      <c r="EA108" s="45"/>
      <c r="EB108" s="45"/>
      <c r="EC108" s="45"/>
      <c r="ED108" s="45"/>
      <c r="EE108" s="45"/>
      <c r="EF108" s="45"/>
      <c r="EG108" s="45"/>
      <c r="EH108" s="45"/>
      <c r="EI108" s="45"/>
      <c r="EJ108" s="45"/>
      <c r="EK108" s="45"/>
      <c r="EL108" s="45"/>
      <c r="EM108" s="45"/>
      <c r="EN108" s="45"/>
      <c r="EO108" s="45"/>
      <c r="EP108" s="45"/>
      <c r="EQ108" s="45"/>
      <c r="ER108" s="45"/>
      <c r="ES108" s="45"/>
      <c r="ET108" s="45"/>
      <c r="EU108" s="45"/>
      <c r="EV108" s="45"/>
      <c r="EW108" s="45"/>
      <c r="EX108" s="45"/>
      <c r="EY108" s="45"/>
      <c r="EZ108" s="45"/>
      <c r="FA108" s="45"/>
      <c r="FB108" s="45"/>
      <c r="FC108" s="45"/>
      <c r="FD108" s="45"/>
      <c r="FE108" s="45"/>
      <c r="FF108" s="45"/>
      <c r="FG108" s="45"/>
      <c r="FH108" s="45"/>
      <c r="FI108" s="45"/>
      <c r="FJ108" s="45"/>
      <c r="FK108" s="45"/>
      <c r="FL108" s="45"/>
      <c r="FM108" s="45"/>
      <c r="FN108" s="45"/>
      <c r="FO108" s="45"/>
      <c r="FP108" s="45"/>
      <c r="FQ108" s="45"/>
      <c r="FR108" s="45"/>
      <c r="FS108" s="45"/>
      <c r="FT108" s="45"/>
      <c r="FU108" s="45"/>
      <c r="FV108" s="45"/>
      <c r="FW108" s="45"/>
      <c r="FX108" s="45"/>
      <c r="FY108" s="45"/>
      <c r="FZ108" s="45"/>
      <c r="GA108" s="45"/>
      <c r="GB108" s="45"/>
      <c r="GC108" s="45"/>
    </row>
    <row r="109" spans="1:185" s="46" customFormat="1" ht="34.5" customHeight="1">
      <c r="A109" s="100" t="s">
        <v>769</v>
      </c>
      <c r="B109" s="50" t="str">
        <f>LOWER(
  IF(
    RIGHT(
      SUBSTITUTE(SUBSTITUTE(SUBSTITUTE(SUBSTITUTE(SUBSTITUTE(SUBSTITUTE(SUBSTITUTE(C109,"(","_"),")","_"),"/","_"),":","_"),"-","_")," ","_"),"__","_"),
      1
    )="_",
    LEFT(
      SUBSTITUTE(SUBSTITUTE(SUBSTITUTE(SUBSTITUTE(SUBSTITUTE(SUBSTITUTE(SUBSTITUTE(C109,"(","_"),")","_"),"/","_"),":","_"),"-","_")," ","_"),"__","_"),
      LEN(
        SUBSTITUTE(SUBSTITUTE(SUBSTITUTE(SUBSTITUTE(SUBSTITUTE(SUBSTITUTE(SUBSTITUTE(C109,"(","_"),")","_"),"/","_"),":","_"),"-","_")," ","_"),"__","_")
      )-1
    ),
    SUBSTITUTE(SUBSTITUTE(SUBSTITUTE(SUBSTITUTE(SUBSTITUTE(SUBSTITUTE(SUBSTITUTE(C109,"(","_"),")","_"),"/","_"),":","_"),"-","_")," ","_"),"__","_")
  )
)</f>
        <v>phage_id</v>
      </c>
      <c r="C109" s="51" t="s">
        <v>770</v>
      </c>
      <c r="D109" s="74" t="s">
        <v>771</v>
      </c>
      <c r="E109" s="49" t="s">
        <v>98</v>
      </c>
      <c r="F109" s="51" t="s">
        <v>65</v>
      </c>
      <c r="G109" s="51"/>
      <c r="H109" s="51"/>
      <c r="I109" s="51"/>
      <c r="J109" s="51"/>
      <c r="K109" s="51"/>
      <c r="L109" s="51"/>
      <c r="M109" s="51"/>
      <c r="N109" s="51"/>
      <c r="O109" s="51"/>
      <c r="P109" s="51"/>
      <c r="Q109" s="51"/>
      <c r="R109" s="73" t="s">
        <v>772</v>
      </c>
      <c r="S109" s="73" t="s">
        <v>772</v>
      </c>
      <c r="T109" s="73" t="s">
        <v>772</v>
      </c>
      <c r="U109" s="51"/>
      <c r="V109" s="51"/>
      <c r="W109" s="51"/>
      <c r="X109" s="75" t="s">
        <v>685</v>
      </c>
      <c r="Y109" s="75" t="s">
        <v>323</v>
      </c>
      <c r="Z109" s="75"/>
      <c r="AA109" s="49" t="str">
        <f>"[" &amp; _xlfn.TEXTJOIN(", ", TRUE,
    IF(I109&lt;&gt;"", """" &amp; I$1 &amp; """", ""),
    IF(J109&lt;&gt;"", """" &amp; J$1 &amp; """", ""),
    IF(K109&lt;&gt;"", """" &amp; K$1 &amp; """", ""),
    IF(L109&lt;&gt;"", """" &amp; L$1 &amp; """", ""),
    IF(M109&lt;&gt;"", """" &amp; M$1 &amp; """", ""),    IF(N109&lt;&gt;"", """" &amp; N$1 &amp; """", ""),    IF(O109&lt;&gt;"", """" &amp; O$1 &amp; """", ""),     IF(P109&lt;&gt;"", """" &amp; P$1 &amp; """", ""),     IF(Q109&lt;&gt;"", """" &amp; Q$1 &amp; """", ""), IF(R109&lt;&gt;"", """" &amp; R$1 &amp; """", ""), IF(S109&lt;&gt;"", """" &amp; S$1 &amp; """", ""), IF(T109&lt;&gt;"", """" &amp; T$1 &amp; """", ""), IF(U109&lt;&gt;"", """" &amp; U$1 &amp; """", ""),
    IF(X109&lt;&gt;"", """" &amp; X109 &amp; """", ""), IF(V109&lt;&gt;"", """" &amp; V109 &amp; """", ""), IF(W109&lt;&gt;"", """" &amp; W109 &amp; """", ""),
    IF(Y109&lt;&gt;"", """" &amp; Y109 &amp; """", ""),
    IF(Z109&lt;&gt;"", """" &amp; Z109 &amp; """", "")
) &amp; "]"</f>
        <v>["IMG/VR", "PHD", "PhiSpy", "Internal", "Virus Info"]</v>
      </c>
      <c r="AB109" s="51" t="s">
        <v>18</v>
      </c>
      <c r="AC109" s="51" t="s">
        <v>773</v>
      </c>
      <c r="AD109" s="51"/>
      <c r="AE109" s="51"/>
      <c r="AF109" s="51"/>
      <c r="AG109" s="51"/>
      <c r="AH109" s="51"/>
      <c r="AI109" s="51"/>
      <c r="AJ109" s="51"/>
      <c r="AK109" s="51"/>
      <c r="AL109" s="51"/>
      <c r="AM109" s="51"/>
      <c r="AN109" s="51"/>
      <c r="AO109" s="51"/>
      <c r="AP109" s="51"/>
      <c r="AQ109" s="51"/>
      <c r="AR109" s="51"/>
      <c r="AS109" s="51"/>
      <c r="AT109" s="51"/>
      <c r="AU109" s="51"/>
      <c r="AV109" s="51"/>
      <c r="AW109" s="51"/>
      <c r="AX109" s="76"/>
      <c r="AY109" s="51"/>
      <c r="AZ109" s="51"/>
      <c r="BA109" s="51"/>
      <c r="BB109" s="51"/>
      <c r="BC109" s="51" t="s">
        <v>73</v>
      </c>
      <c r="BD109" s="51" t="s">
        <v>108</v>
      </c>
      <c r="BE109" s="51"/>
      <c r="BF109" s="72"/>
      <c r="BG109" s="72"/>
      <c r="BH109" s="72"/>
      <c r="BI109" s="72"/>
      <c r="BJ109" s="45"/>
      <c r="BK109" s="45"/>
      <c r="BL109" s="45"/>
      <c r="BM109" s="45"/>
      <c r="BN109" s="45"/>
      <c r="BO109" s="45"/>
      <c r="BP109" s="45"/>
      <c r="BQ109" s="45"/>
      <c r="BR109" s="45"/>
      <c r="BS109" s="45"/>
      <c r="BT109" s="45"/>
      <c r="BU109" s="45"/>
      <c r="BV109" s="45"/>
      <c r="BW109" s="45"/>
      <c r="BX109" s="45"/>
      <c r="BY109" s="45"/>
      <c r="BZ109" s="45"/>
      <c r="CA109" s="45"/>
      <c r="CB109" s="45"/>
      <c r="CC109" s="45"/>
      <c r="CD109" s="45"/>
      <c r="CE109" s="45"/>
      <c r="CF109" s="45"/>
      <c r="CG109" s="45"/>
      <c r="CH109" s="45"/>
      <c r="CI109" s="45"/>
      <c r="CJ109" s="45"/>
      <c r="CK109" s="45"/>
      <c r="CL109" s="45"/>
      <c r="CM109" s="45"/>
      <c r="CN109" s="45"/>
      <c r="CO109" s="45"/>
      <c r="CP109" s="45"/>
      <c r="CQ109" s="45"/>
      <c r="CR109" s="45"/>
      <c r="CS109" s="45"/>
      <c r="CT109" s="45"/>
      <c r="CU109" s="45"/>
      <c r="CV109" s="45"/>
      <c r="CW109" s="45"/>
      <c r="CX109" s="45"/>
      <c r="CY109" s="45"/>
      <c r="CZ109" s="45"/>
      <c r="DA109" s="45"/>
      <c r="DB109" s="45"/>
      <c r="DC109" s="45"/>
      <c r="DD109" s="45"/>
      <c r="DE109" s="45"/>
      <c r="DF109" s="45"/>
      <c r="DG109" s="45"/>
      <c r="DH109" s="45"/>
      <c r="DI109" s="45"/>
      <c r="DJ109" s="45"/>
      <c r="DK109" s="45"/>
      <c r="DL109" s="45"/>
      <c r="DM109" s="45"/>
      <c r="DN109" s="45"/>
      <c r="DO109" s="45"/>
      <c r="DP109" s="45"/>
      <c r="DQ109" s="45"/>
      <c r="DR109" s="45"/>
      <c r="DS109" s="45"/>
      <c r="DT109" s="45"/>
      <c r="DU109" s="45"/>
      <c r="DV109" s="45"/>
      <c r="DW109" s="45"/>
      <c r="DX109" s="45"/>
      <c r="DY109" s="45"/>
      <c r="DZ109" s="45"/>
      <c r="EA109" s="45"/>
      <c r="EB109" s="45"/>
      <c r="EC109" s="45"/>
      <c r="ED109" s="45"/>
      <c r="EE109" s="45"/>
      <c r="EF109" s="45"/>
      <c r="EG109" s="45"/>
      <c r="EH109" s="45"/>
      <c r="EI109" s="45"/>
      <c r="EJ109" s="45"/>
      <c r="EK109" s="45"/>
      <c r="EL109" s="45"/>
      <c r="EM109" s="45"/>
      <c r="EN109" s="45"/>
      <c r="EO109" s="45"/>
      <c r="EP109" s="45"/>
      <c r="EQ109" s="45"/>
      <c r="ER109" s="45"/>
      <c r="ES109" s="45"/>
      <c r="ET109" s="45"/>
      <c r="EU109" s="45"/>
      <c r="EV109" s="45"/>
      <c r="EW109" s="45"/>
      <c r="EX109" s="45"/>
      <c r="EY109" s="45"/>
      <c r="EZ109" s="45"/>
      <c r="FA109" s="45"/>
      <c r="FB109" s="45"/>
      <c r="FC109" s="45"/>
      <c r="FD109" s="45"/>
      <c r="FE109" s="45"/>
      <c r="FF109" s="45"/>
      <c r="FG109" s="45"/>
      <c r="FH109" s="45"/>
      <c r="FI109" s="45"/>
      <c r="FJ109" s="45"/>
      <c r="FK109" s="45"/>
      <c r="FL109" s="45"/>
      <c r="FM109" s="45"/>
      <c r="FN109" s="45"/>
      <c r="FO109" s="45"/>
      <c r="FP109" s="45"/>
      <c r="FQ109" s="45"/>
      <c r="FR109" s="45"/>
      <c r="FS109" s="45"/>
      <c r="FT109" s="45"/>
      <c r="FU109" s="45"/>
      <c r="FV109" s="45"/>
      <c r="FW109" s="45"/>
      <c r="FX109" s="45"/>
      <c r="FY109" s="45"/>
      <c r="FZ109" s="45"/>
      <c r="GA109" s="45"/>
      <c r="GB109" s="45"/>
      <c r="GC109" s="45"/>
    </row>
    <row r="110" spans="1:185" ht="34.5" customHeight="1">
      <c r="A110" s="99" t="s">
        <v>774</v>
      </c>
      <c r="B110" s="50" t="str">
        <f>LOWER(
  IF(
    RIGHT(
      SUBSTITUTE(SUBSTITUTE(SUBSTITUTE(SUBSTITUTE(SUBSTITUTE(SUBSTITUTE(SUBSTITUTE(C110,"(","_"),")","_"),"/","_"),":","_"),"-","_")," ","_"),"__","_"),
      1
    )="_",
    LEFT(
      SUBSTITUTE(SUBSTITUTE(SUBSTITUTE(SUBSTITUTE(SUBSTITUTE(SUBSTITUTE(SUBSTITUTE(C110,"(","_"),")","_"),"/","_"),":","_"),"-","_")," ","_"),"__","_"),
      LEN(
        SUBSTITUTE(SUBSTITUTE(SUBSTITUTE(SUBSTITUTE(SUBSTITUTE(SUBSTITUTE(SUBSTITUTE(C110,"(","_"),")","_"),"/","_"),":","_"),"-","_")," ","_"),"__","_")
      )-1
    ),
    SUBSTITUTE(SUBSTITUTE(SUBSTITUTE(SUBSTITUTE(SUBSTITUTE(SUBSTITUTE(SUBSTITUTE(C110,"(","_"),")","_"),"/","_"),":","_"),"-","_")," ","_"),"__","_")
  )
)</f>
        <v>ictv_lineage_hash_list</v>
      </c>
      <c r="C110" s="49" t="s">
        <v>775</v>
      </c>
      <c r="D110" s="50" t="s">
        <v>776</v>
      </c>
      <c r="E110" s="49" t="s">
        <v>98</v>
      </c>
      <c r="F110" s="49" t="s">
        <v>65</v>
      </c>
      <c r="G110" s="49"/>
      <c r="H110" s="49"/>
      <c r="I110" s="49"/>
      <c r="J110" s="49"/>
      <c r="K110" s="49"/>
      <c r="L110" s="49"/>
      <c r="M110" s="49"/>
      <c r="N110" s="49"/>
      <c r="O110" s="49"/>
      <c r="P110" s="49"/>
      <c r="Q110" s="49"/>
      <c r="R110" s="49"/>
      <c r="S110" s="49"/>
      <c r="T110" s="49"/>
      <c r="U110" s="49"/>
      <c r="V110" s="49"/>
      <c r="W110" s="49"/>
      <c r="X110" s="49" t="s">
        <v>685</v>
      </c>
      <c r="Y110" s="48"/>
      <c r="Z110" s="49" t="s">
        <v>93</v>
      </c>
      <c r="AA110" s="49" t="str">
        <f>"[" &amp; _xlfn.TEXTJOIN(", ", TRUE,
    IF(I110&lt;&gt;"", """" &amp; I$1 &amp; """", ""),
    IF(J110&lt;&gt;"", """" &amp; J$1 &amp; """", ""),
    IF(K110&lt;&gt;"", """" &amp; K$1 &amp; """", ""),
    IF(L110&lt;&gt;"", """" &amp; L$1 &amp; """", ""),
    IF(M110&lt;&gt;"", """" &amp; M$1 &amp; """", ""),    IF(N110&lt;&gt;"", """" &amp; N$1 &amp; """", ""),    IF(O110&lt;&gt;"", """" &amp; O$1 &amp; """", ""),     IF(P110&lt;&gt;"", """" &amp; P$1 &amp; """", ""),     IF(Q110&lt;&gt;"", """" &amp; Q$1 &amp; """", ""), IF(R110&lt;&gt;"", """" &amp; R$1 &amp; """", ""), IF(S110&lt;&gt;"", """" &amp; S$1 &amp; """", ""), IF(T110&lt;&gt;"", """" &amp; T$1 &amp; """", ""), IF(U110&lt;&gt;"", """" &amp; U$1 &amp; """", ""),
    IF(X110&lt;&gt;"", """" &amp; X110 &amp; """", ""), IF(V110&lt;&gt;"", """" &amp; V110 &amp; """", ""), IF(W110&lt;&gt;"", """" &amp; W110 &amp; """", ""),
    IF(Y110&lt;&gt;"", """" &amp; Y110 &amp; """", ""),
    IF(Z110&lt;&gt;"", """" &amp; Z110 &amp; """", "")
) &amp; "]"</f>
        <v>["Internal", "Workflows"]</v>
      </c>
      <c r="AB110" s="49" t="s">
        <v>18</v>
      </c>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54"/>
      <c r="AY110" s="49"/>
      <c r="AZ110" s="49"/>
      <c r="BA110" s="49"/>
      <c r="BB110" s="49"/>
      <c r="BC110" s="49" t="s">
        <v>701</v>
      </c>
      <c r="BD110" s="49" t="s">
        <v>108</v>
      </c>
      <c r="BE110" s="49"/>
    </row>
    <row r="111" spans="1:185" ht="34.5" customHeight="1">
      <c r="A111" s="99" t="s">
        <v>777</v>
      </c>
      <c r="B111" s="50" t="str">
        <f>LOWER(
  IF(
    RIGHT(
      SUBSTITUTE(SUBSTITUTE(SUBSTITUTE(SUBSTITUTE(SUBSTITUTE(SUBSTITUTE(SUBSTITUTE(C111,"(","_"),")","_"),"/","_"),":","_"),"-","_")," ","_"),"__","_"),
      1
    )="_",
    LEFT(
      SUBSTITUTE(SUBSTITUTE(SUBSTITUTE(SUBSTITUTE(SUBSTITUTE(SUBSTITUTE(SUBSTITUTE(C111,"(","_"),")","_"),"/","_"),":","_"),"-","_")," ","_"),"__","_"),
      LEN(
        SUBSTITUTE(SUBSTITUTE(SUBSTITUTE(SUBSTITUTE(SUBSTITUTE(SUBSTITUTE(SUBSTITUTE(C111,"(","_"),")","_"),"/","_"),":","_"),"-","_")," ","_"),"__","_")
      )-1
    ),
    SUBSTITUTE(SUBSTITUTE(SUBSTITUTE(SUBSTITUTE(SUBSTITUTE(SUBSTITUTE(SUBSTITUTE(C111,"(","_"),")","_"),"/","_"),":","_"),"-","_")," ","_"),"__","_")
  )
)</f>
        <v>parent_hash</v>
      </c>
      <c r="C111" s="49" t="s">
        <v>778</v>
      </c>
      <c r="D111" s="50" t="s">
        <v>779</v>
      </c>
      <c r="E111" s="49" t="s">
        <v>98</v>
      </c>
      <c r="F111" s="49" t="s">
        <v>65</v>
      </c>
      <c r="G111" s="49"/>
      <c r="H111" s="49"/>
      <c r="I111" s="49"/>
      <c r="J111" s="49"/>
      <c r="K111" s="49"/>
      <c r="L111" s="49"/>
      <c r="M111" s="49"/>
      <c r="N111" s="49"/>
      <c r="O111" s="49"/>
      <c r="P111" s="49"/>
      <c r="Q111" s="49"/>
      <c r="R111" s="49"/>
      <c r="S111" s="49"/>
      <c r="T111" s="49"/>
      <c r="U111" s="49"/>
      <c r="V111" s="49"/>
      <c r="W111" s="49"/>
      <c r="X111" s="49" t="s">
        <v>685</v>
      </c>
      <c r="Y111" s="48"/>
      <c r="Z111" s="49" t="s">
        <v>93</v>
      </c>
      <c r="AA111" s="49" t="str">
        <f>"[" &amp; _xlfn.TEXTJOIN(", ", TRUE,
    IF(I111&lt;&gt;"", """" &amp; I$1 &amp; """", ""),
    IF(J111&lt;&gt;"", """" &amp; J$1 &amp; """", ""),
    IF(K111&lt;&gt;"", """" &amp; K$1 &amp; """", ""),
    IF(L111&lt;&gt;"", """" &amp; L$1 &amp; """", ""),
    IF(M111&lt;&gt;"", """" &amp; M$1 &amp; """", ""),    IF(N111&lt;&gt;"", """" &amp; N$1 &amp; """", ""),    IF(O111&lt;&gt;"", """" &amp; O$1 &amp; """", ""),     IF(P111&lt;&gt;"", """" &amp; P$1 &amp; """", ""),     IF(Q111&lt;&gt;"", """" &amp; Q$1 &amp; """", ""), IF(R111&lt;&gt;"", """" &amp; R$1 &amp; """", ""), IF(S111&lt;&gt;"", """" &amp; S$1 &amp; """", ""), IF(T111&lt;&gt;"", """" &amp; T$1 &amp; """", ""), IF(U111&lt;&gt;"", """" &amp; U$1 &amp; """", ""),
    IF(X111&lt;&gt;"", """" &amp; X111 &amp; """", ""), IF(V111&lt;&gt;"", """" &amp; V111 &amp; """", ""), IF(W111&lt;&gt;"", """" &amp; W111 &amp; """", ""),
    IF(Y111&lt;&gt;"", """" &amp; Y111 &amp; """", ""),
    IF(Z111&lt;&gt;"", """" &amp; Z111 &amp; """", "")
) &amp; "]"</f>
        <v>["Internal", "Workflows"]</v>
      </c>
      <c r="AB111" s="49" t="s">
        <v>18</v>
      </c>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54"/>
      <c r="AY111" s="49"/>
      <c r="AZ111" s="49"/>
      <c r="BA111" s="49"/>
      <c r="BB111" s="49"/>
      <c r="BC111" s="49" t="s">
        <v>701</v>
      </c>
      <c r="BD111" s="49" t="s">
        <v>108</v>
      </c>
      <c r="BE111" s="49"/>
    </row>
    <row r="112" spans="1:185" ht="34.5" customHeight="1">
      <c r="A112" s="99" t="s">
        <v>780</v>
      </c>
      <c r="B112" s="50" t="str">
        <f>LOWER(
  IF(
    RIGHT(
      SUBSTITUTE(SUBSTITUTE(SUBSTITUTE(SUBSTITUTE(SUBSTITUTE(SUBSTITUTE(SUBSTITUTE(C112,"(","_"),")","_"),"/","_"),":","_"),"-","_")," ","_"),"__","_"),
      1
    )="_",
    LEFT(
      SUBSTITUTE(SUBSTITUTE(SUBSTITUTE(SUBSTITUTE(SUBSTITUTE(SUBSTITUTE(SUBSTITUTE(C112,"(","_"),")","_"),"/","_"),":","_"),"-","_")," ","_"),"__","_"),
      LEN(
        SUBSTITUTE(SUBSTITUTE(SUBSTITUTE(SUBSTITUTE(SUBSTITUTE(SUBSTITUTE(SUBSTITUTE(C112,"(","_"),")","_"),"/","_"),":","_"),"-","_")," ","_"),"__","_")
      )-1
    ),
    SUBSTITUTE(SUBSTITUTE(SUBSTITUTE(SUBSTITUTE(SUBSTITUTE(SUBSTITUTE(SUBSTITUTE(C112,"(","_"),")","_"),"/","_"),":","_"),"-","_")," ","_"),"__","_")
  )
)</f>
        <v>rank_hash</v>
      </c>
      <c r="C112" s="49" t="s">
        <v>781</v>
      </c>
      <c r="D112" s="50" t="s">
        <v>782</v>
      </c>
      <c r="E112" s="49" t="s">
        <v>98</v>
      </c>
      <c r="F112" s="49" t="s">
        <v>65</v>
      </c>
      <c r="G112" s="49"/>
      <c r="H112" s="49"/>
      <c r="I112" s="49"/>
      <c r="J112" s="49"/>
      <c r="K112" s="49"/>
      <c r="L112" s="49"/>
      <c r="M112" s="49"/>
      <c r="N112" s="49"/>
      <c r="O112" s="49"/>
      <c r="P112" s="49"/>
      <c r="Q112" s="49"/>
      <c r="R112" s="49"/>
      <c r="S112" s="49"/>
      <c r="T112" s="49"/>
      <c r="U112" s="49"/>
      <c r="V112" s="49"/>
      <c r="W112" s="49"/>
      <c r="X112" s="49" t="s">
        <v>685</v>
      </c>
      <c r="Y112" s="48"/>
      <c r="Z112" s="49" t="s">
        <v>93</v>
      </c>
      <c r="AA112" s="49" t="str">
        <f>"[" &amp; _xlfn.TEXTJOIN(", ", TRUE,
    IF(I112&lt;&gt;"", """" &amp; I$1 &amp; """", ""),
    IF(J112&lt;&gt;"", """" &amp; J$1 &amp; """", ""),
    IF(K112&lt;&gt;"", """" &amp; K$1 &amp; """", ""),
    IF(L112&lt;&gt;"", """" &amp; L$1 &amp; """", ""),
    IF(M112&lt;&gt;"", """" &amp; M$1 &amp; """", ""),    IF(N112&lt;&gt;"", """" &amp; N$1 &amp; """", ""),    IF(O112&lt;&gt;"", """" &amp; O$1 &amp; """", ""),     IF(P112&lt;&gt;"", """" &amp; P$1 &amp; """", ""),     IF(Q112&lt;&gt;"", """" &amp; Q$1 &amp; """", ""), IF(R112&lt;&gt;"", """" &amp; R$1 &amp; """", ""), IF(S112&lt;&gt;"", """" &amp; S$1 &amp; """", ""), IF(T112&lt;&gt;"", """" &amp; T$1 &amp; """", ""), IF(U112&lt;&gt;"", """" &amp; U$1 &amp; """", ""),
    IF(X112&lt;&gt;"", """" &amp; X112 &amp; """", ""), IF(V112&lt;&gt;"", """" &amp; V112 &amp; """", ""), IF(W112&lt;&gt;"", """" &amp; W112 &amp; """", ""),
    IF(Y112&lt;&gt;"", """" &amp; Y112 &amp; """", ""),
    IF(Z112&lt;&gt;"", """" &amp; Z112 &amp; """", "")
) &amp; "]"</f>
        <v>["Internal", "Workflows"]</v>
      </c>
      <c r="AB112" s="49" t="s">
        <v>18</v>
      </c>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54"/>
      <c r="AY112" s="49"/>
      <c r="AZ112" s="49"/>
      <c r="BA112" s="49"/>
      <c r="BB112" s="49"/>
      <c r="BC112" s="49" t="s">
        <v>701</v>
      </c>
      <c r="BD112" s="49" t="s">
        <v>108</v>
      </c>
      <c r="BE112" s="49"/>
    </row>
    <row r="113" spans="1:186" ht="34.5" customHeight="1">
      <c r="A113" s="99" t="s">
        <v>783</v>
      </c>
      <c r="B113" s="50" t="str">
        <f>LOWER(
  IF(
    RIGHT(
      SUBSTITUTE(SUBSTITUTE(SUBSTITUTE(SUBSTITUTE(SUBSTITUTE(SUBSTITUTE(SUBSTITUTE(C113,"(","_"),")","_"),"/","_"),":","_"),"-","_")," ","_"),"__","_"),
      1
    )="_",
    LEFT(
      SUBSTITUTE(SUBSTITUTE(SUBSTITUTE(SUBSTITUTE(SUBSTITUTE(SUBSTITUTE(SUBSTITUTE(C113,"(","_"),")","_"),"/","_"),":","_"),"-","_")," ","_"),"__","_"),
      LEN(
        SUBSTITUTE(SUBSTITUTE(SUBSTITUTE(SUBSTITUTE(SUBSTITUTE(SUBSTITUTE(SUBSTITUTE(C113,"(","_"),")","_"),"/","_"),":","_"),"-","_")," ","_"),"__","_")
      )-1
    ),
    SUBSTITUTE(SUBSTITUTE(SUBSTITUTE(SUBSTITUTE(SUBSTITUTE(SUBSTITUTE(SUBSTITUTE(C113,"(","_"),")","_"),"/","_"),":","_"),"-","_")," ","_"),"__","_")
  )
)</f>
        <v>ictv_rank_name</v>
      </c>
      <c r="C113" s="49" t="s">
        <v>784</v>
      </c>
      <c r="D113" s="50" t="s">
        <v>784</v>
      </c>
      <c r="E113" s="49" t="s">
        <v>64</v>
      </c>
      <c r="F113" s="49" t="s">
        <v>65</v>
      </c>
      <c r="G113" s="49"/>
      <c r="H113" s="49"/>
      <c r="I113" s="49"/>
      <c r="J113" s="49"/>
      <c r="K113" s="49"/>
      <c r="L113" s="49"/>
      <c r="M113" s="49"/>
      <c r="N113" s="49"/>
      <c r="O113" s="49"/>
      <c r="P113" s="49"/>
      <c r="Q113" s="49"/>
      <c r="R113" s="49"/>
      <c r="S113" s="49"/>
      <c r="T113" s="49"/>
      <c r="U113" s="49"/>
      <c r="V113" s="49"/>
      <c r="W113" s="49"/>
      <c r="X113" s="49" t="s">
        <v>685</v>
      </c>
      <c r="Y113" s="48"/>
      <c r="Z113" s="49" t="s">
        <v>93</v>
      </c>
      <c r="AA113" s="49" t="str">
        <f>"[" &amp; _xlfn.TEXTJOIN(", ", TRUE,
    IF(I113&lt;&gt;"", """" &amp; I$1 &amp; """", ""),
    IF(J113&lt;&gt;"", """" &amp; J$1 &amp; """", ""),
    IF(K113&lt;&gt;"", """" &amp; K$1 &amp; """", ""),
    IF(L113&lt;&gt;"", """" &amp; L$1 &amp; """", ""),
    IF(M113&lt;&gt;"", """" &amp; M$1 &amp; """", ""),    IF(N113&lt;&gt;"", """" &amp; N$1 &amp; """", ""),    IF(O113&lt;&gt;"", """" &amp; O$1 &amp; """", ""),     IF(P113&lt;&gt;"", """" &amp; P$1 &amp; """", ""),     IF(Q113&lt;&gt;"", """" &amp; Q$1 &amp; """", ""), IF(R113&lt;&gt;"", """" &amp; R$1 &amp; """", ""), IF(S113&lt;&gt;"", """" &amp; S$1 &amp; """", ""), IF(T113&lt;&gt;"", """" &amp; T$1 &amp; """", ""), IF(U113&lt;&gt;"", """" &amp; U$1 &amp; """", ""),
    IF(X113&lt;&gt;"", """" &amp; X113 &amp; """", ""), IF(V113&lt;&gt;"", """" &amp; V113 &amp; """", ""), IF(W113&lt;&gt;"", """" &amp; W113 &amp; """", ""),
    IF(Y113&lt;&gt;"", """" &amp; Y113 &amp; """", ""),
    IF(Z113&lt;&gt;"", """" &amp; Z113 &amp; """", "")
) &amp; "]"</f>
        <v>["Internal", "Workflows"]</v>
      </c>
      <c r="AB113" s="49" t="s">
        <v>325</v>
      </c>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54"/>
      <c r="AY113" s="49"/>
      <c r="AZ113" s="49"/>
      <c r="BA113" s="49"/>
      <c r="BB113" s="49"/>
      <c r="BC113" s="49" t="s">
        <v>701</v>
      </c>
      <c r="BD113" s="49" t="s">
        <v>108</v>
      </c>
      <c r="BE113" s="49"/>
    </row>
    <row r="114" spans="1:186" ht="34.5" customHeight="1">
      <c r="A114" s="99" t="s">
        <v>785</v>
      </c>
      <c r="B114" s="50" t="str">
        <f>LOWER(
  IF(
    RIGHT(
      SUBSTITUTE(SUBSTITUTE(SUBSTITUTE(SUBSTITUTE(SUBSTITUTE(SUBSTITUTE(SUBSTITUTE(C114,"(","_"),")","_"),"/","_"),":","_"),"-","_")," ","_"),"__","_"),
      1
    )="_",
    LEFT(
      SUBSTITUTE(SUBSTITUTE(SUBSTITUTE(SUBSTITUTE(SUBSTITUTE(SUBSTITUTE(SUBSTITUTE(C114,"(","_"),")","_"),"/","_"),":","_"),"-","_")," ","_"),"__","_"),
      LEN(
        SUBSTITUTE(SUBSTITUTE(SUBSTITUTE(SUBSTITUTE(SUBSTITUTE(SUBSTITUTE(SUBSTITUTE(C114,"(","_"),")","_"),"/","_"),":","_"),"-","_")," ","_"),"__","_")
      )-1
    ),
    SUBSTITUTE(SUBSTITUTE(SUBSTITUTE(SUBSTITUTE(SUBSTITUTE(SUBSTITUTE(SUBSTITUTE(C114,"(","_"),")","_"),"/","_"),":","_"),"-","_")," ","_"),"__","_")
  )
)</f>
        <v>ictv_rank_type</v>
      </c>
      <c r="C114" s="49" t="s">
        <v>786</v>
      </c>
      <c r="D114" s="50" t="s">
        <v>786</v>
      </c>
      <c r="E114" s="49" t="s">
        <v>98</v>
      </c>
      <c r="F114" s="49" t="s">
        <v>65</v>
      </c>
      <c r="G114" s="49"/>
      <c r="H114" s="49"/>
      <c r="I114" s="49"/>
      <c r="J114" s="49"/>
      <c r="K114" s="49"/>
      <c r="L114" s="49"/>
      <c r="M114" s="49"/>
      <c r="N114" s="49"/>
      <c r="O114" s="49"/>
      <c r="P114" s="49"/>
      <c r="Q114" s="49"/>
      <c r="R114" s="49"/>
      <c r="S114" s="49"/>
      <c r="T114" s="49"/>
      <c r="U114" s="49"/>
      <c r="V114" s="49"/>
      <c r="W114" s="49"/>
      <c r="X114" s="49" t="s">
        <v>685</v>
      </c>
      <c r="Y114" s="49"/>
      <c r="Z114" s="49" t="s">
        <v>93</v>
      </c>
      <c r="AA114" s="49" t="str">
        <f>"[" &amp; _xlfn.TEXTJOIN(", ", TRUE,
    IF(I114&lt;&gt;"", """" &amp; I$1 &amp; """", ""),
    IF(J114&lt;&gt;"", """" &amp; J$1 &amp; """", ""),
    IF(K114&lt;&gt;"", """" &amp; K$1 &amp; """", ""),
    IF(L114&lt;&gt;"", """" &amp; L$1 &amp; """", ""),
    IF(M114&lt;&gt;"", """" &amp; M$1 &amp; """", ""),    IF(N114&lt;&gt;"", """" &amp; N$1 &amp; """", ""),    IF(O114&lt;&gt;"", """" &amp; O$1 &amp; """", ""),     IF(P114&lt;&gt;"", """" &amp; P$1 &amp; """", ""),     IF(Q114&lt;&gt;"", """" &amp; Q$1 &amp; """", ""), IF(R114&lt;&gt;"", """" &amp; R$1 &amp; """", ""), IF(S114&lt;&gt;"", """" &amp; S$1 &amp; """", ""), IF(T114&lt;&gt;"", """" &amp; T$1 &amp; """", ""), IF(U114&lt;&gt;"", """" &amp; U$1 &amp; """", ""),
    IF(X114&lt;&gt;"", """" &amp; X114 &amp; """", ""), IF(V114&lt;&gt;"", """" &amp; V114 &amp; """", ""), IF(W114&lt;&gt;"", """" &amp; W114 &amp; """", ""),
    IF(Y114&lt;&gt;"", """" &amp; Y114 &amp; """", ""),
    IF(Z114&lt;&gt;"", """" &amp; Z114 &amp; """", "")
) &amp; "]"</f>
        <v>["Internal", "Workflows"]</v>
      </c>
      <c r="AB114" s="49" t="s">
        <v>325</v>
      </c>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54"/>
      <c r="AY114" s="49"/>
      <c r="AZ114" s="49"/>
      <c r="BA114" s="49"/>
      <c r="BB114" s="49"/>
      <c r="BC114" s="49" t="s">
        <v>701</v>
      </c>
      <c r="BD114" s="49" t="s">
        <v>108</v>
      </c>
      <c r="BE114" s="49"/>
    </row>
    <row r="115" spans="1:186" ht="34.5" customHeight="1">
      <c r="A115" s="99" t="s">
        <v>787</v>
      </c>
      <c r="B115" s="50" t="str">
        <f>LOWER(
  IF(
    RIGHT(
      SUBSTITUTE(SUBSTITUTE(SUBSTITUTE(SUBSTITUTE(SUBSTITUTE(SUBSTITUTE(SUBSTITUTE(C115,"(","_"),")","_"),"/","_"),":","_"),"-","_")," ","_"),"__","_"),
      1
    )="_",
    LEFT(
      SUBSTITUTE(SUBSTITUTE(SUBSTITUTE(SUBSTITUTE(SUBSTITUTE(SUBSTITUTE(SUBSTITUTE(C115,"(","_"),")","_"),"/","_"),":","_"),"-","_")," ","_"),"__","_"),
      LEN(
        SUBSTITUTE(SUBSTITUTE(SUBSTITUTE(SUBSTITUTE(SUBSTITUTE(SUBSTITUTE(SUBSTITUTE(C115,"(","_"),")","_"),"/","_"),":","_"),"-","_")," ","_"),"__","_")
      )-1
    ),
    SUBSTITUTE(SUBSTITUTE(SUBSTITUTE(SUBSTITUTE(SUBSTITUTE(SUBSTITUTE(SUBSTITUTE(C115,"(","_"),")","_"),"/","_"),":","_"),"-","_")," ","_"),"__","_")
  )
)</f>
        <v>imgvr_uvig_id</v>
      </c>
      <c r="C115" s="49" t="s">
        <v>788</v>
      </c>
      <c r="D115" s="49" t="s">
        <v>788</v>
      </c>
      <c r="E115" s="49" t="s">
        <v>98</v>
      </c>
      <c r="F115" s="73" t="s">
        <v>65</v>
      </c>
      <c r="G115" s="49"/>
      <c r="H115" s="49"/>
      <c r="I115" s="49"/>
      <c r="J115" s="49"/>
      <c r="K115" s="49"/>
      <c r="L115" s="49"/>
      <c r="M115" s="49"/>
      <c r="N115" s="49"/>
      <c r="O115" s="49"/>
      <c r="P115" s="49"/>
      <c r="Q115" s="49"/>
      <c r="R115" s="49" t="s">
        <v>789</v>
      </c>
      <c r="S115" s="49"/>
      <c r="T115" s="49"/>
      <c r="U115" s="49"/>
      <c r="V115" s="49"/>
      <c r="W115" s="49"/>
      <c r="X115" s="49" t="s">
        <v>137</v>
      </c>
      <c r="Y115" s="49" t="s">
        <v>790</v>
      </c>
      <c r="Z115" s="49"/>
      <c r="AA115" s="49" t="str">
        <f>"[" &amp; _xlfn.TEXTJOIN(", ", TRUE,
    IF(I115&lt;&gt;"", """" &amp; I$1 &amp; """", ""),
    IF(J115&lt;&gt;"", """" &amp; J$1 &amp; """", ""),
    IF(K115&lt;&gt;"", """" &amp; K$1 &amp; """", ""),
    IF(L115&lt;&gt;"", """" &amp; L$1 &amp; """", ""),
    IF(M115&lt;&gt;"", """" &amp; M$1 &amp; """", ""),    IF(N115&lt;&gt;"", """" &amp; N$1 &amp; """", ""),    IF(O115&lt;&gt;"", """" &amp; O$1 &amp; """", ""),     IF(P115&lt;&gt;"", """" &amp; P$1 &amp; """", ""),     IF(Q115&lt;&gt;"", """" &amp; Q$1 &amp; """", ""), IF(R115&lt;&gt;"", """" &amp; R$1 &amp; """", ""), IF(S115&lt;&gt;"", """" &amp; S$1 &amp; """", ""), IF(T115&lt;&gt;"", """" &amp; T$1 &amp; """", ""), IF(U115&lt;&gt;"", """" &amp; U$1 &amp; """", ""),
    IF(X115&lt;&gt;"", """" &amp; X115 &amp; """", ""), IF(V115&lt;&gt;"", """" &amp; V115 &amp; """", ""), IF(W115&lt;&gt;"", """" &amp; W115 &amp; """", ""),
    IF(Y115&lt;&gt;"", """" &amp; Y115 &amp; """", ""),
    IF(Z115&lt;&gt;"", """" &amp; Z115 &amp; """", "")
) &amp; "]"</f>
        <v>["IMG/VR", "Host", "Identifier"]</v>
      </c>
      <c r="AB115" s="49" t="s">
        <v>768</v>
      </c>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54"/>
      <c r="AY115" s="49"/>
      <c r="AZ115" s="49"/>
      <c r="BA115" s="49"/>
      <c r="BB115" s="49"/>
      <c r="BC115" s="49" t="s">
        <v>73</v>
      </c>
      <c r="BD115" s="49" t="s">
        <v>791</v>
      </c>
      <c r="BE115" s="49"/>
      <c r="BF115" s="71"/>
      <c r="BG115" s="71"/>
      <c r="BH115" s="71"/>
      <c r="BI115" s="71"/>
      <c r="BJ115" s="71"/>
      <c r="BK115" s="71"/>
      <c r="BL115" s="71"/>
      <c r="BM115" s="71"/>
      <c r="BN115" s="71"/>
      <c r="BO115" s="71"/>
      <c r="BP115" s="71"/>
      <c r="BQ115" s="71"/>
      <c r="BR115" s="71"/>
      <c r="BS115" s="71"/>
      <c r="BT115" s="71"/>
      <c r="BU115" s="71"/>
      <c r="BV115" s="71"/>
      <c r="BW115" s="71"/>
      <c r="BX115" s="71"/>
      <c r="BY115" s="71"/>
      <c r="BZ115" s="71"/>
      <c r="CA115" s="71"/>
      <c r="CB115" s="71"/>
      <c r="CC115" s="71"/>
      <c r="CD115" s="71"/>
      <c r="CE115" s="71"/>
      <c r="CF115" s="71"/>
      <c r="CG115" s="71"/>
      <c r="CH115" s="71"/>
      <c r="CI115" s="71"/>
      <c r="CJ115" s="71"/>
      <c r="CK115" s="71"/>
      <c r="CL115" s="71"/>
      <c r="CM115" s="71"/>
      <c r="CN115" s="71"/>
      <c r="CO115" s="71"/>
      <c r="CP115" s="71"/>
      <c r="CQ115" s="71"/>
      <c r="CR115" s="71"/>
      <c r="CS115" s="71"/>
      <c r="CT115" s="71"/>
      <c r="CU115" s="71"/>
      <c r="CV115" s="71"/>
      <c r="CW115" s="71"/>
      <c r="CX115" s="71"/>
      <c r="CY115" s="71"/>
      <c r="CZ115" s="71"/>
      <c r="DA115" s="71"/>
      <c r="DB115" s="71"/>
      <c r="DC115" s="71"/>
      <c r="DD115" s="71"/>
      <c r="DE115" s="71"/>
      <c r="DF115" s="71"/>
      <c r="DG115" s="71"/>
      <c r="DH115" s="71"/>
      <c r="DI115" s="71"/>
      <c r="DJ115" s="71"/>
      <c r="DK115" s="71"/>
      <c r="DL115" s="71"/>
      <c r="DM115" s="71"/>
      <c r="DN115" s="71"/>
      <c r="DO115" s="71"/>
      <c r="DP115" s="71"/>
      <c r="DQ115" s="71"/>
      <c r="DR115" s="71"/>
      <c r="DS115" s="71"/>
      <c r="DT115" s="71"/>
      <c r="DU115" s="71"/>
      <c r="DV115" s="71"/>
      <c r="DW115" s="71"/>
      <c r="DX115" s="71"/>
      <c r="DY115" s="71"/>
      <c r="DZ115" s="71"/>
      <c r="EA115" s="71"/>
      <c r="EB115" s="71"/>
      <c r="EC115" s="71"/>
      <c r="ED115" s="71"/>
      <c r="EE115" s="71"/>
      <c r="EF115" s="71"/>
      <c r="EG115" s="71"/>
      <c r="EH115" s="71"/>
      <c r="EI115" s="71"/>
      <c r="EJ115" s="71"/>
      <c r="EK115" s="71"/>
      <c r="EL115" s="71"/>
      <c r="EM115" s="71"/>
      <c r="EN115" s="71"/>
      <c r="EO115" s="71"/>
      <c r="EP115" s="71"/>
      <c r="EQ115" s="71"/>
      <c r="ER115" s="71"/>
      <c r="ES115" s="71"/>
      <c r="ET115" s="71"/>
      <c r="EU115" s="71"/>
      <c r="EV115" s="71"/>
      <c r="EW115" s="71"/>
      <c r="EX115" s="71"/>
      <c r="EY115" s="71"/>
      <c r="EZ115" s="71"/>
      <c r="FA115" s="71"/>
      <c r="FB115" s="71"/>
      <c r="FC115" s="71"/>
      <c r="FD115" s="71"/>
      <c r="FE115" s="71"/>
      <c r="FF115" s="71"/>
      <c r="FG115" s="71"/>
      <c r="FH115" s="71"/>
      <c r="FI115" s="71"/>
      <c r="FJ115" s="71"/>
      <c r="FK115" s="71"/>
      <c r="FL115" s="71"/>
      <c r="FM115" s="71"/>
      <c r="FN115" s="71"/>
      <c r="FO115" s="71"/>
      <c r="FP115" s="71"/>
      <c r="FQ115" s="71"/>
      <c r="FR115" s="71"/>
      <c r="FS115" s="71"/>
      <c r="FT115" s="71"/>
      <c r="FU115" s="71"/>
      <c r="FV115" s="71"/>
      <c r="FW115" s="71"/>
      <c r="FX115" s="71"/>
      <c r="FY115" s="71"/>
      <c r="FZ115" s="71"/>
      <c r="GA115" s="71"/>
      <c r="GB115" s="71"/>
      <c r="GC115" s="71"/>
    </row>
    <row r="116" spans="1:186" ht="34.5" customHeight="1">
      <c r="A116" s="99" t="s">
        <v>792</v>
      </c>
      <c r="B116" s="50" t="str">
        <f>LOWER(
  IF(
    RIGHT(
      SUBSTITUTE(SUBSTITUTE(SUBSTITUTE(SUBSTITUTE(SUBSTITUTE(SUBSTITUTE(SUBSTITUTE(C116,"(","_"),")","_"),"/","_"),":","_"),"-","_")," ","_"),"__","_"),
      1
    )="_",
    LEFT(
      SUBSTITUTE(SUBSTITUTE(SUBSTITUTE(SUBSTITUTE(SUBSTITUTE(SUBSTITUTE(SUBSTITUTE(C116,"(","_"),")","_"),"/","_"),":","_"),"-","_")," ","_"),"__","_"),
      LEN(
        SUBSTITUTE(SUBSTITUTE(SUBSTITUTE(SUBSTITUTE(SUBSTITUTE(SUBSTITUTE(SUBSTITUTE(C116,"(","_"),")","_"),"/","_"),":","_"),"-","_")," ","_"),"__","_")
      )-1
    ),
    SUBSTITUTE(SUBSTITUTE(SUBSTITUTE(SUBSTITUTE(SUBSTITUTE(SUBSTITUTE(SUBSTITUTE(C116,"(","_"),")","_"),"/","_"),":","_"),"-","_")," ","_"),"__","_")
  )
)</f>
        <v>coding_strand</v>
      </c>
      <c r="C116" s="49" t="s">
        <v>793</v>
      </c>
      <c r="D116" s="49" t="s">
        <v>794</v>
      </c>
      <c r="E116" s="49" t="s">
        <v>735</v>
      </c>
      <c r="F116" s="73" t="s">
        <v>795</v>
      </c>
      <c r="G116" s="49"/>
      <c r="H116" s="49"/>
      <c r="I116" s="49"/>
      <c r="J116" s="49"/>
      <c r="K116" s="49"/>
      <c r="L116" s="49"/>
      <c r="M116" s="49"/>
      <c r="N116" s="49"/>
      <c r="O116" s="49"/>
      <c r="P116" s="49"/>
      <c r="Q116" s="49"/>
      <c r="R116" s="49"/>
      <c r="S116" s="49"/>
      <c r="T116" s="49"/>
      <c r="U116" s="49"/>
      <c r="V116" s="49"/>
      <c r="W116" s="49"/>
      <c r="X116" s="49" t="s">
        <v>288</v>
      </c>
      <c r="Y116" s="49" t="s">
        <v>737</v>
      </c>
      <c r="Z116" s="49" t="s">
        <v>93</v>
      </c>
      <c r="AA116" s="49" t="str">
        <f>"[" &amp; _xlfn.TEXTJOIN(", ", TRUE,
    IF(I116&lt;&gt;"", """" &amp; I$1 &amp; """", ""),
    IF(J116&lt;&gt;"", """" &amp; J$1 &amp; """", ""),
    IF(K116&lt;&gt;"", """" &amp; K$1 &amp; """", ""),
    IF(L116&lt;&gt;"", """" &amp; L$1 &amp; """", ""),
    IF(M116&lt;&gt;"", """" &amp; M$1 &amp; """", ""),    IF(N116&lt;&gt;"", """" &amp; N$1 &amp; """", ""),    IF(O116&lt;&gt;"", """" &amp; O$1 &amp; """", ""),     IF(P116&lt;&gt;"", """" &amp; P$1 &amp; """", ""),     IF(Q116&lt;&gt;"", """" &amp; Q$1 &amp; """", ""), IF(R116&lt;&gt;"", """" &amp; R$1 &amp; """", ""), IF(S116&lt;&gt;"", """" &amp; S$1 &amp; """", ""), IF(T116&lt;&gt;"", """" &amp; T$1 &amp; """", ""), IF(U116&lt;&gt;"", """" &amp; U$1 &amp; """", ""),
    IF(X116&lt;&gt;"", """" &amp; X116 &amp; """", ""), IF(V116&lt;&gt;"", """" &amp; V116 &amp; """", ""), IF(W116&lt;&gt;"", """" &amp; W116 &amp; """", ""),
    IF(Y116&lt;&gt;"", """" &amp; Y116 &amp; """", ""),
    IF(Z116&lt;&gt;"", """" &amp; Z116 &amp; """", "")
) &amp; "]"</f>
        <v>["Analysis", "Flags", "Workflows"]</v>
      </c>
      <c r="AB116" s="49" t="s">
        <v>18</v>
      </c>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54" t="s">
        <v>796</v>
      </c>
      <c r="AY116" s="49" t="s">
        <v>797</v>
      </c>
      <c r="AZ116" s="49"/>
      <c r="BA116" s="49"/>
      <c r="BB116" s="49"/>
      <c r="BC116" s="49" t="s">
        <v>73</v>
      </c>
      <c r="BD116" s="49" t="s">
        <v>108</v>
      </c>
      <c r="BE116" s="49"/>
    </row>
    <row r="117" spans="1:186" ht="34.5" customHeight="1">
      <c r="A117" s="101" t="s">
        <v>798</v>
      </c>
      <c r="B117" s="50" t="str">
        <f>LOWER(
  IF(
    RIGHT(
      SUBSTITUTE(SUBSTITUTE(SUBSTITUTE(SUBSTITUTE(SUBSTITUTE(SUBSTITUTE(SUBSTITUTE(C117,"(","_"),")","_"),"/","_"),":","_"),"-","_")," ","_"),"__","_"),
      1
    )="_",
    LEFT(
      SUBSTITUTE(SUBSTITUTE(SUBSTITUTE(SUBSTITUTE(SUBSTITUTE(SUBSTITUTE(SUBSTITUTE(C117,"(","_"),")","_"),"/","_"),":","_"),"-","_")," ","_"),"__","_"),
      LEN(
        SUBSTITUTE(SUBSTITUTE(SUBSTITUTE(SUBSTITUTE(SUBSTITUTE(SUBSTITUTE(SUBSTITUTE(C117,"(","_"),")","_"),"/","_"),":","_"),"-","_")," ","_"),"__","_")
      )-1
    ),
    SUBSTITUTE(SUBSTITUTE(SUBSTITUTE(SUBSTITUTE(SUBSTITUTE(SUBSTITUTE(SUBSTITUTE(C117,"(","_"),")","_"),"/","_"),":","_"),"-","_")," ","_"),"__","_")
  )
)</f>
        <v>host_confidence_score</v>
      </c>
      <c r="C117" s="52" t="s">
        <v>799</v>
      </c>
      <c r="D117" s="77" t="s">
        <v>800</v>
      </c>
      <c r="E117" s="52" t="s">
        <v>92</v>
      </c>
      <c r="F117" s="52" t="s">
        <v>65</v>
      </c>
      <c r="G117" s="52"/>
      <c r="H117" s="52"/>
      <c r="I117" s="52"/>
      <c r="J117" s="52"/>
      <c r="K117" s="52"/>
      <c r="L117" s="52"/>
      <c r="M117" s="52"/>
      <c r="N117" s="52"/>
      <c r="O117" s="52"/>
      <c r="P117" s="52"/>
      <c r="Q117" s="52"/>
      <c r="R117" s="78" t="s">
        <v>801</v>
      </c>
      <c r="S117" s="78"/>
      <c r="T117" s="78" t="s">
        <v>801</v>
      </c>
      <c r="U117" s="52"/>
      <c r="V117" s="52"/>
      <c r="W117" s="52"/>
      <c r="X117" s="52" t="s">
        <v>137</v>
      </c>
      <c r="Y117" s="52"/>
      <c r="Z117" s="52" t="s">
        <v>93</v>
      </c>
      <c r="AA117" s="49" t="str">
        <f>"[" &amp; _xlfn.TEXTJOIN(", ", TRUE,
    IF(I117&lt;&gt;"", """" &amp; I$1 &amp; """", ""),
    IF(J117&lt;&gt;"", """" &amp; J$1 &amp; """", ""),
    IF(K117&lt;&gt;"", """" &amp; K$1 &amp; """", ""),
    IF(L117&lt;&gt;"", """" &amp; L$1 &amp; """", ""),
    IF(M117&lt;&gt;"", """" &amp; M$1 &amp; """", ""),    IF(N117&lt;&gt;"", """" &amp; N$1 &amp; """", ""),    IF(O117&lt;&gt;"", """" &amp; O$1 &amp; """", ""),     IF(P117&lt;&gt;"", """" &amp; P$1 &amp; """", ""),     IF(Q117&lt;&gt;"", """" &amp; Q$1 &amp; """", ""), IF(R117&lt;&gt;"", """" &amp; R$1 &amp; """", ""), IF(S117&lt;&gt;"", """" &amp; S$1 &amp; """", ""), IF(T117&lt;&gt;"", """" &amp; T$1 &amp; """", ""), IF(U117&lt;&gt;"", """" &amp; U$1 &amp; """", ""),
    IF(X117&lt;&gt;"", """" &amp; X117 &amp; """", ""), IF(V117&lt;&gt;"", """" &amp; V117 &amp; """", ""), IF(W117&lt;&gt;"", """" &amp; W117 &amp; """", ""),
    IF(Y117&lt;&gt;"", """" &amp; Y117 &amp; """", ""),
    IF(Z117&lt;&gt;"", """" &amp; Z117 &amp; """", "")
) &amp; "]"</f>
        <v>["IMG/VR", "PhiSpy", "Host", "Workflows"]</v>
      </c>
      <c r="AB117" s="52" t="s">
        <v>18</v>
      </c>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79"/>
      <c r="AY117" s="52"/>
      <c r="AZ117" s="52"/>
      <c r="BA117" s="52"/>
      <c r="BB117" s="52"/>
      <c r="BC117" s="52" t="s">
        <v>73</v>
      </c>
      <c r="BD117" s="52" t="s">
        <v>108</v>
      </c>
      <c r="BE117" s="52"/>
      <c r="BF117" s="80"/>
      <c r="BG117" s="80"/>
      <c r="BH117" s="80"/>
      <c r="BI117" s="80"/>
      <c r="BJ117" s="80"/>
      <c r="BK117" s="80"/>
      <c r="BL117" s="80"/>
      <c r="BM117" s="80"/>
      <c r="BN117" s="80"/>
      <c r="BO117" s="80"/>
      <c r="BP117" s="80"/>
      <c r="BQ117" s="80"/>
      <c r="BR117" s="80"/>
      <c r="BS117" s="80"/>
      <c r="BT117" s="80"/>
      <c r="BU117" s="80"/>
      <c r="BV117" s="80"/>
      <c r="BW117" s="80"/>
      <c r="BX117" s="80"/>
      <c r="BY117" s="80"/>
      <c r="BZ117" s="80"/>
      <c r="CA117" s="80"/>
      <c r="CB117" s="80"/>
      <c r="CC117" s="80"/>
      <c r="CD117" s="80"/>
      <c r="CE117" s="80"/>
      <c r="CF117" s="80"/>
      <c r="CG117" s="80"/>
      <c r="CH117" s="80"/>
      <c r="CI117" s="80"/>
      <c r="CJ117" s="80"/>
      <c r="CK117" s="80"/>
      <c r="CL117" s="80"/>
      <c r="CM117" s="80"/>
      <c r="CN117" s="80"/>
      <c r="CO117" s="80"/>
      <c r="CP117" s="80"/>
      <c r="CQ117" s="80"/>
      <c r="CR117" s="80"/>
      <c r="CS117" s="80"/>
      <c r="CT117" s="80"/>
      <c r="CU117" s="80"/>
      <c r="CV117" s="80"/>
      <c r="CW117" s="80"/>
      <c r="CX117" s="80"/>
      <c r="CY117" s="80"/>
      <c r="CZ117" s="80"/>
      <c r="DA117" s="80"/>
      <c r="DB117" s="80"/>
      <c r="DC117" s="80"/>
      <c r="DD117" s="80"/>
      <c r="DE117" s="80"/>
      <c r="DF117" s="80"/>
      <c r="DG117" s="80"/>
      <c r="DH117" s="80"/>
      <c r="DI117" s="80"/>
      <c r="DJ117" s="80"/>
      <c r="DK117" s="80"/>
      <c r="DL117" s="80"/>
      <c r="DM117" s="80"/>
      <c r="DN117" s="80"/>
      <c r="DO117" s="80"/>
      <c r="DP117" s="80"/>
      <c r="DQ117" s="80"/>
      <c r="DR117" s="80"/>
      <c r="DS117" s="80"/>
      <c r="DT117" s="80"/>
      <c r="DU117" s="80"/>
      <c r="DV117" s="80"/>
      <c r="DW117" s="80"/>
      <c r="DX117" s="80"/>
      <c r="DY117" s="80"/>
      <c r="DZ117" s="80"/>
      <c r="EA117" s="80"/>
      <c r="EB117" s="80"/>
      <c r="EC117" s="80"/>
      <c r="ED117" s="80"/>
      <c r="EE117" s="80"/>
      <c r="EF117" s="80"/>
      <c r="EG117" s="80"/>
      <c r="EH117" s="80"/>
      <c r="EI117" s="80"/>
      <c r="EJ117" s="80"/>
      <c r="EK117" s="80"/>
      <c r="EL117" s="80"/>
      <c r="EM117" s="80"/>
      <c r="EN117" s="80"/>
      <c r="EO117" s="80"/>
      <c r="EP117" s="80"/>
      <c r="EQ117" s="80"/>
      <c r="ER117" s="80"/>
      <c r="ES117" s="80"/>
      <c r="ET117" s="80"/>
      <c r="EU117" s="80"/>
      <c r="EV117" s="80"/>
      <c r="EW117" s="80"/>
      <c r="EX117" s="80"/>
      <c r="EY117" s="80"/>
      <c r="EZ117" s="80"/>
      <c r="FA117" s="80"/>
      <c r="FB117" s="80"/>
      <c r="FC117" s="80"/>
      <c r="FD117" s="80"/>
      <c r="FE117" s="80"/>
      <c r="FF117" s="80"/>
      <c r="FG117" s="80"/>
      <c r="FH117" s="80"/>
      <c r="FI117" s="80"/>
      <c r="FJ117" s="80"/>
      <c r="FK117" s="80"/>
      <c r="FL117" s="80"/>
      <c r="FM117" s="80"/>
      <c r="FN117" s="80"/>
      <c r="FO117" s="80"/>
      <c r="FP117" s="80"/>
      <c r="FQ117" s="80"/>
      <c r="FR117" s="80"/>
      <c r="FS117" s="80"/>
      <c r="FT117" s="80"/>
      <c r="FU117" s="80"/>
      <c r="FV117" s="80"/>
      <c r="FW117" s="80"/>
      <c r="FX117" s="80"/>
      <c r="FY117" s="80"/>
      <c r="FZ117" s="80"/>
      <c r="GA117" s="80"/>
      <c r="GB117" s="80"/>
      <c r="GC117" s="80"/>
      <c r="GD117" s="80"/>
    </row>
    <row r="118" spans="1:186" ht="34.5" customHeight="1">
      <c r="A118" s="99" t="s">
        <v>802</v>
      </c>
      <c r="B118" s="50" t="str">
        <f>LOWER(
  IF(
    RIGHT(
      SUBSTITUTE(SUBSTITUTE(SUBSTITUTE(SUBSTITUTE(SUBSTITUTE(SUBSTITUTE(SUBSTITUTE(C118,"(","_"),")","_"),"/","_"),":","_"),"-","_")," ","_"),"__","_"),
      1
    )="_",
    LEFT(
      SUBSTITUTE(SUBSTITUTE(SUBSTITUTE(SUBSTITUTE(SUBSTITUTE(SUBSTITUTE(SUBSTITUTE(C118,"(","_"),")","_"),"/","_"),":","_"),"-","_")," ","_"),"__","_"),
      LEN(
        SUBSTITUTE(SUBSTITUTE(SUBSTITUTE(SUBSTITUTE(SUBSTITUTE(SUBSTITUTE(SUBSTITUTE(C118,"(","_"),")","_"),"/","_"),":","_"),"-","_")," ","_"),"__","_")
      )-1
    ),
    SUBSTITUTE(SUBSTITUTE(SUBSTITUTE(SUBSTITUTE(SUBSTITUTE(SUBSTITUTE(SUBSTITUTE(C118,"(","_"),")","_"),"/","_"),":","_"),"-","_")," ","_"),"__","_")
  )
)</f>
        <v>checkv_contig_length</v>
      </c>
      <c r="C118" s="49" t="s">
        <v>803</v>
      </c>
      <c r="D118" s="50" t="s">
        <v>804</v>
      </c>
      <c r="E118" s="49" t="s">
        <v>334</v>
      </c>
      <c r="F118" s="49" t="s">
        <v>65</v>
      </c>
      <c r="G118" s="49"/>
      <c r="H118" s="49"/>
      <c r="I118" s="49"/>
      <c r="J118" s="49"/>
      <c r="K118" s="49"/>
      <c r="L118" s="49"/>
      <c r="M118" s="49"/>
      <c r="N118" s="49"/>
      <c r="O118" s="49"/>
      <c r="P118" s="49"/>
      <c r="Q118" s="49"/>
      <c r="R118" s="49"/>
      <c r="S118" s="49"/>
      <c r="T118" s="49"/>
      <c r="U118" s="49"/>
      <c r="V118" s="49"/>
      <c r="W118" s="49"/>
      <c r="X118" s="49" t="s">
        <v>288</v>
      </c>
      <c r="Y118" s="49"/>
      <c r="Z118" s="49" t="s">
        <v>93</v>
      </c>
      <c r="AA118" s="49" t="str">
        <f>"[" &amp; _xlfn.TEXTJOIN(", ", TRUE,
    IF(I118&lt;&gt;"", """" &amp; I$1 &amp; """", ""),
    IF(J118&lt;&gt;"", """" &amp; J$1 &amp; """", ""),
    IF(K118&lt;&gt;"", """" &amp; K$1 &amp; """", ""),
    IF(L118&lt;&gt;"", """" &amp; L$1 &amp; """", ""),
    IF(M118&lt;&gt;"", """" &amp; M$1 &amp; """", ""),    IF(N118&lt;&gt;"", """" &amp; N$1 &amp; """", ""),    IF(O118&lt;&gt;"", """" &amp; O$1 &amp; """", ""),     IF(P118&lt;&gt;"", """" &amp; P$1 &amp; """", ""),     IF(Q118&lt;&gt;"", """" &amp; Q$1 &amp; """", ""), IF(R118&lt;&gt;"", """" &amp; R$1 &amp; """", ""), IF(S118&lt;&gt;"", """" &amp; S$1 &amp; """", ""), IF(T118&lt;&gt;"", """" &amp; T$1 &amp; """", ""), IF(U118&lt;&gt;"", """" &amp; U$1 &amp; """", ""),
    IF(X118&lt;&gt;"", """" &amp; X118 &amp; """", ""), IF(V118&lt;&gt;"", """" &amp; V118 &amp; """", ""), IF(W118&lt;&gt;"", """" &amp; W118 &amp; """", ""),
    IF(Y118&lt;&gt;"", """" &amp; Y118 &amp; """", ""),
    IF(Z118&lt;&gt;"", """" &amp; Z118 &amp; """", "")
) &amp; "]"</f>
        <v>["Analysis", "Workflows"]</v>
      </c>
      <c r="AB118" s="53" t="s">
        <v>18</v>
      </c>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54"/>
      <c r="AY118" s="49"/>
      <c r="AZ118" s="49"/>
      <c r="BA118" s="49"/>
      <c r="BB118" s="49"/>
      <c r="BC118" s="53" t="s">
        <v>73</v>
      </c>
      <c r="BD118" s="53" t="s">
        <v>499</v>
      </c>
      <c r="BE118" s="49"/>
    </row>
    <row r="119" spans="1:186" ht="34.5" customHeight="1">
      <c r="A119" s="99" t="s">
        <v>805</v>
      </c>
      <c r="B119" s="50" t="str">
        <f>LOWER(
  IF(
    RIGHT(
      SUBSTITUTE(SUBSTITUTE(SUBSTITUTE(SUBSTITUTE(SUBSTITUTE(SUBSTITUTE(SUBSTITUTE(C119,"(","_"),")","_"),"/","_"),":","_"),"-","_")," ","_"),"__","_"),
      1
    )="_",
    LEFT(
      SUBSTITUTE(SUBSTITUTE(SUBSTITUTE(SUBSTITUTE(SUBSTITUTE(SUBSTITUTE(SUBSTITUTE(C119,"(","_"),")","_"),"/","_"),":","_"),"-","_")," ","_"),"__","_"),
      LEN(
        SUBSTITUTE(SUBSTITUTE(SUBSTITUTE(SUBSTITUTE(SUBSTITUTE(SUBSTITUTE(SUBSTITUTE(C119,"(","_"),")","_"),"/","_"),":","_"),"-","_")," ","_"),"__","_")
      )-1
    ),
    SUBSTITUTE(SUBSTITUTE(SUBSTITUTE(SUBSTITUTE(SUBSTITUTE(SUBSTITUTE(SUBSTITUTE(C119,"(","_"),")","_"),"/","_"),":","_"),"-","_")," ","_"),"__","_")
  )
)</f>
        <v>checkv_provirus</v>
      </c>
      <c r="C119" s="81" t="s">
        <v>806</v>
      </c>
      <c r="D119" s="50" t="s">
        <v>807</v>
      </c>
      <c r="E119" s="49" t="s">
        <v>98</v>
      </c>
      <c r="F119" s="49" t="s">
        <v>65</v>
      </c>
      <c r="G119" s="49"/>
      <c r="H119" s="49"/>
      <c r="I119" s="49"/>
      <c r="J119" s="49"/>
      <c r="K119" s="49"/>
      <c r="L119" s="49"/>
      <c r="M119" s="49"/>
      <c r="N119" s="49"/>
      <c r="O119" s="49"/>
      <c r="P119" s="49"/>
      <c r="Q119" s="49"/>
      <c r="R119" s="49"/>
      <c r="S119" s="49"/>
      <c r="T119" s="49"/>
      <c r="U119" s="49"/>
      <c r="V119" s="49"/>
      <c r="W119" s="49"/>
      <c r="X119" s="49" t="s">
        <v>288</v>
      </c>
      <c r="Y119" s="49"/>
      <c r="Z119" s="49" t="s">
        <v>93</v>
      </c>
      <c r="AA119" s="49" t="str">
        <f>"[" &amp; _xlfn.TEXTJOIN(", ", TRUE,
    IF(I119&lt;&gt;"", """" &amp; I$1 &amp; """", ""),
    IF(J119&lt;&gt;"", """" &amp; J$1 &amp; """", ""),
    IF(K119&lt;&gt;"", """" &amp; K$1 &amp; """", ""),
    IF(L119&lt;&gt;"", """" &amp; L$1 &amp; """", ""),
    IF(M119&lt;&gt;"", """" &amp; M$1 &amp; """", ""),    IF(N119&lt;&gt;"", """" &amp; N$1 &amp; """", ""),    IF(O119&lt;&gt;"", """" &amp; O$1 &amp; """", ""),     IF(P119&lt;&gt;"", """" &amp; P$1 &amp; """", ""),     IF(Q119&lt;&gt;"", """" &amp; Q$1 &amp; """", ""), IF(R119&lt;&gt;"", """" &amp; R$1 &amp; """", ""), IF(S119&lt;&gt;"", """" &amp; S$1 &amp; """", ""), IF(T119&lt;&gt;"", """" &amp; T$1 &amp; """", ""), IF(U119&lt;&gt;"", """" &amp; U$1 &amp; """", ""),
    IF(X119&lt;&gt;"", """" &amp; X119 &amp; """", ""), IF(V119&lt;&gt;"", """" &amp; V119 &amp; """", ""), IF(W119&lt;&gt;"", """" &amp; W119 &amp; """", ""),
    IF(Y119&lt;&gt;"", """" &amp; Y119 &amp; """", ""),
    IF(Z119&lt;&gt;"", """" &amp; Z119 &amp; """", "")
) &amp; "]"</f>
        <v>["Analysis", "Workflows"]</v>
      </c>
      <c r="AB119" s="53" t="s">
        <v>18</v>
      </c>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54"/>
      <c r="AY119" s="49"/>
      <c r="AZ119" s="49"/>
      <c r="BA119" s="49"/>
      <c r="BB119" s="49"/>
      <c r="BC119" s="53" t="s">
        <v>73</v>
      </c>
      <c r="BD119" s="53" t="s">
        <v>499</v>
      </c>
      <c r="BE119" s="49"/>
    </row>
    <row r="120" spans="1:186" ht="34.5" customHeight="1">
      <c r="A120" s="99" t="s">
        <v>808</v>
      </c>
      <c r="B120" s="50" t="str">
        <f>LOWER(
  IF(
    RIGHT(
      SUBSTITUTE(SUBSTITUTE(SUBSTITUTE(SUBSTITUTE(SUBSTITUTE(SUBSTITUTE(SUBSTITUTE(C120,"(","_"),")","_"),"/","_"),":","_"),"-","_")," ","_"),"__","_"),
      1
    )="_",
    LEFT(
      SUBSTITUTE(SUBSTITUTE(SUBSTITUTE(SUBSTITUTE(SUBSTITUTE(SUBSTITUTE(SUBSTITUTE(C120,"(","_"),")","_"),"/","_"),":","_"),"-","_")," ","_"),"__","_"),
      LEN(
        SUBSTITUTE(SUBSTITUTE(SUBSTITUTE(SUBSTITUTE(SUBSTITUTE(SUBSTITUTE(SUBSTITUTE(C120,"(","_"),")","_"),"/","_"),":","_"),"-","_")," ","_"),"__","_")
      )-1
    ),
    SUBSTITUTE(SUBSTITUTE(SUBSTITUTE(SUBSTITUTE(SUBSTITUTE(SUBSTITUTE(SUBSTITUTE(C120,"(","_"),")","_"),"/","_"),":","_"),"-","_")," ","_"),"__","_")
  )
)</f>
        <v>checkv_proviral_length</v>
      </c>
      <c r="C120" s="49" t="s">
        <v>809</v>
      </c>
      <c r="D120" s="50" t="s">
        <v>810</v>
      </c>
      <c r="E120" s="49" t="s">
        <v>334</v>
      </c>
      <c r="F120" s="49" t="s">
        <v>65</v>
      </c>
      <c r="G120" s="49"/>
      <c r="H120" s="49"/>
      <c r="I120" s="49"/>
      <c r="J120" s="49"/>
      <c r="K120" s="49"/>
      <c r="L120" s="49"/>
      <c r="M120" s="49"/>
      <c r="N120" s="49"/>
      <c r="O120" s="49"/>
      <c r="P120" s="49"/>
      <c r="Q120" s="49"/>
      <c r="R120" s="49"/>
      <c r="S120" s="49"/>
      <c r="T120" s="49"/>
      <c r="U120" s="49"/>
      <c r="V120" s="49"/>
      <c r="W120" s="49"/>
      <c r="X120" s="49" t="s">
        <v>288</v>
      </c>
      <c r="Y120" s="49"/>
      <c r="Z120" s="49" t="s">
        <v>93</v>
      </c>
      <c r="AA120" s="49" t="str">
        <f>"[" &amp; _xlfn.TEXTJOIN(", ", TRUE,
    IF(I120&lt;&gt;"", """" &amp; I$1 &amp; """", ""),
    IF(J120&lt;&gt;"", """" &amp; J$1 &amp; """", ""),
    IF(K120&lt;&gt;"", """" &amp; K$1 &amp; """", ""),
    IF(L120&lt;&gt;"", """" &amp; L$1 &amp; """", ""),
    IF(M120&lt;&gt;"", """" &amp; M$1 &amp; """", ""),    IF(N120&lt;&gt;"", """" &amp; N$1 &amp; """", ""),    IF(O120&lt;&gt;"", """" &amp; O$1 &amp; """", ""),     IF(P120&lt;&gt;"", """" &amp; P$1 &amp; """", ""),     IF(Q120&lt;&gt;"", """" &amp; Q$1 &amp; """", ""), IF(R120&lt;&gt;"", """" &amp; R$1 &amp; """", ""), IF(S120&lt;&gt;"", """" &amp; S$1 &amp; """", ""), IF(T120&lt;&gt;"", """" &amp; T$1 &amp; """", ""), IF(U120&lt;&gt;"", """" &amp; U$1 &amp; """", ""),
    IF(X120&lt;&gt;"", """" &amp; X120 &amp; """", ""), IF(V120&lt;&gt;"", """" &amp; V120 &amp; """", ""), IF(W120&lt;&gt;"", """" &amp; W120 &amp; """", ""),
    IF(Y120&lt;&gt;"", """" &amp; Y120 &amp; """", ""),
    IF(Z120&lt;&gt;"", """" &amp; Z120 &amp; """", "")
) &amp; "]"</f>
        <v>["Analysis", "Workflows"]</v>
      </c>
      <c r="AB120" s="53" t="s">
        <v>18</v>
      </c>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54"/>
      <c r="AY120" s="49"/>
      <c r="AZ120" s="49"/>
      <c r="BA120" s="49"/>
      <c r="BB120" s="49"/>
      <c r="BC120" s="53" t="s">
        <v>73</v>
      </c>
      <c r="BD120" s="53" t="s">
        <v>499</v>
      </c>
      <c r="BE120" s="49"/>
    </row>
    <row r="121" spans="1:186" ht="34.5" customHeight="1">
      <c r="A121" s="99" t="s">
        <v>811</v>
      </c>
      <c r="B121" s="50" t="str">
        <f>LOWER(
  IF(
    RIGHT(
      SUBSTITUTE(SUBSTITUTE(SUBSTITUTE(SUBSTITUTE(SUBSTITUTE(SUBSTITUTE(SUBSTITUTE(C121,"(","_"),")","_"),"/","_"),":","_"),"-","_")," ","_"),"__","_"),
      1
    )="_",
    LEFT(
      SUBSTITUTE(SUBSTITUTE(SUBSTITUTE(SUBSTITUTE(SUBSTITUTE(SUBSTITUTE(SUBSTITUTE(C121,"(","_"),")","_"),"/","_"),":","_"),"-","_")," ","_"),"__","_"),
      LEN(
        SUBSTITUTE(SUBSTITUTE(SUBSTITUTE(SUBSTITUTE(SUBSTITUTE(SUBSTITUTE(SUBSTITUTE(C121,"(","_"),")","_"),"/","_"),":","_"),"-","_")," ","_"),"__","_")
      )-1
    ),
    SUBSTITUTE(SUBSTITUTE(SUBSTITUTE(SUBSTITUTE(SUBSTITUTE(SUBSTITUTE(SUBSTITUTE(C121,"(","_"),")","_"),"/","_"),":","_"),"-","_")," ","_"),"__","_")
  )
)</f>
        <v>checkv_gene_count</v>
      </c>
      <c r="C121" s="49" t="s">
        <v>812</v>
      </c>
      <c r="D121" s="50" t="s">
        <v>813</v>
      </c>
      <c r="E121" s="49" t="s">
        <v>334</v>
      </c>
      <c r="F121" s="49" t="s">
        <v>65</v>
      </c>
      <c r="G121" s="49"/>
      <c r="H121" s="49"/>
      <c r="I121" s="49"/>
      <c r="J121" s="49"/>
      <c r="K121" s="49"/>
      <c r="L121" s="49"/>
      <c r="M121" s="49"/>
      <c r="N121" s="49"/>
      <c r="O121" s="49"/>
      <c r="P121" s="49"/>
      <c r="Q121" s="49"/>
      <c r="R121" s="49"/>
      <c r="S121" s="49"/>
      <c r="T121" s="49"/>
      <c r="U121" s="49"/>
      <c r="V121" s="49"/>
      <c r="W121" s="49"/>
      <c r="X121" s="49" t="s">
        <v>288</v>
      </c>
      <c r="Y121" s="49"/>
      <c r="Z121" s="49" t="s">
        <v>93</v>
      </c>
      <c r="AA121" s="49" t="str">
        <f>"[" &amp; _xlfn.TEXTJOIN(", ", TRUE,
    IF(I121&lt;&gt;"", """" &amp; I$1 &amp; """", ""),
    IF(J121&lt;&gt;"", """" &amp; J$1 &amp; """", ""),
    IF(K121&lt;&gt;"", """" &amp; K$1 &amp; """", ""),
    IF(L121&lt;&gt;"", """" &amp; L$1 &amp; """", ""),
    IF(M121&lt;&gt;"", """" &amp; M$1 &amp; """", ""),    IF(N121&lt;&gt;"", """" &amp; N$1 &amp; """", ""),    IF(O121&lt;&gt;"", """" &amp; O$1 &amp; """", ""),     IF(P121&lt;&gt;"", """" &amp; P$1 &amp; """", ""),     IF(Q121&lt;&gt;"", """" &amp; Q$1 &amp; """", ""), IF(R121&lt;&gt;"", """" &amp; R$1 &amp; """", ""), IF(S121&lt;&gt;"", """" &amp; S$1 &amp; """", ""), IF(T121&lt;&gt;"", """" &amp; T$1 &amp; """", ""), IF(U121&lt;&gt;"", """" &amp; U$1 &amp; """", ""),
    IF(X121&lt;&gt;"", """" &amp; X121 &amp; """", ""), IF(V121&lt;&gt;"", """" &amp; V121 &amp; """", ""), IF(W121&lt;&gt;"", """" &amp; W121 &amp; """", ""),
    IF(Y121&lt;&gt;"", """" &amp; Y121 &amp; """", ""),
    IF(Z121&lt;&gt;"", """" &amp; Z121 &amp; """", "")
) &amp; "]"</f>
        <v>["Analysis", "Workflows"]</v>
      </c>
      <c r="AB121" s="53" t="s">
        <v>18</v>
      </c>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54"/>
      <c r="AY121" s="49"/>
      <c r="AZ121" s="49"/>
      <c r="BA121" s="49"/>
      <c r="BB121" s="49"/>
      <c r="BC121" s="53" t="s">
        <v>73</v>
      </c>
      <c r="BD121" s="53" t="s">
        <v>499</v>
      </c>
      <c r="BE121" s="49"/>
    </row>
    <row r="122" spans="1:186" ht="34.5" customHeight="1">
      <c r="A122" s="99" t="s">
        <v>814</v>
      </c>
      <c r="B122" s="50" t="str">
        <f>LOWER(
  IF(
    RIGHT(
      SUBSTITUTE(SUBSTITUTE(SUBSTITUTE(SUBSTITUTE(SUBSTITUTE(SUBSTITUTE(SUBSTITUTE(C122,"(","_"),")","_"),"/","_"),":","_"),"-","_")," ","_"),"__","_"),
      1
    )="_",
    LEFT(
      SUBSTITUTE(SUBSTITUTE(SUBSTITUTE(SUBSTITUTE(SUBSTITUTE(SUBSTITUTE(SUBSTITUTE(C122,"(","_"),")","_"),"/","_"),":","_"),"-","_")," ","_"),"__","_"),
      LEN(
        SUBSTITUTE(SUBSTITUTE(SUBSTITUTE(SUBSTITUTE(SUBSTITUTE(SUBSTITUTE(SUBSTITUTE(C122,"(","_"),")","_"),"/","_"),":","_"),"-","_")," ","_"),"__","_")
      )-1
    ),
    SUBSTITUTE(SUBSTITUTE(SUBSTITUTE(SUBSTITUTE(SUBSTITUTE(SUBSTITUTE(SUBSTITUTE(C122,"(","_"),")","_"),"/","_"),":","_"),"-","_")," ","_"),"__","_")
  )
)</f>
        <v>checkv_viral_genes</v>
      </c>
      <c r="C122" s="49" t="s">
        <v>815</v>
      </c>
      <c r="D122" s="50" t="s">
        <v>816</v>
      </c>
      <c r="E122" s="49" t="s">
        <v>98</v>
      </c>
      <c r="F122" s="49" t="s">
        <v>65</v>
      </c>
      <c r="G122" s="49"/>
      <c r="H122" s="49"/>
      <c r="I122" s="49"/>
      <c r="J122" s="49"/>
      <c r="K122" s="49"/>
      <c r="L122" s="49"/>
      <c r="M122" s="49"/>
      <c r="N122" s="49"/>
      <c r="O122" s="49"/>
      <c r="P122" s="49"/>
      <c r="Q122" s="49"/>
      <c r="R122" s="49"/>
      <c r="S122" s="49"/>
      <c r="T122" s="49"/>
      <c r="U122" s="49"/>
      <c r="V122" s="49"/>
      <c r="W122" s="49"/>
      <c r="X122" s="49" t="s">
        <v>288</v>
      </c>
      <c r="Y122" s="49"/>
      <c r="Z122" s="49" t="s">
        <v>93</v>
      </c>
      <c r="AA122" s="49" t="str">
        <f>"[" &amp; _xlfn.TEXTJOIN(", ", TRUE,
    IF(I122&lt;&gt;"", """" &amp; I$1 &amp; """", ""),
    IF(J122&lt;&gt;"", """" &amp; J$1 &amp; """", ""),
    IF(K122&lt;&gt;"", """" &amp; K$1 &amp; """", ""),
    IF(L122&lt;&gt;"", """" &amp; L$1 &amp; """", ""),
    IF(M122&lt;&gt;"", """" &amp; M$1 &amp; """", ""),    IF(N122&lt;&gt;"", """" &amp; N$1 &amp; """", ""),    IF(O122&lt;&gt;"", """" &amp; O$1 &amp; """", ""),     IF(P122&lt;&gt;"", """" &amp; P$1 &amp; """", ""),     IF(Q122&lt;&gt;"", """" &amp; Q$1 &amp; """", ""), IF(R122&lt;&gt;"", """" &amp; R$1 &amp; """", ""), IF(S122&lt;&gt;"", """" &amp; S$1 &amp; """", ""), IF(T122&lt;&gt;"", """" &amp; T$1 &amp; """", ""), IF(U122&lt;&gt;"", """" &amp; U$1 &amp; """", ""),
    IF(X122&lt;&gt;"", """" &amp; X122 &amp; """", ""), IF(V122&lt;&gt;"", """" &amp; V122 &amp; """", ""), IF(W122&lt;&gt;"", """" &amp; W122 &amp; """", ""),
    IF(Y122&lt;&gt;"", """" &amp; Y122 &amp; """", ""),
    IF(Z122&lt;&gt;"", """" &amp; Z122 &amp; """", "")
) &amp; "]"</f>
        <v>["Analysis", "Workflows"]</v>
      </c>
      <c r="AB122" s="53" t="s">
        <v>18</v>
      </c>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54"/>
      <c r="AY122" s="49"/>
      <c r="AZ122" s="49"/>
      <c r="BA122" s="49"/>
      <c r="BB122" s="49"/>
      <c r="BC122" s="53" t="s">
        <v>73</v>
      </c>
      <c r="BD122" s="53" t="s">
        <v>499</v>
      </c>
      <c r="BE122" s="49"/>
    </row>
    <row r="123" spans="1:186" ht="34.5" customHeight="1">
      <c r="A123" s="99" t="s">
        <v>817</v>
      </c>
      <c r="B123" s="50" t="str">
        <f>LOWER(
  IF(
    RIGHT(
      SUBSTITUTE(SUBSTITUTE(SUBSTITUTE(SUBSTITUTE(SUBSTITUTE(SUBSTITUTE(SUBSTITUTE(C123,"(","_"),")","_"),"/","_"),":","_"),"-","_")," ","_"),"__","_"),
      1
    )="_",
    LEFT(
      SUBSTITUTE(SUBSTITUTE(SUBSTITUTE(SUBSTITUTE(SUBSTITUTE(SUBSTITUTE(SUBSTITUTE(C123,"(","_"),")","_"),"/","_"),":","_"),"-","_")," ","_"),"__","_"),
      LEN(
        SUBSTITUTE(SUBSTITUTE(SUBSTITUTE(SUBSTITUTE(SUBSTITUTE(SUBSTITUTE(SUBSTITUTE(C123,"(","_"),")","_"),"/","_"),":","_"),"-","_")," ","_"),"__","_")
      )-1
    ),
    SUBSTITUTE(SUBSTITUTE(SUBSTITUTE(SUBSTITUTE(SUBSTITUTE(SUBSTITUTE(SUBSTITUTE(C123,"(","_"),")","_"),"/","_"),":","_"),"-","_")," ","_"),"__","_")
  )
)</f>
        <v>checkv_host_genes</v>
      </c>
      <c r="C123" s="49" t="s">
        <v>818</v>
      </c>
      <c r="D123" s="50" t="s">
        <v>819</v>
      </c>
      <c r="E123" s="49" t="s">
        <v>64</v>
      </c>
      <c r="F123" s="49" t="s">
        <v>65</v>
      </c>
      <c r="G123" s="49"/>
      <c r="H123" s="49"/>
      <c r="I123" s="49"/>
      <c r="J123" s="49"/>
      <c r="K123" s="49"/>
      <c r="L123" s="49"/>
      <c r="M123" s="49"/>
      <c r="N123" s="49"/>
      <c r="O123" s="49"/>
      <c r="P123" s="49"/>
      <c r="Q123" s="49"/>
      <c r="R123" s="49"/>
      <c r="S123" s="49"/>
      <c r="T123" s="49"/>
      <c r="U123" s="49"/>
      <c r="V123" s="49"/>
      <c r="W123" s="49"/>
      <c r="X123" s="49" t="s">
        <v>288</v>
      </c>
      <c r="Y123" s="49"/>
      <c r="Z123" s="49" t="s">
        <v>93</v>
      </c>
      <c r="AA123" s="49" t="str">
        <f>"[" &amp; _xlfn.TEXTJOIN(", ", TRUE,
    IF(I123&lt;&gt;"", """" &amp; I$1 &amp; """", ""),
    IF(J123&lt;&gt;"", """" &amp; J$1 &amp; """", ""),
    IF(K123&lt;&gt;"", """" &amp; K$1 &amp; """", ""),
    IF(L123&lt;&gt;"", """" &amp; L$1 &amp; """", ""),
    IF(M123&lt;&gt;"", """" &amp; M$1 &amp; """", ""),    IF(N123&lt;&gt;"", """" &amp; N$1 &amp; """", ""),    IF(O123&lt;&gt;"", """" &amp; O$1 &amp; """", ""),     IF(P123&lt;&gt;"", """" &amp; P$1 &amp; """", ""),     IF(Q123&lt;&gt;"", """" &amp; Q$1 &amp; """", ""), IF(R123&lt;&gt;"", """" &amp; R$1 &amp; """", ""), IF(S123&lt;&gt;"", """" &amp; S$1 &amp; """", ""), IF(T123&lt;&gt;"", """" &amp; T$1 &amp; """", ""), IF(U123&lt;&gt;"", """" &amp; U$1 &amp; """", ""),
    IF(X123&lt;&gt;"", """" &amp; X123 &amp; """", ""), IF(V123&lt;&gt;"", """" &amp; V123 &amp; """", ""), IF(W123&lt;&gt;"", """" &amp; W123 &amp; """", ""),
    IF(Y123&lt;&gt;"", """" &amp; Y123 &amp; """", ""),
    IF(Z123&lt;&gt;"", """" &amp; Z123 &amp; """", "")
) &amp; "]"</f>
        <v>["Analysis", "Workflows"]</v>
      </c>
      <c r="AB123" s="53" t="s">
        <v>18</v>
      </c>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54"/>
      <c r="AY123" s="49"/>
      <c r="AZ123" s="49"/>
      <c r="BA123" s="49"/>
      <c r="BB123" s="49"/>
      <c r="BC123" s="53" t="s">
        <v>73</v>
      </c>
      <c r="BD123" s="53" t="s">
        <v>499</v>
      </c>
      <c r="BE123" s="49"/>
    </row>
    <row r="124" spans="1:186" ht="34.5" customHeight="1">
      <c r="A124" s="99" t="s">
        <v>820</v>
      </c>
      <c r="B124" s="50" t="str">
        <f>LOWER(
  IF(
    RIGHT(
      SUBSTITUTE(SUBSTITUTE(SUBSTITUTE(SUBSTITUTE(SUBSTITUTE(SUBSTITUTE(SUBSTITUTE(C124,"(","_"),")","_"),"/","_"),":","_"),"-","_")," ","_"),"__","_"),
      1
    )="_",
    LEFT(
      SUBSTITUTE(SUBSTITUTE(SUBSTITUTE(SUBSTITUTE(SUBSTITUTE(SUBSTITUTE(SUBSTITUTE(C124,"(","_"),")","_"),"/","_"),":","_"),"-","_")," ","_"),"__","_"),
      LEN(
        SUBSTITUTE(SUBSTITUTE(SUBSTITUTE(SUBSTITUTE(SUBSTITUTE(SUBSTITUTE(SUBSTITUTE(C124,"(","_"),")","_"),"/","_"),":","_"),"-","_")," ","_"),"__","_")
      )-1
    ),
    SUBSTITUTE(SUBSTITUTE(SUBSTITUTE(SUBSTITUTE(SUBSTITUTE(SUBSTITUTE(SUBSTITUTE(C124,"(","_"),")","_"),"/","_"),":","_"),"-","_")," ","_"),"__","_")
  )
)</f>
        <v>checkv_quality</v>
      </c>
      <c r="C124" s="49" t="s">
        <v>821</v>
      </c>
      <c r="D124" s="50" t="s">
        <v>822</v>
      </c>
      <c r="E124" s="49" t="s">
        <v>98</v>
      </c>
      <c r="F124" s="49" t="s">
        <v>65</v>
      </c>
      <c r="G124" s="49"/>
      <c r="H124" s="49"/>
      <c r="I124" s="49"/>
      <c r="J124" s="49"/>
      <c r="K124" s="49"/>
      <c r="L124" s="49"/>
      <c r="M124" s="49"/>
      <c r="N124" s="49"/>
      <c r="O124" s="49"/>
      <c r="P124" s="49"/>
      <c r="Q124" s="49"/>
      <c r="R124" s="49"/>
      <c r="S124" s="49"/>
      <c r="T124" s="49"/>
      <c r="U124" s="49"/>
      <c r="V124" s="49"/>
      <c r="W124" s="49"/>
      <c r="X124" s="49" t="s">
        <v>288</v>
      </c>
      <c r="Y124" s="49"/>
      <c r="Z124" s="49" t="s">
        <v>93</v>
      </c>
      <c r="AA124" s="49" t="str">
        <f>"[" &amp; _xlfn.TEXTJOIN(", ", TRUE,
    IF(I124&lt;&gt;"", """" &amp; I$1 &amp; """", ""),
    IF(J124&lt;&gt;"", """" &amp; J$1 &amp; """", ""),
    IF(K124&lt;&gt;"", """" &amp; K$1 &amp; """", ""),
    IF(L124&lt;&gt;"", """" &amp; L$1 &amp; """", ""),
    IF(M124&lt;&gt;"", """" &amp; M$1 &amp; """", ""),    IF(N124&lt;&gt;"", """" &amp; N$1 &amp; """", ""),    IF(O124&lt;&gt;"", """" &amp; O$1 &amp; """", ""),     IF(P124&lt;&gt;"", """" &amp; P$1 &amp; """", ""),     IF(Q124&lt;&gt;"", """" &amp; Q$1 &amp; """", ""), IF(R124&lt;&gt;"", """" &amp; R$1 &amp; """", ""), IF(S124&lt;&gt;"", """" &amp; S$1 &amp; """", ""), IF(T124&lt;&gt;"", """" &amp; T$1 &amp; """", ""), IF(U124&lt;&gt;"", """" &amp; U$1 &amp; """", ""),
    IF(X124&lt;&gt;"", """" &amp; X124 &amp; """", ""), IF(V124&lt;&gt;"", """" &amp; V124 &amp; """", ""), IF(W124&lt;&gt;"", """" &amp; W124 &amp; """", ""),
    IF(Y124&lt;&gt;"", """" &amp; Y124 &amp; """", ""),
    IF(Z124&lt;&gt;"", """" &amp; Z124 &amp; """", "")
) &amp; "]"</f>
        <v>["Analysis", "Workflows"]</v>
      </c>
      <c r="AB124" s="53" t="s">
        <v>18</v>
      </c>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54"/>
      <c r="AY124" s="49"/>
      <c r="AZ124" s="49"/>
      <c r="BA124" s="49"/>
      <c r="BB124" s="49"/>
      <c r="BC124" s="53" t="s">
        <v>73</v>
      </c>
      <c r="BD124" s="53" t="s">
        <v>499</v>
      </c>
      <c r="BE124" s="49"/>
    </row>
    <row r="125" spans="1:186" ht="34.5" customHeight="1">
      <c r="A125" s="99" t="s">
        <v>823</v>
      </c>
      <c r="B125" s="50" t="str">
        <f>LOWER(
  IF(
    RIGHT(
      SUBSTITUTE(SUBSTITUTE(SUBSTITUTE(SUBSTITUTE(SUBSTITUTE(SUBSTITUTE(SUBSTITUTE(C125,"(","_"),")","_"),"/","_"),":","_"),"-","_")," ","_"),"__","_"),
      1
    )="_",
    LEFT(
      SUBSTITUTE(SUBSTITUTE(SUBSTITUTE(SUBSTITUTE(SUBSTITUTE(SUBSTITUTE(SUBSTITUTE(C125,"(","_"),")","_"),"/","_"),":","_"),"-","_")," ","_"),"__","_"),
      LEN(
        SUBSTITUTE(SUBSTITUTE(SUBSTITUTE(SUBSTITUTE(SUBSTITUTE(SUBSTITUTE(SUBSTITUTE(C125,"(","_"),")","_"),"/","_"),":","_"),"-","_")," ","_"),"__","_")
      )-1
    ),
    SUBSTITUTE(SUBSTITUTE(SUBSTITUTE(SUBSTITUTE(SUBSTITUTE(SUBSTITUTE(SUBSTITUTE(C125,"(","_"),")","_"),"/","_"),":","_"),"-","_")," ","_"),"__","_")
  )
)</f>
        <v>checkv_miuvig_quality</v>
      </c>
      <c r="C125" s="49" t="s">
        <v>824</v>
      </c>
      <c r="D125" s="50" t="s">
        <v>825</v>
      </c>
      <c r="E125" s="49" t="s">
        <v>98</v>
      </c>
      <c r="F125" s="49" t="s">
        <v>65</v>
      </c>
      <c r="G125" s="49"/>
      <c r="H125" s="49"/>
      <c r="I125" s="49"/>
      <c r="J125" s="49"/>
      <c r="K125" s="49"/>
      <c r="L125" s="49"/>
      <c r="M125" s="49"/>
      <c r="N125" s="49"/>
      <c r="O125" s="49"/>
      <c r="P125" s="49"/>
      <c r="Q125" s="49"/>
      <c r="R125" s="49"/>
      <c r="S125" s="49"/>
      <c r="T125" s="49"/>
      <c r="U125" s="49"/>
      <c r="V125" s="49"/>
      <c r="W125" s="49"/>
      <c r="X125" s="49" t="s">
        <v>288</v>
      </c>
      <c r="Y125" s="49"/>
      <c r="Z125" s="49" t="s">
        <v>93</v>
      </c>
      <c r="AA125" s="49" t="str">
        <f>"[" &amp; _xlfn.TEXTJOIN(", ", TRUE,
    IF(I125&lt;&gt;"", """" &amp; I$1 &amp; """", ""),
    IF(J125&lt;&gt;"", """" &amp; J$1 &amp; """", ""),
    IF(K125&lt;&gt;"", """" &amp; K$1 &amp; """", ""),
    IF(L125&lt;&gt;"", """" &amp; L$1 &amp; """", ""),
    IF(M125&lt;&gt;"", """" &amp; M$1 &amp; """", ""),    IF(N125&lt;&gt;"", """" &amp; N$1 &amp; """", ""),    IF(O125&lt;&gt;"", """" &amp; O$1 &amp; """", ""),     IF(P125&lt;&gt;"", """" &amp; P$1 &amp; """", ""),     IF(Q125&lt;&gt;"", """" &amp; Q$1 &amp; """", ""), IF(R125&lt;&gt;"", """" &amp; R$1 &amp; """", ""), IF(S125&lt;&gt;"", """" &amp; S$1 &amp; """", ""), IF(T125&lt;&gt;"", """" &amp; T$1 &amp; """", ""), IF(U125&lt;&gt;"", """" &amp; U$1 &amp; """", ""),
    IF(X125&lt;&gt;"", """" &amp; X125 &amp; """", ""), IF(V125&lt;&gt;"", """" &amp; V125 &amp; """", ""), IF(W125&lt;&gt;"", """" &amp; W125 &amp; """", ""),
    IF(Y125&lt;&gt;"", """" &amp; Y125 &amp; """", ""),
    IF(Z125&lt;&gt;"", """" &amp; Z125 &amp; """", "")
) &amp; "]"</f>
        <v>["Analysis", "Workflows"]</v>
      </c>
      <c r="AB125" s="53" t="s">
        <v>18</v>
      </c>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54"/>
      <c r="AY125" s="49"/>
      <c r="AZ125" s="49"/>
      <c r="BA125" s="49"/>
      <c r="BB125" s="49"/>
      <c r="BC125" s="53" t="s">
        <v>73</v>
      </c>
      <c r="BD125" s="53" t="s">
        <v>499</v>
      </c>
      <c r="BE125" s="49"/>
    </row>
    <row r="126" spans="1:186" ht="34.5" customHeight="1">
      <c r="A126" s="99" t="s">
        <v>826</v>
      </c>
      <c r="B126" s="50" t="str">
        <f>LOWER(
  IF(
    RIGHT(
      SUBSTITUTE(SUBSTITUTE(SUBSTITUTE(SUBSTITUTE(SUBSTITUTE(SUBSTITUTE(SUBSTITUTE(C126,"(","_"),")","_"),"/","_"),":","_"),"-","_")," ","_"),"__","_"),
      1
    )="_",
    LEFT(
      SUBSTITUTE(SUBSTITUTE(SUBSTITUTE(SUBSTITUTE(SUBSTITUTE(SUBSTITUTE(SUBSTITUTE(C126,"(","_"),")","_"),"/","_"),":","_"),"-","_")," ","_"),"__","_"),
      LEN(
        SUBSTITUTE(SUBSTITUTE(SUBSTITUTE(SUBSTITUTE(SUBSTITUTE(SUBSTITUTE(SUBSTITUTE(C126,"(","_"),")","_"),"/","_"),":","_"),"-","_")," ","_"),"__","_")
      )-1
    ),
    SUBSTITUTE(SUBSTITUTE(SUBSTITUTE(SUBSTITUTE(SUBSTITUTE(SUBSTITUTE(SUBSTITUTE(C126,"(","_"),")","_"),"/","_"),":","_"),"-","_")," ","_"),"__","_")
  )
)</f>
        <v>checkv_completeness</v>
      </c>
      <c r="C126" s="49" t="s">
        <v>827</v>
      </c>
      <c r="D126" s="50" t="s">
        <v>828</v>
      </c>
      <c r="E126" s="49" t="s">
        <v>98</v>
      </c>
      <c r="F126" s="49" t="s">
        <v>65</v>
      </c>
      <c r="G126" s="49"/>
      <c r="H126" s="49"/>
      <c r="I126" s="49"/>
      <c r="J126" s="49"/>
      <c r="K126" s="49"/>
      <c r="L126" s="49"/>
      <c r="M126" s="49"/>
      <c r="N126" s="49"/>
      <c r="O126" s="49"/>
      <c r="P126" s="49"/>
      <c r="Q126" s="49"/>
      <c r="R126" s="49"/>
      <c r="S126" s="49"/>
      <c r="T126" s="49"/>
      <c r="U126" s="49"/>
      <c r="V126" s="49"/>
      <c r="W126" s="49"/>
      <c r="X126" s="49" t="s">
        <v>288</v>
      </c>
      <c r="Y126" s="49"/>
      <c r="Z126" s="49" t="s">
        <v>93</v>
      </c>
      <c r="AA126" s="49" t="str">
        <f>"[" &amp; _xlfn.TEXTJOIN(", ", TRUE,
    IF(I126&lt;&gt;"", """" &amp; I$1 &amp; """", ""),
    IF(J126&lt;&gt;"", """" &amp; J$1 &amp; """", ""),
    IF(K126&lt;&gt;"", """" &amp; K$1 &amp; """", ""),
    IF(L126&lt;&gt;"", """" &amp; L$1 &amp; """", ""),
    IF(M126&lt;&gt;"", """" &amp; M$1 &amp; """", ""),    IF(N126&lt;&gt;"", """" &amp; N$1 &amp; """", ""),    IF(O126&lt;&gt;"", """" &amp; O$1 &amp; """", ""),     IF(P126&lt;&gt;"", """" &amp; P$1 &amp; """", ""),     IF(Q126&lt;&gt;"", """" &amp; Q$1 &amp; """", ""), IF(R126&lt;&gt;"", """" &amp; R$1 &amp; """", ""), IF(S126&lt;&gt;"", """" &amp; S$1 &amp; """", ""), IF(T126&lt;&gt;"", """" &amp; T$1 &amp; """", ""), IF(U126&lt;&gt;"", """" &amp; U$1 &amp; """", ""),
    IF(X126&lt;&gt;"", """" &amp; X126 &amp; """", ""), IF(V126&lt;&gt;"", """" &amp; V126 &amp; """", ""), IF(W126&lt;&gt;"", """" &amp; W126 &amp; """", ""),
    IF(Y126&lt;&gt;"", """" &amp; Y126 &amp; """", ""),
    IF(Z126&lt;&gt;"", """" &amp; Z126 &amp; """", "")
) &amp; "]"</f>
        <v>["Analysis", "Workflows"]</v>
      </c>
      <c r="AB126" s="53" t="s">
        <v>18</v>
      </c>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54"/>
      <c r="AY126" s="49"/>
      <c r="AZ126" s="49"/>
      <c r="BA126" s="49"/>
      <c r="BB126" s="49"/>
      <c r="BC126" s="53" t="s">
        <v>73</v>
      </c>
      <c r="BD126" s="53" t="s">
        <v>499</v>
      </c>
      <c r="BE126" s="49"/>
      <c r="BF126" s="82"/>
      <c r="BG126" s="82"/>
      <c r="BH126" s="82"/>
      <c r="BI126" s="82"/>
      <c r="BJ126" s="82"/>
      <c r="BK126" s="82"/>
      <c r="BL126" s="82"/>
      <c r="BM126" s="82"/>
      <c r="BN126" s="82"/>
      <c r="BO126" s="82"/>
      <c r="BP126" s="82"/>
      <c r="BQ126" s="82"/>
      <c r="BR126" s="82"/>
      <c r="BS126" s="82"/>
      <c r="BT126" s="82"/>
      <c r="BU126" s="82"/>
      <c r="BV126" s="82"/>
      <c r="BW126" s="82"/>
      <c r="BX126" s="82"/>
      <c r="BY126" s="82"/>
      <c r="BZ126" s="82"/>
      <c r="CA126" s="82"/>
      <c r="CB126" s="82"/>
      <c r="CC126" s="82"/>
      <c r="CD126" s="82"/>
      <c r="CE126" s="82"/>
      <c r="CF126" s="82"/>
      <c r="CG126" s="82"/>
      <c r="CH126" s="82"/>
      <c r="CI126" s="82"/>
      <c r="CJ126" s="82"/>
      <c r="CK126" s="82"/>
      <c r="CL126" s="82"/>
      <c r="CM126" s="82"/>
      <c r="CN126" s="82"/>
      <c r="CO126" s="82"/>
      <c r="CP126" s="82"/>
      <c r="CQ126" s="82"/>
      <c r="CR126" s="82"/>
      <c r="CS126" s="82"/>
      <c r="CT126" s="82"/>
      <c r="CU126" s="82"/>
      <c r="CV126" s="82"/>
      <c r="CW126" s="82"/>
      <c r="CX126" s="82"/>
      <c r="CY126" s="82"/>
      <c r="CZ126" s="82"/>
      <c r="DA126" s="82"/>
      <c r="DB126" s="82"/>
      <c r="DC126" s="82"/>
      <c r="DD126" s="82"/>
      <c r="DE126" s="82"/>
      <c r="DF126" s="82"/>
      <c r="DG126" s="82"/>
      <c r="DH126" s="82"/>
      <c r="DI126" s="82"/>
      <c r="DJ126" s="82"/>
      <c r="DK126" s="82"/>
      <c r="DL126" s="82"/>
      <c r="DM126" s="82"/>
      <c r="DN126" s="82"/>
      <c r="DO126" s="82"/>
      <c r="DP126" s="82"/>
      <c r="DQ126" s="82"/>
      <c r="DR126" s="82"/>
      <c r="DS126" s="82"/>
      <c r="DT126" s="82"/>
      <c r="DU126" s="82"/>
      <c r="DV126" s="82"/>
      <c r="DW126" s="82"/>
      <c r="DX126" s="82"/>
      <c r="DY126" s="82"/>
      <c r="DZ126" s="82"/>
      <c r="EA126" s="82"/>
      <c r="EB126" s="82"/>
      <c r="EC126" s="82"/>
      <c r="ED126" s="82"/>
      <c r="EE126" s="82"/>
      <c r="EF126" s="82"/>
      <c r="EG126" s="82"/>
      <c r="EH126" s="82"/>
      <c r="EI126" s="82"/>
      <c r="EJ126" s="82"/>
      <c r="EK126" s="82"/>
      <c r="EL126" s="82"/>
      <c r="EM126" s="82"/>
      <c r="EN126" s="82"/>
      <c r="EO126" s="82"/>
      <c r="EP126" s="82"/>
      <c r="EQ126" s="82"/>
      <c r="ER126" s="82"/>
      <c r="ES126" s="82"/>
      <c r="ET126" s="82"/>
      <c r="EU126" s="82"/>
      <c r="EV126" s="82"/>
      <c r="EW126" s="82"/>
      <c r="EX126" s="82"/>
      <c r="EY126" s="82"/>
      <c r="EZ126" s="82"/>
      <c r="FA126" s="82"/>
      <c r="FB126" s="82"/>
      <c r="FC126" s="82"/>
      <c r="FD126" s="82"/>
      <c r="FE126" s="82"/>
      <c r="FF126" s="82"/>
      <c r="FG126" s="82"/>
      <c r="FH126" s="82"/>
      <c r="FI126" s="82"/>
      <c r="FJ126" s="82"/>
      <c r="FK126" s="82"/>
      <c r="FL126" s="82"/>
      <c r="FM126" s="82"/>
      <c r="FN126" s="82"/>
      <c r="FO126" s="82"/>
      <c r="FP126" s="82"/>
      <c r="FQ126" s="82"/>
      <c r="FR126" s="82"/>
      <c r="FS126" s="82"/>
      <c r="FT126" s="82"/>
      <c r="FU126" s="82"/>
      <c r="FV126" s="82"/>
      <c r="FW126" s="82"/>
      <c r="FX126" s="82"/>
      <c r="FY126" s="82"/>
      <c r="FZ126" s="82"/>
      <c r="GA126" s="82"/>
      <c r="GB126" s="82"/>
      <c r="GC126" s="82"/>
    </row>
    <row r="127" spans="1:186" ht="34.5" customHeight="1">
      <c r="A127" s="99" t="s">
        <v>829</v>
      </c>
      <c r="B127" s="50" t="str">
        <f>LOWER(
  IF(
    RIGHT(
      SUBSTITUTE(SUBSTITUTE(SUBSTITUTE(SUBSTITUTE(SUBSTITUTE(SUBSTITUTE(SUBSTITUTE(C127,"(","_"),")","_"),"/","_"),":","_"),"-","_")," ","_"),"__","_"),
      1
    )="_",
    LEFT(
      SUBSTITUTE(SUBSTITUTE(SUBSTITUTE(SUBSTITUTE(SUBSTITUTE(SUBSTITUTE(SUBSTITUTE(C127,"(","_"),")","_"),"/","_"),":","_"),"-","_")," ","_"),"__","_"),
      LEN(
        SUBSTITUTE(SUBSTITUTE(SUBSTITUTE(SUBSTITUTE(SUBSTITUTE(SUBSTITUTE(SUBSTITUTE(C127,"(","_"),")","_"),"/","_"),":","_"),"-","_")," ","_"),"__","_")
      )-1
    ),
    SUBSTITUTE(SUBSTITUTE(SUBSTITUTE(SUBSTITUTE(SUBSTITUTE(SUBSTITUTE(SUBSTITUTE(C127,"(","_"),")","_"),"/","_"),":","_"),"-","_")," ","_"),"__","_")
  )
)</f>
        <v>checkv_completeness_method</v>
      </c>
      <c r="C127" s="49" t="s">
        <v>830</v>
      </c>
      <c r="D127" s="50" t="s">
        <v>831</v>
      </c>
      <c r="E127" s="49" t="s">
        <v>64</v>
      </c>
      <c r="F127" s="49" t="s">
        <v>65</v>
      </c>
      <c r="G127" s="49"/>
      <c r="H127" s="49"/>
      <c r="I127" s="49"/>
      <c r="J127" s="49"/>
      <c r="K127" s="49"/>
      <c r="L127" s="49"/>
      <c r="M127" s="49"/>
      <c r="N127" s="49"/>
      <c r="O127" s="49"/>
      <c r="P127" s="49"/>
      <c r="Q127" s="49"/>
      <c r="R127" s="49"/>
      <c r="S127" s="49"/>
      <c r="T127" s="49"/>
      <c r="U127" s="49"/>
      <c r="V127" s="49"/>
      <c r="W127" s="49"/>
      <c r="X127" s="49" t="s">
        <v>288</v>
      </c>
      <c r="Y127" s="49"/>
      <c r="Z127" s="49" t="s">
        <v>93</v>
      </c>
      <c r="AA127" s="49" t="str">
        <f>"[" &amp; _xlfn.TEXTJOIN(", ", TRUE,
    IF(I127&lt;&gt;"", """" &amp; I$1 &amp; """", ""),
    IF(J127&lt;&gt;"", """" &amp; J$1 &amp; """", ""),
    IF(K127&lt;&gt;"", """" &amp; K$1 &amp; """", ""),
    IF(L127&lt;&gt;"", """" &amp; L$1 &amp; """", ""),
    IF(M127&lt;&gt;"", """" &amp; M$1 &amp; """", ""),    IF(N127&lt;&gt;"", """" &amp; N$1 &amp; """", ""),    IF(O127&lt;&gt;"", """" &amp; O$1 &amp; """", ""),     IF(P127&lt;&gt;"", """" &amp; P$1 &amp; """", ""),     IF(Q127&lt;&gt;"", """" &amp; Q$1 &amp; """", ""), IF(R127&lt;&gt;"", """" &amp; R$1 &amp; """", ""), IF(S127&lt;&gt;"", """" &amp; S$1 &amp; """", ""), IF(T127&lt;&gt;"", """" &amp; T$1 &amp; """", ""), IF(U127&lt;&gt;"", """" &amp; U$1 &amp; """", ""),
    IF(X127&lt;&gt;"", """" &amp; X127 &amp; """", ""), IF(V127&lt;&gt;"", """" &amp; V127 &amp; """", ""), IF(W127&lt;&gt;"", """" &amp; W127 &amp; """", ""),
    IF(Y127&lt;&gt;"", """" &amp; Y127 &amp; """", ""),
    IF(Z127&lt;&gt;"", """" &amp; Z127 &amp; """", "")
) &amp; "]"</f>
        <v>["Analysis", "Workflows"]</v>
      </c>
      <c r="AB127" s="53" t="s">
        <v>18</v>
      </c>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54"/>
      <c r="AY127" s="49"/>
      <c r="AZ127" s="49"/>
      <c r="BA127" s="49"/>
      <c r="BB127" s="49"/>
      <c r="BC127" s="53" t="s">
        <v>73</v>
      </c>
      <c r="BD127" s="53" t="s">
        <v>499</v>
      </c>
      <c r="BE127" s="49"/>
    </row>
    <row r="128" spans="1:186" ht="34.5" customHeight="1">
      <c r="A128" s="99" t="s">
        <v>832</v>
      </c>
      <c r="B128" s="50" t="str">
        <f>LOWER(
  IF(
    RIGHT(
      SUBSTITUTE(SUBSTITUTE(SUBSTITUTE(SUBSTITUTE(SUBSTITUTE(SUBSTITUTE(SUBSTITUTE(C128,"(","_"),")","_"),"/","_"),":","_"),"-","_")," ","_"),"__","_"),
      1
    )="_",
    LEFT(
      SUBSTITUTE(SUBSTITUTE(SUBSTITUTE(SUBSTITUTE(SUBSTITUTE(SUBSTITUTE(SUBSTITUTE(C128,"(","_"),")","_"),"/","_"),":","_"),"-","_")," ","_"),"__","_"),
      LEN(
        SUBSTITUTE(SUBSTITUTE(SUBSTITUTE(SUBSTITUTE(SUBSTITUTE(SUBSTITUTE(SUBSTITUTE(C128,"(","_"),")","_"),"/","_"),":","_"),"-","_")," ","_"),"__","_")
      )-1
    ),
    SUBSTITUTE(SUBSTITUTE(SUBSTITUTE(SUBSTITUTE(SUBSTITUTE(SUBSTITUTE(SUBSTITUTE(C128,"(","_"),")","_"),"/","_"),":","_"),"-","_")," ","_"),"__","_")
  )
)</f>
        <v>checkv_contamination</v>
      </c>
      <c r="C128" s="49" t="s">
        <v>833</v>
      </c>
      <c r="D128" s="50" t="s">
        <v>834</v>
      </c>
      <c r="E128" s="49" t="s">
        <v>98</v>
      </c>
      <c r="F128" s="49" t="s">
        <v>65</v>
      </c>
      <c r="G128" s="49"/>
      <c r="H128" s="49"/>
      <c r="I128" s="49"/>
      <c r="J128" s="49"/>
      <c r="K128" s="49"/>
      <c r="L128" s="49"/>
      <c r="M128" s="49"/>
      <c r="N128" s="49"/>
      <c r="O128" s="49"/>
      <c r="P128" s="49"/>
      <c r="Q128" s="49"/>
      <c r="R128" s="49"/>
      <c r="S128" s="49"/>
      <c r="T128" s="49"/>
      <c r="U128" s="49"/>
      <c r="V128" s="49"/>
      <c r="W128" s="49"/>
      <c r="X128" s="49" t="s">
        <v>288</v>
      </c>
      <c r="Y128" s="49"/>
      <c r="Z128" s="49" t="s">
        <v>93</v>
      </c>
      <c r="AA128" s="49" t="str">
        <f>"[" &amp; _xlfn.TEXTJOIN(", ", TRUE,
    IF(I128&lt;&gt;"", """" &amp; I$1 &amp; """", ""),
    IF(J128&lt;&gt;"", """" &amp; J$1 &amp; """", ""),
    IF(K128&lt;&gt;"", """" &amp; K$1 &amp; """", ""),
    IF(L128&lt;&gt;"", """" &amp; L$1 &amp; """", ""),
    IF(M128&lt;&gt;"", """" &amp; M$1 &amp; """", ""),    IF(N128&lt;&gt;"", """" &amp; N$1 &amp; """", ""),    IF(O128&lt;&gt;"", """" &amp; O$1 &amp; """", ""),     IF(P128&lt;&gt;"", """" &amp; P$1 &amp; """", ""),     IF(Q128&lt;&gt;"", """" &amp; Q$1 &amp; """", ""), IF(R128&lt;&gt;"", """" &amp; R$1 &amp; """", ""), IF(S128&lt;&gt;"", """" &amp; S$1 &amp; """", ""), IF(T128&lt;&gt;"", """" &amp; T$1 &amp; """", ""), IF(U128&lt;&gt;"", """" &amp; U$1 &amp; """", ""),
    IF(X128&lt;&gt;"", """" &amp; X128 &amp; """", ""), IF(V128&lt;&gt;"", """" &amp; V128 &amp; """", ""), IF(W128&lt;&gt;"", """" &amp; W128 &amp; """", ""),
    IF(Y128&lt;&gt;"", """" &amp; Y128 &amp; """", ""),
    IF(Z128&lt;&gt;"", """" &amp; Z128 &amp; """", "")
) &amp; "]"</f>
        <v>["Analysis", "Workflows"]</v>
      </c>
      <c r="AB128" s="53" t="s">
        <v>18</v>
      </c>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54"/>
      <c r="AY128" s="49"/>
      <c r="AZ128" s="49"/>
      <c r="BA128" s="49"/>
      <c r="BB128" s="49"/>
      <c r="BC128" s="53" t="s">
        <v>73</v>
      </c>
      <c r="BD128" s="53" t="s">
        <v>499</v>
      </c>
      <c r="BE128" s="49"/>
    </row>
    <row r="129" spans="1:186" ht="34.5" customHeight="1">
      <c r="A129" s="99" t="s">
        <v>835</v>
      </c>
      <c r="B129" s="50" t="str">
        <f>LOWER(
  IF(
    RIGHT(
      SUBSTITUTE(SUBSTITUTE(SUBSTITUTE(SUBSTITUTE(SUBSTITUTE(SUBSTITUTE(SUBSTITUTE(C129,"(","_"),")","_"),"/","_"),":","_"),"-","_")," ","_"),"__","_"),
      1
    )="_",
    LEFT(
      SUBSTITUTE(SUBSTITUTE(SUBSTITUTE(SUBSTITUTE(SUBSTITUTE(SUBSTITUTE(SUBSTITUTE(C129,"(","_"),")","_"),"/","_"),":","_"),"-","_")," ","_"),"__","_"),
      LEN(
        SUBSTITUTE(SUBSTITUTE(SUBSTITUTE(SUBSTITUTE(SUBSTITUTE(SUBSTITUTE(SUBSTITUTE(C129,"(","_"),")","_"),"/","_"),":","_"),"-","_")," ","_"),"__","_")
      )-1
    ),
    SUBSTITUTE(SUBSTITUTE(SUBSTITUTE(SUBSTITUTE(SUBSTITUTE(SUBSTITUTE(SUBSTITUTE(C129,"(","_"),")","_"),"/","_"),":","_"),"-","_")," ","_"),"__","_")
  )
)</f>
        <v>checkv_kmer_freq</v>
      </c>
      <c r="C129" s="49" t="s">
        <v>836</v>
      </c>
      <c r="D129" s="50" t="s">
        <v>837</v>
      </c>
      <c r="E129" s="49" t="s">
        <v>98</v>
      </c>
      <c r="F129" s="49" t="s">
        <v>65</v>
      </c>
      <c r="G129" s="49"/>
      <c r="H129" s="49"/>
      <c r="I129" s="49"/>
      <c r="J129" s="49"/>
      <c r="K129" s="49"/>
      <c r="L129" s="49"/>
      <c r="M129" s="49"/>
      <c r="N129" s="49"/>
      <c r="O129" s="49"/>
      <c r="P129" s="49"/>
      <c r="Q129" s="49"/>
      <c r="R129" s="49"/>
      <c r="S129" s="49"/>
      <c r="T129" s="49"/>
      <c r="U129" s="49"/>
      <c r="V129" s="49"/>
      <c r="W129" s="49"/>
      <c r="X129" s="49" t="s">
        <v>288</v>
      </c>
      <c r="Y129" s="49"/>
      <c r="Z129" s="49" t="s">
        <v>93</v>
      </c>
      <c r="AA129" s="49" t="str">
        <f>"[" &amp; _xlfn.TEXTJOIN(", ", TRUE,
    IF(I129&lt;&gt;"", """" &amp; I$1 &amp; """", ""),
    IF(J129&lt;&gt;"", """" &amp; J$1 &amp; """", ""),
    IF(K129&lt;&gt;"", """" &amp; K$1 &amp; """", ""),
    IF(L129&lt;&gt;"", """" &amp; L$1 &amp; """", ""),
    IF(M129&lt;&gt;"", """" &amp; M$1 &amp; """", ""),    IF(N129&lt;&gt;"", """" &amp; N$1 &amp; """", ""),    IF(O129&lt;&gt;"", """" &amp; O$1 &amp; """", ""),     IF(P129&lt;&gt;"", """" &amp; P$1 &amp; """", ""),     IF(Q129&lt;&gt;"", """" &amp; Q$1 &amp; """", ""), IF(R129&lt;&gt;"", """" &amp; R$1 &amp; """", ""), IF(S129&lt;&gt;"", """" &amp; S$1 &amp; """", ""), IF(T129&lt;&gt;"", """" &amp; T$1 &amp; """", ""), IF(U129&lt;&gt;"", """" &amp; U$1 &amp; """", ""),
    IF(X129&lt;&gt;"", """" &amp; X129 &amp; """", ""), IF(V129&lt;&gt;"", """" &amp; V129 &amp; """", ""), IF(W129&lt;&gt;"", """" &amp; W129 &amp; """", ""),
    IF(Y129&lt;&gt;"", """" &amp; Y129 &amp; """", ""),
    IF(Z129&lt;&gt;"", """" &amp; Z129 &amp; """", "")
) &amp; "]"</f>
        <v>["Analysis", "Workflows"]</v>
      </c>
      <c r="AB129" s="53" t="s">
        <v>18</v>
      </c>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54"/>
      <c r="AY129" s="49"/>
      <c r="AZ129" s="49"/>
      <c r="BA129" s="49"/>
      <c r="BB129" s="49"/>
      <c r="BC129" s="53" t="s">
        <v>73</v>
      </c>
      <c r="BD129" s="53" t="s">
        <v>499</v>
      </c>
      <c r="BE129" s="49"/>
    </row>
    <row r="130" spans="1:186" ht="34.5" customHeight="1">
      <c r="A130" s="99" t="s">
        <v>838</v>
      </c>
      <c r="B130" s="50" t="str">
        <f>LOWER(
  IF(
    RIGHT(
      SUBSTITUTE(SUBSTITUTE(SUBSTITUTE(SUBSTITUTE(SUBSTITUTE(SUBSTITUTE(SUBSTITUTE(C130,"(","_"),")","_"),"/","_"),":","_"),"-","_")," ","_"),"__","_"),
      1
    )="_",
    LEFT(
      SUBSTITUTE(SUBSTITUTE(SUBSTITUTE(SUBSTITUTE(SUBSTITUTE(SUBSTITUTE(SUBSTITUTE(C130,"(","_"),")","_"),"/","_"),":","_"),"-","_")," ","_"),"__","_"),
      LEN(
        SUBSTITUTE(SUBSTITUTE(SUBSTITUTE(SUBSTITUTE(SUBSTITUTE(SUBSTITUTE(SUBSTITUTE(C130,"(","_"),")","_"),"/","_"),":","_"),"-","_")," ","_"),"__","_")
      )-1
    ),
    SUBSTITUTE(SUBSTITUTE(SUBSTITUTE(SUBSTITUTE(SUBSTITUTE(SUBSTITUTE(SUBSTITUTE(C130,"(","_"),")","_"),"/","_"),":","_"),"-","_")," ","_"),"__","_")
  )
)</f>
        <v>checkv_warnings</v>
      </c>
      <c r="C130" s="49" t="s">
        <v>839</v>
      </c>
      <c r="D130" s="50" t="s">
        <v>840</v>
      </c>
      <c r="E130" s="49" t="s">
        <v>98</v>
      </c>
      <c r="F130" s="49" t="s">
        <v>65</v>
      </c>
      <c r="G130" s="49"/>
      <c r="H130" s="49"/>
      <c r="I130" s="49"/>
      <c r="J130" s="49"/>
      <c r="K130" s="49"/>
      <c r="L130" s="49"/>
      <c r="M130" s="49"/>
      <c r="N130" s="49"/>
      <c r="O130" s="49"/>
      <c r="P130" s="49"/>
      <c r="Q130" s="49"/>
      <c r="R130" s="49"/>
      <c r="S130" s="49"/>
      <c r="T130" s="49"/>
      <c r="U130" s="49"/>
      <c r="V130" s="49"/>
      <c r="W130" s="49"/>
      <c r="X130" s="49" t="s">
        <v>288</v>
      </c>
      <c r="Y130" s="49"/>
      <c r="Z130" s="49" t="s">
        <v>93</v>
      </c>
      <c r="AA130" s="49" t="str">
        <f>"[" &amp; _xlfn.TEXTJOIN(", ", TRUE,
    IF(I130&lt;&gt;"", """" &amp; I$1 &amp; """", ""),
    IF(J130&lt;&gt;"", """" &amp; J$1 &amp; """", ""),
    IF(K130&lt;&gt;"", """" &amp; K$1 &amp; """", ""),
    IF(L130&lt;&gt;"", """" &amp; L$1 &amp; """", ""),
    IF(M130&lt;&gt;"", """" &amp; M$1 &amp; """", ""),    IF(N130&lt;&gt;"", """" &amp; N$1 &amp; """", ""),    IF(O130&lt;&gt;"", """" &amp; O$1 &amp; """", ""),     IF(P130&lt;&gt;"", """" &amp; P$1 &amp; """", ""),     IF(Q130&lt;&gt;"", """" &amp; Q$1 &amp; """", ""), IF(R130&lt;&gt;"", """" &amp; R$1 &amp; """", ""), IF(S130&lt;&gt;"", """" &amp; S$1 &amp; """", ""), IF(T130&lt;&gt;"", """" &amp; T$1 &amp; """", ""), IF(U130&lt;&gt;"", """" &amp; U$1 &amp; """", ""),
    IF(X130&lt;&gt;"", """" &amp; X130 &amp; """", ""), IF(V130&lt;&gt;"", """" &amp; V130 &amp; """", ""), IF(W130&lt;&gt;"", """" &amp; W130 &amp; """", ""),
    IF(Y130&lt;&gt;"", """" &amp; Y130 &amp; """", ""),
    IF(Z130&lt;&gt;"", """" &amp; Z130 &amp; """", "")
) &amp; "]"</f>
        <v>["Analysis", "Workflows"]</v>
      </c>
      <c r="AB130" s="53" t="s">
        <v>18</v>
      </c>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54"/>
      <c r="AY130" s="49"/>
      <c r="AZ130" s="49"/>
      <c r="BA130" s="49"/>
      <c r="BB130" s="49"/>
      <c r="BC130" s="53" t="s">
        <v>73</v>
      </c>
      <c r="BD130" s="53" t="s">
        <v>499</v>
      </c>
      <c r="BE130" s="49"/>
    </row>
    <row r="131" spans="1:186" ht="34.5" customHeight="1">
      <c r="A131" s="98" t="s">
        <v>841</v>
      </c>
      <c r="B131" s="50" t="str">
        <f>LOWER(
  IF(
    RIGHT(
      SUBSTITUTE(SUBSTITUTE(SUBSTITUTE(SUBSTITUTE(SUBSTITUTE(SUBSTITUTE(SUBSTITUTE(C131,"(","_"),")","_"),"/","_"),":","_"),"-","_")," ","_"),"__","_"),
      1
    )="_",
    LEFT(
      SUBSTITUTE(SUBSTITUTE(SUBSTITUTE(SUBSTITUTE(SUBSTITUTE(SUBSTITUTE(SUBSTITUTE(C131,"(","_"),")","_"),"/","_"),":","_"),"-","_")," ","_"),"__","_"),
      LEN(
        SUBSTITUTE(SUBSTITUTE(SUBSTITUTE(SUBSTITUTE(SUBSTITUTE(SUBSTITUTE(SUBSTITUTE(C131,"(","_"),")","_"),"/","_"),":","_"),"-","_")," ","_"),"__","_")
      )-1
    ),
    SUBSTITUTE(SUBSTITUTE(SUBSTITUTE(SUBSTITUTE(SUBSTITUTE(SUBSTITUTE(SUBSTITUTE(C131,"(","_"),")","_"),"/","_"),":","_"),"-","_")," ","_"),"__","_")
  )
)</f>
        <v>length_coverage</v>
      </c>
      <c r="C131" s="48" t="s">
        <v>842</v>
      </c>
      <c r="D131" s="50" t="s">
        <v>843</v>
      </c>
      <c r="E131" s="49" t="s">
        <v>92</v>
      </c>
      <c r="F131" s="49" t="s">
        <v>844</v>
      </c>
      <c r="G131" s="49" t="s">
        <v>845</v>
      </c>
      <c r="H131" s="49"/>
      <c r="I131" s="49"/>
      <c r="J131" s="49"/>
      <c r="K131" s="49" t="s">
        <v>846</v>
      </c>
      <c r="L131" s="49"/>
      <c r="M131" s="49"/>
      <c r="N131" s="49"/>
      <c r="O131" s="49"/>
      <c r="P131" s="49"/>
      <c r="Q131" s="49"/>
      <c r="R131" s="49"/>
      <c r="S131" s="49"/>
      <c r="T131" s="49"/>
      <c r="U131" s="49"/>
      <c r="V131" s="50"/>
      <c r="W131" s="50"/>
      <c r="X131" s="48" t="s">
        <v>685</v>
      </c>
      <c r="Y131" s="48" t="s">
        <v>69</v>
      </c>
      <c r="Z131" s="48"/>
      <c r="AA131" s="49" t="str">
        <f>"[" &amp; _xlfn.TEXTJOIN(", ", TRUE,
    IF(I131&lt;&gt;"", """" &amp; I$1 &amp; """", ""),
    IF(J131&lt;&gt;"", """" &amp; J$1 &amp; """", ""),
    IF(K131&lt;&gt;"", """" &amp; K$1 &amp; """", ""),
    IF(L131&lt;&gt;"", """" &amp; L$1 &amp; """", ""),
    IF(M131&lt;&gt;"", """" &amp; M$1 &amp; """", ""),    IF(N131&lt;&gt;"", """" &amp; N$1 &amp; """", ""),    IF(O131&lt;&gt;"", """" &amp; O$1 &amp; """", ""),     IF(P131&lt;&gt;"", """" &amp; P$1 &amp; """", ""),     IF(Q131&lt;&gt;"", """" &amp; Q$1 &amp; """", ""), IF(R131&lt;&gt;"", """" &amp; R$1 &amp; """", ""), IF(S131&lt;&gt;"", """" &amp; S$1 &amp; """", ""), IF(T131&lt;&gt;"", """" &amp; T$1 &amp; """", ""), IF(U131&lt;&gt;"", """" &amp; U$1 &amp; """", ""),
    IF(X131&lt;&gt;"", """" &amp; X131 &amp; """", ""), IF(V131&lt;&gt;"", """" &amp; V131 &amp; """", ""), IF(W131&lt;&gt;"", """" &amp; W131 &amp; """", ""),
    IF(Y131&lt;&gt;"", """" &amp; Y131 &amp; """", ""),
    IF(Z131&lt;&gt;"", """" &amp; Z131 &amp; """", "")
) &amp; "]"</f>
        <v>["MIGS-VI", "Internal", "Sequence"]</v>
      </c>
      <c r="AB131" s="49" t="s">
        <v>166</v>
      </c>
      <c r="AC131" s="48" t="s">
        <v>196</v>
      </c>
      <c r="AD131" s="49" t="s">
        <v>847</v>
      </c>
      <c r="AE131" s="49"/>
      <c r="AF131" s="49"/>
      <c r="AG131" s="49"/>
      <c r="AH131" s="49"/>
      <c r="AI131" s="49"/>
      <c r="AJ131" s="49"/>
      <c r="AK131" s="49"/>
      <c r="AL131" s="49"/>
      <c r="AM131" s="49"/>
      <c r="AN131" s="49"/>
      <c r="AO131" s="49"/>
      <c r="AP131" s="49"/>
      <c r="AQ131" s="49"/>
      <c r="AR131" s="49"/>
      <c r="AS131" s="49"/>
      <c r="AT131" s="49"/>
      <c r="AU131" s="49"/>
      <c r="AV131" s="49"/>
      <c r="AW131" s="49"/>
      <c r="AX131" s="54"/>
      <c r="AY131" s="49"/>
      <c r="AZ131" s="48" t="s">
        <v>64</v>
      </c>
      <c r="BA131" s="48" t="s">
        <v>72</v>
      </c>
      <c r="BB131" s="49"/>
      <c r="BC131" s="49" t="s">
        <v>73</v>
      </c>
      <c r="BD131" s="49" t="s">
        <v>94</v>
      </c>
      <c r="BE131" s="49"/>
    </row>
    <row r="132" spans="1:186" ht="34.5" customHeight="1">
      <c r="A132" s="98" t="s">
        <v>848</v>
      </c>
      <c r="B132" s="50" t="str">
        <f>LOWER(
  IF(
    RIGHT(
      SUBSTITUTE(SUBSTITUTE(SUBSTITUTE(SUBSTITUTE(SUBSTITUTE(SUBSTITUTE(SUBSTITUTE(C132,"(","_"),")","_"),"/","_"),":","_"),"-","_")," ","_"),"__","_"),
      1
    )="_",
    LEFT(
      SUBSTITUTE(SUBSTITUTE(SUBSTITUTE(SUBSTITUTE(SUBSTITUTE(SUBSTITUTE(SUBSTITUTE(C132,"(","_"),")","_"),"/","_"),":","_"),"-","_")," ","_"),"__","_"),
      LEN(
        SUBSTITUTE(SUBSTITUTE(SUBSTITUTE(SUBSTITUTE(SUBSTITUTE(SUBSTITUTE(SUBSTITUTE(C132,"(","_"),")","_"),"/","_"),":","_"),"-","_")," ","_"),"__","_")
      )-1
    ),
    SUBSTITUTE(SUBSTITUTE(SUBSTITUTE(SUBSTITUTE(SUBSTITUTE(SUBSTITUTE(SUBSTITUTE(C132,"(","_"),")","_"),"/","_"),":","_"),"-","_")," ","_"),"__","_")
  )
)</f>
        <v>number_of_contigs</v>
      </c>
      <c r="C132" s="48" t="s">
        <v>849</v>
      </c>
      <c r="D132" s="50" t="s">
        <v>850</v>
      </c>
      <c r="E132" s="49" t="s">
        <v>334</v>
      </c>
      <c r="F132" s="49" t="s">
        <v>844</v>
      </c>
      <c r="G132" s="49" t="s">
        <v>851</v>
      </c>
      <c r="H132" s="49" t="s">
        <v>852</v>
      </c>
      <c r="I132" s="49"/>
      <c r="J132" s="49"/>
      <c r="K132" s="49" t="s">
        <v>853</v>
      </c>
      <c r="L132" s="49"/>
      <c r="M132" s="49"/>
      <c r="N132" s="49"/>
      <c r="O132" s="49"/>
      <c r="P132" s="49"/>
      <c r="Q132" s="49"/>
      <c r="R132" s="49"/>
      <c r="S132" s="49"/>
      <c r="T132" s="49"/>
      <c r="U132" s="49"/>
      <c r="V132" s="50"/>
      <c r="W132" s="50"/>
      <c r="X132" s="48" t="s">
        <v>685</v>
      </c>
      <c r="Y132" s="48" t="s">
        <v>69</v>
      </c>
      <c r="Z132" s="48"/>
      <c r="AA132" s="49" t="str">
        <f>"[" &amp; _xlfn.TEXTJOIN(", ", TRUE,
    IF(I132&lt;&gt;"", """" &amp; I$1 &amp; """", ""),
    IF(J132&lt;&gt;"", """" &amp; J$1 &amp; """", ""),
    IF(K132&lt;&gt;"", """" &amp; K$1 &amp; """", ""),
    IF(L132&lt;&gt;"", """" &amp; L$1 &amp; """", ""),
    IF(M132&lt;&gt;"", """" &amp; M$1 &amp; """", ""),    IF(N132&lt;&gt;"", """" &amp; N$1 &amp; """", ""),    IF(O132&lt;&gt;"", """" &amp; O$1 &amp; """", ""),     IF(P132&lt;&gt;"", """" &amp; P$1 &amp; """", ""),     IF(Q132&lt;&gt;"", """" &amp; Q$1 &amp; """", ""), IF(R132&lt;&gt;"", """" &amp; R$1 &amp; """", ""), IF(S132&lt;&gt;"", """" &amp; S$1 &amp; """", ""), IF(T132&lt;&gt;"", """" &amp; T$1 &amp; """", ""), IF(U132&lt;&gt;"", """" &amp; U$1 &amp; """", ""),
    IF(X132&lt;&gt;"", """" &amp; X132 &amp; """", ""), IF(V132&lt;&gt;"", """" &amp; V132 &amp; """", ""), IF(W132&lt;&gt;"", """" &amp; W132 &amp; """", ""),
    IF(Y132&lt;&gt;"", """" &amp; Y132 &amp; """", ""),
    IF(Z132&lt;&gt;"", """" &amp; Z132 &amp; """", "")
) &amp; "]"</f>
        <v>["MIGS-VI", "Internal", "Sequence"]</v>
      </c>
      <c r="AB132" s="49" t="s">
        <v>166</v>
      </c>
      <c r="AC132" s="48"/>
      <c r="AD132" s="49" t="s">
        <v>168</v>
      </c>
      <c r="AE132" s="49"/>
      <c r="AF132" s="49"/>
      <c r="AG132" s="49"/>
      <c r="AH132" s="49"/>
      <c r="AI132" s="49"/>
      <c r="AJ132" s="49"/>
      <c r="AK132" s="49"/>
      <c r="AL132" s="49"/>
      <c r="AM132" s="49"/>
      <c r="AN132" s="49"/>
      <c r="AO132" s="49"/>
      <c r="AP132" s="49"/>
      <c r="AQ132" s="49"/>
      <c r="AR132" s="49"/>
      <c r="AS132" s="49"/>
      <c r="AT132" s="49"/>
      <c r="AU132" s="49"/>
      <c r="AV132" s="49"/>
      <c r="AW132" s="49"/>
      <c r="AX132" s="54" t="s">
        <v>854</v>
      </c>
      <c r="AY132" s="49" t="s">
        <v>855</v>
      </c>
      <c r="AZ132" s="48" t="s">
        <v>64</v>
      </c>
      <c r="BA132" s="48" t="s">
        <v>72</v>
      </c>
      <c r="BB132" s="49"/>
      <c r="BC132" s="49" t="s">
        <v>73</v>
      </c>
      <c r="BD132" s="49" t="s">
        <v>94</v>
      </c>
      <c r="BE132" s="49"/>
    </row>
    <row r="133" spans="1:186" ht="34.5" customHeight="1">
      <c r="A133" s="98" t="s">
        <v>856</v>
      </c>
      <c r="B133" s="50" t="str">
        <f>LOWER(
  IF(
    RIGHT(
      SUBSTITUTE(SUBSTITUTE(SUBSTITUTE(SUBSTITUTE(SUBSTITUTE(SUBSTITUTE(SUBSTITUTE(C133,"(","_"),")","_"),"/","_"),":","_"),"-","_")," ","_"),"__","_"),
      1
    )="_",
    LEFT(
      SUBSTITUTE(SUBSTITUTE(SUBSTITUTE(SUBSTITUTE(SUBSTITUTE(SUBSTITUTE(SUBSTITUTE(C133,"(","_"),")","_"),"/","_"),":","_"),"-","_")," ","_"),"__","_"),
      LEN(
        SUBSTITUTE(SUBSTITUTE(SUBSTITUTE(SUBSTITUTE(SUBSTITUTE(SUBSTITUTE(SUBSTITUTE(C133,"(","_"),")","_"),"/","_"),":","_"),"-","_")," ","_"),"__","_")
      )-1
    ),
    SUBSTITUTE(SUBSTITUTE(SUBSTITUTE(SUBSTITUTE(SUBSTITUTE(SUBSTITUTE(SUBSTITUTE(C133,"(","_"),")","_"),"/","_"),":","_"),"-","_")," ","_"),"__","_")
  )
)</f>
        <v>sequence_version</v>
      </c>
      <c r="C133" s="48" t="s">
        <v>857</v>
      </c>
      <c r="D133" s="50" t="s">
        <v>858</v>
      </c>
      <c r="E133" s="49" t="s">
        <v>98</v>
      </c>
      <c r="F133" s="49" t="s">
        <v>844</v>
      </c>
      <c r="G133" s="49" t="s">
        <v>859</v>
      </c>
      <c r="H133" s="49" t="s">
        <v>860</v>
      </c>
      <c r="I133" s="49"/>
      <c r="J133" s="49" t="s">
        <v>861</v>
      </c>
      <c r="K133" s="49"/>
      <c r="L133" s="49"/>
      <c r="M133" s="49"/>
      <c r="N133" s="49"/>
      <c r="O133" s="49"/>
      <c r="P133" s="49"/>
      <c r="Q133" s="49"/>
      <c r="R133" s="49"/>
      <c r="S133" s="49"/>
      <c r="T133" s="49"/>
      <c r="U133" s="49"/>
      <c r="V133" s="50"/>
      <c r="W133" s="50"/>
      <c r="X133" s="48" t="s">
        <v>685</v>
      </c>
      <c r="Y133" s="48" t="s">
        <v>69</v>
      </c>
      <c r="Z133" s="48"/>
      <c r="AA133" s="49" t="str">
        <f>"[" &amp; _xlfn.TEXTJOIN(", ", TRUE,
    IF(I133&lt;&gt;"", """" &amp; I$1 &amp; """", ""),
    IF(J133&lt;&gt;"", """" &amp; J$1 &amp; """", ""),
    IF(K133&lt;&gt;"", """" &amp; K$1 &amp; """", ""),
    IF(L133&lt;&gt;"", """" &amp; L$1 &amp; """", ""),
    IF(M133&lt;&gt;"", """" &amp; M$1 &amp; """", ""),    IF(N133&lt;&gt;"", """" &amp; N$1 &amp; """", ""),    IF(O133&lt;&gt;"", """" &amp; O$1 &amp; """", ""),     IF(P133&lt;&gt;"", """" &amp; P$1 &amp; """", ""),     IF(Q133&lt;&gt;"", """" &amp; Q$1 &amp; """", ""), IF(R133&lt;&gt;"", """" &amp; R$1 &amp; """", ""), IF(S133&lt;&gt;"", """" &amp; S$1 &amp; """", ""), IF(T133&lt;&gt;"", """" &amp; T$1 &amp; """", ""), IF(U133&lt;&gt;"", """" &amp; U$1 &amp; """", ""),
    IF(X133&lt;&gt;"", """" &amp; X133 &amp; """", ""), IF(V133&lt;&gt;"", """" &amp; V133 &amp; """", ""), IF(W133&lt;&gt;"", """" &amp; W133 &amp; """", ""),
    IF(Y133&lt;&gt;"", """" &amp; Y133 &amp; """", ""),
    IF(Z133&lt;&gt;"", """" &amp; Z133 &amp; """", "")
) &amp; "]"</f>
        <v>["RKI", "Internal", "Sequence"]</v>
      </c>
      <c r="AB133" s="49" t="s">
        <v>166</v>
      </c>
      <c r="AC133" s="48" t="s">
        <v>196</v>
      </c>
      <c r="AD133" s="49" t="s">
        <v>168</v>
      </c>
      <c r="AE133" s="49" t="s">
        <v>361</v>
      </c>
      <c r="AF133" s="49"/>
      <c r="AG133" s="49"/>
      <c r="AH133" s="49"/>
      <c r="AI133" s="49"/>
      <c r="AJ133" s="49"/>
      <c r="AK133" s="49"/>
      <c r="AL133" s="49"/>
      <c r="AM133" s="49"/>
      <c r="AN133" s="49"/>
      <c r="AO133" s="49"/>
      <c r="AP133" s="49"/>
      <c r="AQ133" s="49"/>
      <c r="AR133" s="49"/>
      <c r="AS133" s="49"/>
      <c r="AT133" s="49"/>
      <c r="AU133" s="49"/>
      <c r="AV133" s="49"/>
      <c r="AW133" s="49"/>
      <c r="AX133" s="54"/>
      <c r="AY133" s="49"/>
      <c r="AZ133" s="48" t="s">
        <v>64</v>
      </c>
      <c r="BA133" s="48" t="s">
        <v>72</v>
      </c>
      <c r="BB133" s="49"/>
      <c r="BC133" s="49" t="s">
        <v>73</v>
      </c>
      <c r="BD133" s="49" t="s">
        <v>108</v>
      </c>
      <c r="BE133" s="49"/>
    </row>
    <row r="134" spans="1:186" ht="34.5" customHeight="1">
      <c r="A134" s="98" t="s">
        <v>862</v>
      </c>
      <c r="B134" s="50" t="str">
        <f>LOWER(
  IF(
    RIGHT(
      SUBSTITUTE(SUBSTITUTE(SUBSTITUTE(SUBSTITUTE(SUBSTITUTE(SUBSTITUTE(SUBSTITUTE(C134,"(","_"),")","_"),"/","_"),":","_"),"-","_")," ","_"),"__","_"),
      1
    )="_",
    LEFT(
      SUBSTITUTE(SUBSTITUTE(SUBSTITUTE(SUBSTITUTE(SUBSTITUTE(SUBSTITUTE(SUBSTITUTE(C134,"(","_"),")","_"),"/","_"),":","_"),"-","_")," ","_"),"__","_"),
      LEN(
        SUBSTITUTE(SUBSTITUTE(SUBSTITUTE(SUBSTITUTE(SUBSTITUTE(SUBSTITUTE(SUBSTITUTE(C134,"(","_"),")","_"),"/","_"),":","_"),"-","_")," ","_"),"__","_")
      )-1
    ),
    SUBSTITUTE(SUBSTITUTE(SUBSTITUTE(SUBSTITUTE(SUBSTITUTE(SUBSTITUTE(SUBSTITUTE(C134,"(","_"),")","_"),"/","_"),":","_"),"-","_")," ","_"),"__","_")
  )
)</f>
        <v>sequencing_reason</v>
      </c>
      <c r="C134" s="48" t="s">
        <v>863</v>
      </c>
      <c r="D134" s="50" t="s">
        <v>864</v>
      </c>
      <c r="E134" s="49" t="s">
        <v>98</v>
      </c>
      <c r="F134" s="49" t="s">
        <v>844</v>
      </c>
      <c r="G134" s="49" t="s">
        <v>865</v>
      </c>
      <c r="H134" s="49"/>
      <c r="I134" s="49" t="s">
        <v>594</v>
      </c>
      <c r="J134" s="49" t="s">
        <v>866</v>
      </c>
      <c r="K134" s="49"/>
      <c r="L134" s="49"/>
      <c r="M134" s="49"/>
      <c r="N134" s="49"/>
      <c r="O134" s="49"/>
      <c r="P134" s="49"/>
      <c r="Q134" s="49"/>
      <c r="R134" s="49"/>
      <c r="S134" s="49"/>
      <c r="T134" s="49"/>
      <c r="U134" s="49"/>
      <c r="V134" s="50"/>
      <c r="W134" s="50"/>
      <c r="X134" s="48" t="s">
        <v>685</v>
      </c>
      <c r="Y134" s="48"/>
      <c r="Z134" s="48" t="s">
        <v>93</v>
      </c>
      <c r="AA134" s="49" t="str">
        <f>"[" &amp; _xlfn.TEXTJOIN(", ", TRUE,
    IF(I134&lt;&gt;"", """" &amp; I$1 &amp; """", ""),
    IF(J134&lt;&gt;"", """" &amp; J$1 &amp; """", ""),
    IF(K134&lt;&gt;"", """" &amp; K$1 &amp; """", ""),
    IF(L134&lt;&gt;"", """" &amp; L$1 &amp; """", ""),
    IF(M134&lt;&gt;"", """" &amp; M$1 &amp; """", ""),    IF(N134&lt;&gt;"", """" &amp; N$1 &amp; """", ""),    IF(O134&lt;&gt;"", """" &amp; O$1 &amp; """", ""),     IF(P134&lt;&gt;"", """" &amp; P$1 &amp; """", ""),     IF(Q134&lt;&gt;"", """" &amp; Q$1 &amp; """", ""), IF(R134&lt;&gt;"", """" &amp; R$1 &amp; """", ""), IF(S134&lt;&gt;"", """" &amp; S$1 &amp; """", ""), IF(T134&lt;&gt;"", """" &amp; T$1 &amp; """", ""), IF(U134&lt;&gt;"", """" &amp; U$1 &amp; """", ""),
    IF(X134&lt;&gt;"", """" &amp; X134 &amp; """", ""), IF(V134&lt;&gt;"", """" &amp; V134 &amp; """", ""), IF(W134&lt;&gt;"", """" &amp; W134 &amp; """", ""),
    IF(Y134&lt;&gt;"", """" &amp; Y134 &amp; """", ""),
    IF(Z134&lt;&gt;"", """" &amp; Z134 &amp; """", "")
) &amp; "]"</f>
        <v>["ENA", "RKI", "Internal", "Workflows"]</v>
      </c>
      <c r="AB134" s="49" t="s">
        <v>166</v>
      </c>
      <c r="AC134" s="48" t="s">
        <v>196</v>
      </c>
      <c r="AD134" s="49" t="s">
        <v>168</v>
      </c>
      <c r="AE134" s="49" t="s">
        <v>82</v>
      </c>
      <c r="AF134" s="49"/>
      <c r="AG134" s="49"/>
      <c r="AH134" s="49"/>
      <c r="AI134" s="49"/>
      <c r="AJ134" s="49"/>
      <c r="AK134" s="49"/>
      <c r="AL134" s="49"/>
      <c r="AM134" s="49"/>
      <c r="AN134" s="49"/>
      <c r="AO134" s="49"/>
      <c r="AP134" s="49"/>
      <c r="AQ134" s="49"/>
      <c r="AR134" s="49"/>
      <c r="AS134" s="49"/>
      <c r="AT134" s="49"/>
      <c r="AU134" s="49"/>
      <c r="AV134" s="49" t="s">
        <v>86</v>
      </c>
      <c r="AW134" s="49" t="s">
        <v>86</v>
      </c>
      <c r="AX134" s="54"/>
      <c r="AY134" s="49"/>
      <c r="AZ134" s="48" t="s">
        <v>106</v>
      </c>
      <c r="BA134" s="48" t="s">
        <v>107</v>
      </c>
      <c r="BB134" s="49"/>
      <c r="BC134" s="49" t="s">
        <v>73</v>
      </c>
      <c r="BD134" s="49" t="s">
        <v>142</v>
      </c>
      <c r="BE134" s="49"/>
    </row>
    <row r="135" spans="1:186" ht="34.5" customHeight="1">
      <c r="A135" s="98" t="s">
        <v>867</v>
      </c>
      <c r="B135" s="50" t="str">
        <f>LOWER(
  IF(
    RIGHT(
      SUBSTITUTE(SUBSTITUTE(SUBSTITUTE(SUBSTITUTE(SUBSTITUTE(SUBSTITUTE(SUBSTITUTE(C135,"(","_"),")","_"),"/","_"),":","_"),"-","_")," ","_"),"__","_"),
      1
    )="_",
    LEFT(
      SUBSTITUTE(SUBSTITUTE(SUBSTITUTE(SUBSTITUTE(SUBSTITUTE(SUBSTITUTE(SUBSTITUTE(C135,"(","_"),")","_"),"/","_"),":","_"),"-","_")," ","_"),"__","_"),
      LEN(
        SUBSTITUTE(SUBSTITUTE(SUBSTITUTE(SUBSTITUTE(SUBSTITUTE(SUBSTITUTE(SUBSTITUTE(C135,"(","_"),")","_"),"/","_"),":","_"),"-","_")," ","_"),"__","_")
      )-1
    ),
    SUBSTITUTE(SUBSTITUTE(SUBSTITUTE(SUBSTITUTE(SUBSTITUTE(SUBSTITUTE(SUBSTITUTE(C135,"(","_"),")","_"),"/","_"),":","_"),"-","_")," ","_"),"__","_")
  )
)</f>
        <v>assembly_level</v>
      </c>
      <c r="C135" s="48" t="s">
        <v>868</v>
      </c>
      <c r="D135" s="50" t="s">
        <v>869</v>
      </c>
      <c r="E135" s="49" t="s">
        <v>98</v>
      </c>
      <c r="F135" s="49" t="s">
        <v>870</v>
      </c>
      <c r="G135" s="49" t="s">
        <v>871</v>
      </c>
      <c r="H135" s="49" t="s">
        <v>871</v>
      </c>
      <c r="I135" s="49" t="s">
        <v>872</v>
      </c>
      <c r="J135" s="49"/>
      <c r="K135" s="49"/>
      <c r="L135" s="49"/>
      <c r="M135" s="49"/>
      <c r="N135" s="49"/>
      <c r="O135" s="49"/>
      <c r="P135" s="49"/>
      <c r="Q135" s="49"/>
      <c r="R135" s="49"/>
      <c r="S135" s="49"/>
      <c r="T135" s="49"/>
      <c r="U135" s="49"/>
      <c r="V135" s="50" t="s">
        <v>114</v>
      </c>
      <c r="W135" s="50" t="s">
        <v>115</v>
      </c>
      <c r="X135" s="48" t="s">
        <v>685</v>
      </c>
      <c r="Y135" s="48"/>
      <c r="Z135" s="48" t="s">
        <v>93</v>
      </c>
      <c r="AA135" s="49" t="str">
        <f>"[" &amp; _xlfn.TEXTJOIN(", ", TRUE,
    IF(I135&lt;&gt;"", """" &amp; I$1 &amp; """", ""),
    IF(J135&lt;&gt;"", """" &amp; J$1 &amp; """", ""),
    IF(K135&lt;&gt;"", """" &amp; K$1 &amp; """", ""),
    IF(L135&lt;&gt;"", """" &amp; L$1 &amp; """", ""),
    IF(M135&lt;&gt;"", """" &amp; M$1 &amp; """", ""),    IF(N135&lt;&gt;"", """" &amp; N$1 &amp; """", ""),    IF(O135&lt;&gt;"", """" &amp; O$1 &amp; """", ""),     IF(P135&lt;&gt;"", """" &amp; P$1 &amp; """", ""),     IF(Q135&lt;&gt;"", """" &amp; Q$1 &amp; """", ""), IF(R135&lt;&gt;"", """" &amp; R$1 &amp; """", ""), IF(S135&lt;&gt;"", """" &amp; S$1 &amp; """", ""), IF(T135&lt;&gt;"", """" &amp; T$1 &amp; """", ""), IF(U135&lt;&gt;"", """" &amp; U$1 &amp; """", ""),
    IF(X135&lt;&gt;"", """" &amp; X135 &amp; """", ""), IF(V135&lt;&gt;"", """" &amp; V135 &amp; """", ""), IF(W135&lt;&gt;"", """" &amp; W135 &amp; """", ""),
    IF(Y135&lt;&gt;"", """" &amp; Y135 &amp; """", ""),
    IF(Z135&lt;&gt;"", """" &amp; Z135 &amp; """", "")
) &amp; "]"</f>
        <v>["ENA", "Internal", "ENA Analysis", "VJDB Analysis", "Workflows"]</v>
      </c>
      <c r="AB135" s="49"/>
      <c r="AC135" s="48" t="s">
        <v>873</v>
      </c>
      <c r="AD135" s="49" t="s">
        <v>118</v>
      </c>
      <c r="AE135" s="49" t="s">
        <v>361</v>
      </c>
      <c r="AF135" s="49"/>
      <c r="AG135" s="49"/>
      <c r="AH135" s="49"/>
      <c r="AI135" s="49"/>
      <c r="AJ135" s="49"/>
      <c r="AK135" s="49"/>
      <c r="AL135" s="49"/>
      <c r="AM135" s="49"/>
      <c r="AN135" s="49"/>
      <c r="AO135" s="49"/>
      <c r="AP135" s="49"/>
      <c r="AQ135" s="49"/>
      <c r="AR135" s="49"/>
      <c r="AS135" s="49"/>
      <c r="AT135" s="49"/>
      <c r="AU135" s="49"/>
      <c r="AV135" s="49" t="s">
        <v>130</v>
      </c>
      <c r="AW135" s="49" t="s">
        <v>130</v>
      </c>
      <c r="AX135" s="54"/>
      <c r="AY135" s="49"/>
      <c r="AZ135" s="48" t="s">
        <v>106</v>
      </c>
      <c r="BA135" s="48" t="s">
        <v>107</v>
      </c>
      <c r="BB135" s="49"/>
      <c r="BC135" s="49" t="s">
        <v>73</v>
      </c>
      <c r="BD135" s="49" t="s">
        <v>142</v>
      </c>
      <c r="BE135" s="49"/>
    </row>
    <row r="136" spans="1:186" ht="34.5" customHeight="1">
      <c r="A136" s="98" t="s">
        <v>874</v>
      </c>
      <c r="B136" s="50" t="str">
        <f>LOWER(
  IF(
    RIGHT(
      SUBSTITUTE(SUBSTITUTE(SUBSTITUTE(SUBSTITUTE(SUBSTITUTE(SUBSTITUTE(SUBSTITUTE(C136,"(","_"),")","_"),"/","_"),":","_"),"-","_")," ","_"),"__","_"),
      1
    )="_",
    LEFT(
      SUBSTITUTE(SUBSTITUTE(SUBSTITUTE(SUBSTITUTE(SUBSTITUTE(SUBSTITUTE(SUBSTITUTE(C136,"(","_"),")","_"),"/","_"),":","_"),"-","_")," ","_"),"__","_"),
      LEN(
        SUBSTITUTE(SUBSTITUTE(SUBSTITUTE(SUBSTITUTE(SUBSTITUTE(SUBSTITUTE(SUBSTITUTE(C136,"(","_"),")","_"),"/","_"),":","_"),"-","_")," ","_"),"__","_")
      )-1
    ),
    SUBSTITUTE(SUBSTITUTE(SUBSTITUTE(SUBSTITUTE(SUBSTITUTE(SUBSTITUTE(SUBSTITUTE(C136,"(","_"),")","_"),"/","_"),":","_"),"-","_")," ","_"),"__","_")
  )
)</f>
        <v>min_gap_length</v>
      </c>
      <c r="C136" s="48" t="s">
        <v>875</v>
      </c>
      <c r="D136" s="50" t="s">
        <v>876</v>
      </c>
      <c r="E136" s="49" t="s">
        <v>334</v>
      </c>
      <c r="F136" s="49" t="s">
        <v>870</v>
      </c>
      <c r="G136" s="49" t="s">
        <v>877</v>
      </c>
      <c r="H136" s="49"/>
      <c r="I136" s="49" t="s">
        <v>878</v>
      </c>
      <c r="J136" s="49"/>
      <c r="K136" s="49"/>
      <c r="L136" s="49"/>
      <c r="M136" s="49"/>
      <c r="N136" s="49"/>
      <c r="O136" s="49"/>
      <c r="P136" s="49"/>
      <c r="Q136" s="49"/>
      <c r="R136" s="49"/>
      <c r="S136" s="49"/>
      <c r="T136" s="49"/>
      <c r="U136" s="49"/>
      <c r="V136" s="50" t="s">
        <v>114</v>
      </c>
      <c r="W136" s="50" t="s">
        <v>115</v>
      </c>
      <c r="X136" s="48" t="s">
        <v>685</v>
      </c>
      <c r="Y136" s="48"/>
      <c r="Z136" s="48" t="s">
        <v>93</v>
      </c>
      <c r="AA136" s="49" t="str">
        <f>"[" &amp; _xlfn.TEXTJOIN(", ", TRUE,
    IF(I136&lt;&gt;"", """" &amp; I$1 &amp; """", ""),
    IF(J136&lt;&gt;"", """" &amp; J$1 &amp; """", ""),
    IF(K136&lt;&gt;"", """" &amp; K$1 &amp; """", ""),
    IF(L136&lt;&gt;"", """" &amp; L$1 &amp; """", ""),
    IF(M136&lt;&gt;"", """" &amp; M$1 &amp; """", ""),    IF(N136&lt;&gt;"", """" &amp; N$1 &amp; """", ""),    IF(O136&lt;&gt;"", """" &amp; O$1 &amp; """", ""),     IF(P136&lt;&gt;"", """" &amp; P$1 &amp; """", ""),     IF(Q136&lt;&gt;"", """" &amp; Q$1 &amp; """", ""), IF(R136&lt;&gt;"", """" &amp; R$1 &amp; """", ""), IF(S136&lt;&gt;"", """" &amp; S$1 &amp; """", ""), IF(T136&lt;&gt;"", """" &amp; T$1 &amp; """", ""), IF(U136&lt;&gt;"", """" &amp; U$1 &amp; """", ""),
    IF(X136&lt;&gt;"", """" &amp; X136 &amp; """", ""), IF(V136&lt;&gt;"", """" &amp; V136 &amp; """", ""), IF(W136&lt;&gt;"", """" &amp; W136 &amp; """", ""),
    IF(Y136&lt;&gt;"", """" &amp; Y136 &amp; """", ""),
    IF(Z136&lt;&gt;"", """" &amp; Z136 &amp; """", "")
) &amp; "]"</f>
        <v>["ENA", "Internal", "ENA Analysis", "VJDB Analysis", "Workflows"]</v>
      </c>
      <c r="AB136" s="49"/>
      <c r="AC136" s="48" t="s">
        <v>196</v>
      </c>
      <c r="AD136" s="49" t="s">
        <v>118</v>
      </c>
      <c r="AE136" s="49" t="s">
        <v>82</v>
      </c>
      <c r="AF136" s="49"/>
      <c r="AG136" s="49"/>
      <c r="AH136" s="49"/>
      <c r="AI136" s="49"/>
      <c r="AJ136" s="49"/>
      <c r="AK136" s="49"/>
      <c r="AL136" s="49"/>
      <c r="AM136" s="49"/>
      <c r="AN136" s="49"/>
      <c r="AO136" s="49"/>
      <c r="AP136" s="49"/>
      <c r="AQ136" s="49"/>
      <c r="AR136" s="49"/>
      <c r="AS136" s="49"/>
      <c r="AT136" s="49"/>
      <c r="AU136" s="49"/>
      <c r="AV136" s="49" t="s">
        <v>227</v>
      </c>
      <c r="AW136" s="49" t="s">
        <v>227</v>
      </c>
      <c r="AX136" s="54"/>
      <c r="AY136" s="49"/>
      <c r="AZ136" s="48" t="s">
        <v>64</v>
      </c>
      <c r="BA136" s="48" t="s">
        <v>72</v>
      </c>
      <c r="BB136" s="49"/>
      <c r="BC136" s="49" t="s">
        <v>73</v>
      </c>
      <c r="BD136" s="49" t="s">
        <v>94</v>
      </c>
      <c r="BE136" s="49"/>
    </row>
    <row r="137" spans="1:186" ht="34.5" customHeight="1">
      <c r="A137" s="98" t="s">
        <v>879</v>
      </c>
      <c r="B137" s="50" t="str">
        <f>LOWER(
  IF(
    RIGHT(
      SUBSTITUTE(SUBSTITUTE(SUBSTITUTE(SUBSTITUTE(SUBSTITUTE(SUBSTITUTE(SUBSTITUTE(C137,"(","_"),")","_"),"/","_"),":","_"),"-","_")," ","_"),"__","_"),
      1
    )="_",
    LEFT(
      SUBSTITUTE(SUBSTITUTE(SUBSTITUTE(SUBSTITUTE(SUBSTITUTE(SUBSTITUTE(SUBSTITUTE(C137,"(","_"),")","_"),"/","_"),":","_"),"-","_")," ","_"),"__","_"),
      LEN(
        SUBSTITUTE(SUBSTITUTE(SUBSTITUTE(SUBSTITUTE(SUBSTITUTE(SUBSTITUTE(SUBSTITUTE(C137,"(","_"),")","_"),"/","_"),":","_"),"-","_")," ","_"),"__","_")
      )-1
    ),
    SUBSTITUTE(SUBSTITUTE(SUBSTITUTE(SUBSTITUTE(SUBSTITUTE(SUBSTITUTE(SUBSTITUTE(C137,"(","_"),")","_"),"/","_"),":","_"),"-","_")," ","_"),"__","_")
  )
)</f>
        <v>assembly_program</v>
      </c>
      <c r="C137" s="48" t="s">
        <v>880</v>
      </c>
      <c r="D137" s="50" t="s">
        <v>881</v>
      </c>
      <c r="E137" s="49" t="s">
        <v>98</v>
      </c>
      <c r="F137" s="49" t="s">
        <v>870</v>
      </c>
      <c r="G137" s="49" t="s">
        <v>882</v>
      </c>
      <c r="H137" s="49" t="s">
        <v>883</v>
      </c>
      <c r="I137" s="49" t="s">
        <v>884</v>
      </c>
      <c r="J137" s="49"/>
      <c r="K137" s="49" t="s">
        <v>885</v>
      </c>
      <c r="L137" s="49"/>
      <c r="M137" s="49"/>
      <c r="N137" s="49"/>
      <c r="O137" s="49" t="s">
        <v>886</v>
      </c>
      <c r="P137" s="49"/>
      <c r="Q137" s="49"/>
      <c r="R137" s="49"/>
      <c r="S137" s="49"/>
      <c r="T137" s="49"/>
      <c r="U137" s="49"/>
      <c r="V137" s="50" t="s">
        <v>114</v>
      </c>
      <c r="W137" s="50" t="s">
        <v>115</v>
      </c>
      <c r="X137" s="48" t="s">
        <v>685</v>
      </c>
      <c r="Y137" s="48"/>
      <c r="Z137" s="48" t="s">
        <v>93</v>
      </c>
      <c r="AA137" s="49" t="str">
        <f>"[" &amp; _xlfn.TEXTJOIN(", ", TRUE,
    IF(I137&lt;&gt;"", """" &amp; I$1 &amp; """", ""),
    IF(J137&lt;&gt;"", """" &amp; J$1 &amp; """", ""),
    IF(K137&lt;&gt;"", """" &amp; K$1 &amp; """", ""),
    IF(L137&lt;&gt;"", """" &amp; L$1 &amp; """", ""),
    IF(M137&lt;&gt;"", """" &amp; M$1 &amp; """", ""),    IF(N137&lt;&gt;"", """" &amp; N$1 &amp; """", ""),    IF(O137&lt;&gt;"", """" &amp; O$1 &amp; """", ""),     IF(P137&lt;&gt;"", """" &amp; P$1 &amp; """", ""),     IF(Q137&lt;&gt;"", """" &amp; Q$1 &amp; """", ""), IF(R137&lt;&gt;"", """" &amp; R$1 &amp; """", ""), IF(S137&lt;&gt;"", """" &amp; S$1 &amp; """", ""), IF(T137&lt;&gt;"", """" &amp; T$1 &amp; """", ""), IF(U137&lt;&gt;"", """" &amp; U$1 &amp; """", ""),
    IF(X137&lt;&gt;"", """" &amp; X137 &amp; """", ""), IF(V137&lt;&gt;"", """" &amp; V137 &amp; """", ""), IF(W137&lt;&gt;"", """" &amp; W137 &amp; """", ""),
    IF(Y137&lt;&gt;"", """" &amp; Y137 &amp; """", ""),
    IF(Z137&lt;&gt;"", """" &amp; Z137 &amp; """", "")
) &amp; "]"</f>
        <v>["ENA", "MIGS-VI", "BV-BRC", "Internal", "ENA Analysis", "VJDB Analysis", "Workflows"]</v>
      </c>
      <c r="AB137" s="49" t="s">
        <v>347</v>
      </c>
      <c r="AC137" s="48"/>
      <c r="AD137" s="49" t="s">
        <v>118</v>
      </c>
      <c r="AE137" s="49" t="s">
        <v>82</v>
      </c>
      <c r="AF137" s="49"/>
      <c r="AG137" s="49"/>
      <c r="AH137" s="49"/>
      <c r="AI137" s="49"/>
      <c r="AJ137" s="49" t="s">
        <v>887</v>
      </c>
      <c r="AK137" s="49"/>
      <c r="AL137" s="49" t="s">
        <v>888</v>
      </c>
      <c r="AM137" s="49" t="s">
        <v>351</v>
      </c>
      <c r="AN137" s="49"/>
      <c r="AO137" s="49" t="s">
        <v>889</v>
      </c>
      <c r="AP137" s="49"/>
      <c r="AQ137" s="49"/>
      <c r="AR137" s="49"/>
      <c r="AS137" s="49"/>
      <c r="AT137" s="49"/>
      <c r="AU137" s="49"/>
      <c r="AV137" s="49" t="s">
        <v>130</v>
      </c>
      <c r="AW137" s="49" t="s">
        <v>130</v>
      </c>
      <c r="AX137" s="54"/>
      <c r="AY137" s="49" t="s">
        <v>131</v>
      </c>
      <c r="AZ137" s="48" t="s">
        <v>64</v>
      </c>
      <c r="BA137" s="48" t="s">
        <v>72</v>
      </c>
      <c r="BB137" s="49"/>
      <c r="BC137" s="49" t="s">
        <v>73</v>
      </c>
      <c r="BD137" s="49" t="s">
        <v>142</v>
      </c>
      <c r="BE137" s="49"/>
    </row>
    <row r="138" spans="1:186" s="71" customFormat="1" ht="34.5" customHeight="1">
      <c r="A138" s="98" t="s">
        <v>890</v>
      </c>
      <c r="B138" s="50" t="str">
        <f>LOWER(
  IF(
    RIGHT(
      SUBSTITUTE(SUBSTITUTE(SUBSTITUTE(SUBSTITUTE(SUBSTITUTE(SUBSTITUTE(SUBSTITUTE(C138,"(","_"),")","_"),"/","_"),":","_"),"-","_")," ","_"),"__","_"),
      1
    )="_",
    LEFT(
      SUBSTITUTE(SUBSTITUTE(SUBSTITUTE(SUBSTITUTE(SUBSTITUTE(SUBSTITUTE(SUBSTITUTE(C138,"(","_"),")","_"),"/","_"),":","_"),"-","_")," ","_"),"__","_"),
      LEN(
        SUBSTITUTE(SUBSTITUTE(SUBSTITUTE(SUBSTITUTE(SUBSTITUTE(SUBSTITUTE(SUBSTITUTE(C138,"(","_"),")","_"),"/","_"),":","_"),"-","_")," ","_"),"__","_")
      )-1
    ),
    SUBSTITUTE(SUBSTITUTE(SUBSTITUTE(SUBSTITUTE(SUBSTITUTE(SUBSTITUTE(SUBSTITUTE(C138,"(","_"),")","_"),"/","_"),":","_"),"-","_")," ","_"),"__","_")
  )
)</f>
        <v>assembly_type</v>
      </c>
      <c r="C138" s="48" t="s">
        <v>891</v>
      </c>
      <c r="D138" s="50" t="s">
        <v>892</v>
      </c>
      <c r="E138" s="49" t="s">
        <v>98</v>
      </c>
      <c r="F138" s="49" t="s">
        <v>870</v>
      </c>
      <c r="G138" s="49" t="s">
        <v>893</v>
      </c>
      <c r="H138" s="49"/>
      <c r="I138" s="49" t="s">
        <v>893</v>
      </c>
      <c r="J138" s="49"/>
      <c r="K138" s="49"/>
      <c r="L138" s="49"/>
      <c r="M138" s="49"/>
      <c r="N138" s="49"/>
      <c r="O138" s="49"/>
      <c r="P138" s="49"/>
      <c r="Q138" s="49"/>
      <c r="R138" s="49"/>
      <c r="S138" s="49"/>
      <c r="T138" s="49"/>
      <c r="U138" s="49"/>
      <c r="V138" s="50" t="s">
        <v>114</v>
      </c>
      <c r="W138" s="50" t="s">
        <v>115</v>
      </c>
      <c r="X138" s="48" t="s">
        <v>685</v>
      </c>
      <c r="Y138" s="48"/>
      <c r="Z138" s="48" t="s">
        <v>93</v>
      </c>
      <c r="AA138" s="49" t="str">
        <f>"[" &amp; _xlfn.TEXTJOIN(", ", TRUE,
    IF(I138&lt;&gt;"", """" &amp; I$1 &amp; """", ""),
    IF(J138&lt;&gt;"", """" &amp; J$1 &amp; """", ""),
    IF(K138&lt;&gt;"", """" &amp; K$1 &amp; """", ""),
    IF(L138&lt;&gt;"", """" &amp; L$1 &amp; """", ""),
    IF(M138&lt;&gt;"", """" &amp; M$1 &amp; """", ""),    IF(N138&lt;&gt;"", """" &amp; N$1 &amp; """", ""),    IF(O138&lt;&gt;"", """" &amp; O$1 &amp; """", ""),     IF(P138&lt;&gt;"", """" &amp; P$1 &amp; """", ""),     IF(Q138&lt;&gt;"", """" &amp; Q$1 &amp; """", ""), IF(R138&lt;&gt;"", """" &amp; R$1 &amp; """", ""), IF(S138&lt;&gt;"", """" &amp; S$1 &amp; """", ""), IF(T138&lt;&gt;"", """" &amp; T$1 &amp; """", ""), IF(U138&lt;&gt;"", """" &amp; U$1 &amp; """", ""),
    IF(X138&lt;&gt;"", """" &amp; X138 &amp; """", ""), IF(V138&lt;&gt;"", """" &amp; V138 &amp; """", ""), IF(W138&lt;&gt;"", """" &amp; W138 &amp; """", ""),
    IF(Y138&lt;&gt;"", """" &amp; Y138 &amp; """", ""),
    IF(Z138&lt;&gt;"", """" &amp; Z138 &amp; """", "")
) &amp; "]"</f>
        <v>["ENA", "Internal", "ENA Analysis", "VJDB Analysis", "Workflows"]</v>
      </c>
      <c r="AB138" s="49"/>
      <c r="AC138" s="48" t="s">
        <v>894</v>
      </c>
      <c r="AD138" s="49" t="s">
        <v>118</v>
      </c>
      <c r="AE138" s="49" t="s">
        <v>82</v>
      </c>
      <c r="AF138" s="49"/>
      <c r="AG138" s="49"/>
      <c r="AH138" s="49"/>
      <c r="AI138" s="49"/>
      <c r="AJ138" s="49"/>
      <c r="AK138" s="49"/>
      <c r="AL138" s="49"/>
      <c r="AM138" s="49"/>
      <c r="AN138" s="49"/>
      <c r="AO138" s="49"/>
      <c r="AP138" s="49"/>
      <c r="AQ138" s="49"/>
      <c r="AR138" s="49"/>
      <c r="AS138" s="49"/>
      <c r="AT138" s="49"/>
      <c r="AU138" s="49"/>
      <c r="AV138" s="49" t="s">
        <v>130</v>
      </c>
      <c r="AW138" s="49" t="s">
        <v>130</v>
      </c>
      <c r="AX138" s="54" t="s">
        <v>895</v>
      </c>
      <c r="AY138" s="49" t="s">
        <v>896</v>
      </c>
      <c r="AZ138" s="48" t="s">
        <v>106</v>
      </c>
      <c r="BA138" s="48" t="s">
        <v>107</v>
      </c>
      <c r="BB138" s="49"/>
      <c r="BC138" s="49" t="s">
        <v>73</v>
      </c>
      <c r="BD138" s="49" t="s">
        <v>108</v>
      </c>
      <c r="BE138" s="49"/>
      <c r="BF138" s="45"/>
      <c r="BG138" s="45"/>
      <c r="BH138" s="45"/>
      <c r="BI138" s="45"/>
      <c r="BJ138" s="45"/>
      <c r="BK138" s="45"/>
      <c r="BL138" s="45"/>
      <c r="BM138" s="45"/>
      <c r="BN138" s="45"/>
      <c r="BO138" s="45"/>
      <c r="BP138" s="45"/>
      <c r="BQ138" s="45"/>
      <c r="BR138" s="45"/>
      <c r="BS138" s="45"/>
      <c r="BT138" s="45"/>
      <c r="BU138" s="45"/>
      <c r="BV138" s="45"/>
      <c r="BW138" s="45"/>
      <c r="BX138" s="45"/>
      <c r="BY138" s="45"/>
      <c r="BZ138" s="45"/>
      <c r="CA138" s="45"/>
      <c r="CB138" s="45"/>
      <c r="CC138" s="45"/>
      <c r="CD138" s="45"/>
      <c r="CE138" s="45"/>
      <c r="CF138" s="45"/>
      <c r="CG138" s="45"/>
      <c r="CH138" s="45"/>
      <c r="CI138" s="45"/>
      <c r="CJ138" s="45"/>
      <c r="CK138" s="45"/>
      <c r="CL138" s="45"/>
      <c r="CM138" s="45"/>
      <c r="CN138" s="45"/>
      <c r="CO138" s="45"/>
      <c r="CP138" s="45"/>
      <c r="CQ138" s="45"/>
      <c r="CR138" s="45"/>
      <c r="CS138" s="45"/>
      <c r="CT138" s="45"/>
      <c r="CU138" s="45"/>
      <c r="CV138" s="45"/>
      <c r="CW138" s="45"/>
      <c r="CX138" s="45"/>
      <c r="CY138" s="45"/>
      <c r="CZ138" s="45"/>
      <c r="DA138" s="45"/>
      <c r="DB138" s="45"/>
      <c r="DC138" s="45"/>
      <c r="DD138" s="45"/>
      <c r="DE138" s="45"/>
      <c r="DF138" s="45"/>
      <c r="DG138" s="45"/>
      <c r="DH138" s="45"/>
      <c r="DI138" s="45"/>
      <c r="DJ138" s="45"/>
      <c r="DK138" s="45"/>
      <c r="DL138" s="45"/>
      <c r="DM138" s="45"/>
      <c r="DN138" s="45"/>
      <c r="DO138" s="45"/>
      <c r="DP138" s="45"/>
      <c r="DQ138" s="45"/>
      <c r="DR138" s="45"/>
      <c r="DS138" s="45"/>
      <c r="DT138" s="45"/>
      <c r="DU138" s="45"/>
      <c r="DV138" s="45"/>
      <c r="DW138" s="45"/>
      <c r="DX138" s="45"/>
      <c r="DY138" s="45"/>
      <c r="DZ138" s="45"/>
      <c r="EA138" s="45"/>
      <c r="EB138" s="45"/>
      <c r="EC138" s="45"/>
      <c r="ED138" s="45"/>
      <c r="EE138" s="45"/>
      <c r="EF138" s="45"/>
      <c r="EG138" s="45"/>
      <c r="EH138" s="45"/>
      <c r="EI138" s="45"/>
      <c r="EJ138" s="45"/>
      <c r="EK138" s="45"/>
      <c r="EL138" s="45"/>
      <c r="EM138" s="45"/>
      <c r="EN138" s="45"/>
      <c r="EO138" s="45"/>
      <c r="EP138" s="45"/>
      <c r="EQ138" s="45"/>
      <c r="ER138" s="45"/>
      <c r="ES138" s="45"/>
      <c r="ET138" s="45"/>
      <c r="EU138" s="45"/>
      <c r="EV138" s="45"/>
      <c r="EW138" s="45"/>
      <c r="EX138" s="45"/>
      <c r="EY138" s="45"/>
      <c r="EZ138" s="45"/>
      <c r="FA138" s="45"/>
      <c r="FB138" s="45"/>
      <c r="FC138" s="45"/>
      <c r="FD138" s="45"/>
      <c r="FE138" s="45"/>
      <c r="FF138" s="45"/>
      <c r="FG138" s="45"/>
      <c r="FH138" s="45"/>
      <c r="FI138" s="45"/>
      <c r="FJ138" s="45"/>
      <c r="FK138" s="45"/>
      <c r="FL138" s="45"/>
      <c r="FM138" s="45"/>
      <c r="FN138" s="45"/>
      <c r="FO138" s="45"/>
      <c r="FP138" s="45"/>
      <c r="FQ138" s="45"/>
      <c r="FR138" s="45"/>
      <c r="FS138" s="45"/>
      <c r="FT138" s="45"/>
      <c r="FU138" s="45"/>
      <c r="FV138" s="45"/>
      <c r="FW138" s="45"/>
      <c r="FX138" s="45"/>
      <c r="FY138" s="45"/>
      <c r="FZ138" s="45"/>
      <c r="GA138" s="45"/>
      <c r="GB138" s="45"/>
      <c r="GC138" s="45"/>
      <c r="GD138" s="45"/>
    </row>
    <row r="139" spans="1:186" ht="34.5" customHeight="1">
      <c r="A139" s="98" t="s">
        <v>897</v>
      </c>
      <c r="B139" s="50" t="str">
        <f>LOWER(
  IF(
    RIGHT(
      SUBSTITUTE(SUBSTITUTE(SUBSTITUTE(SUBSTITUTE(SUBSTITUTE(SUBSTITUTE(SUBSTITUTE(C139,"(","_"),")","_"),"/","_"),":","_"),"-","_")," ","_"),"__","_"),
      1
    )="_",
    LEFT(
      SUBSTITUTE(SUBSTITUTE(SUBSTITUTE(SUBSTITUTE(SUBSTITUTE(SUBSTITUTE(SUBSTITUTE(C139,"(","_"),")","_"),"/","_"),":","_"),"-","_")," ","_"),"__","_"),
      LEN(
        SUBSTITUTE(SUBSTITUTE(SUBSTITUTE(SUBSTITUTE(SUBSTITUTE(SUBSTITUTE(SUBSTITUTE(C139,"(","_"),")","_"),"/","_"),":","_"),"-","_")," ","_"),"__","_")
      )-1
    ),
    SUBSTITUTE(SUBSTITUTE(SUBSTITUTE(SUBSTITUTE(SUBSTITUTE(SUBSTITUTE(SUBSTITUTE(C139,"(","_"),")","_"),"/","_"),":","_"),"-","_")," ","_"),"__","_")
  )
)</f>
        <v>lab_host_common_name</v>
      </c>
      <c r="C139" s="48" t="s">
        <v>898</v>
      </c>
      <c r="D139" s="50" t="s">
        <v>899</v>
      </c>
      <c r="E139" s="49" t="s">
        <v>64</v>
      </c>
      <c r="F139" s="49" t="s">
        <v>870</v>
      </c>
      <c r="G139" s="49"/>
      <c r="H139" s="49"/>
      <c r="I139" s="49"/>
      <c r="J139" s="49"/>
      <c r="K139" s="49"/>
      <c r="L139" s="49"/>
      <c r="M139" s="49"/>
      <c r="N139" s="49"/>
      <c r="O139" s="49" t="s">
        <v>900</v>
      </c>
      <c r="P139" s="49"/>
      <c r="Q139" s="49"/>
      <c r="R139" s="49"/>
      <c r="S139" s="49"/>
      <c r="T139" s="49"/>
      <c r="U139" s="49"/>
      <c r="V139" s="50"/>
      <c r="W139" s="50"/>
      <c r="X139" s="48" t="s">
        <v>137</v>
      </c>
      <c r="Y139" s="48" t="s">
        <v>901</v>
      </c>
      <c r="Z139" s="48"/>
      <c r="AA139" s="49" t="str">
        <f>"[" &amp; _xlfn.TEXTJOIN(", ", TRUE,
    IF(I139&lt;&gt;"", """" &amp; I$1 &amp; """", ""),
    IF(J139&lt;&gt;"", """" &amp; J$1 &amp; """", ""),
    IF(K139&lt;&gt;"", """" &amp; K$1 &amp; """", ""),
    IF(L139&lt;&gt;"", """" &amp; L$1 &amp; """", ""),
    IF(M139&lt;&gt;"", """" &amp; M$1 &amp; """", ""),    IF(N139&lt;&gt;"", """" &amp; N$1 &amp; """", ""),    IF(O139&lt;&gt;"", """" &amp; O$1 &amp; """", ""),     IF(P139&lt;&gt;"", """" &amp; P$1 &amp; """", ""),     IF(Q139&lt;&gt;"", """" &amp; Q$1 &amp; """", ""), IF(R139&lt;&gt;"", """" &amp; R$1 &amp; """", ""), IF(S139&lt;&gt;"", """" &amp; S$1 &amp; """", ""), IF(T139&lt;&gt;"", """" &amp; T$1 &amp; """", ""), IF(U139&lt;&gt;"", """" &amp; U$1 &amp; """", ""),
    IF(X139&lt;&gt;"", """" &amp; X139 &amp; """", ""), IF(V139&lt;&gt;"", """" &amp; V139 &amp; """", ""), IF(W139&lt;&gt;"", """" &amp; W139 &amp; """", ""),
    IF(Y139&lt;&gt;"", """" &amp; Y139 &amp; """", ""),
    IF(Z139&lt;&gt;"", """" &amp; Z139 &amp; """", "")
) &amp; "]"</f>
        <v>["BV-BRC", "Host", "Host Info"]</v>
      </c>
      <c r="AB139" s="49" t="s">
        <v>347</v>
      </c>
      <c r="AC139" s="48" t="s">
        <v>902</v>
      </c>
      <c r="AD139" s="49" t="s">
        <v>903</v>
      </c>
      <c r="AE139" s="49"/>
      <c r="AF139" s="49"/>
      <c r="AG139" s="49"/>
      <c r="AH139" s="49"/>
      <c r="AI139" s="49"/>
      <c r="AJ139" s="49" t="s">
        <v>901</v>
      </c>
      <c r="AK139" s="49"/>
      <c r="AL139" s="49" t="s">
        <v>904</v>
      </c>
      <c r="AM139" s="49" t="s">
        <v>351</v>
      </c>
      <c r="AN139" s="49"/>
      <c r="AO139" s="49" t="s">
        <v>905</v>
      </c>
      <c r="AP139" s="49"/>
      <c r="AQ139" s="49"/>
      <c r="AR139" s="49"/>
      <c r="AS139" s="49"/>
      <c r="AT139" s="49"/>
      <c r="AU139" s="49"/>
      <c r="AV139" s="49"/>
      <c r="AW139" s="49"/>
      <c r="AX139" s="54"/>
      <c r="AY139" s="49"/>
      <c r="AZ139" s="48" t="s">
        <v>182</v>
      </c>
      <c r="BA139" s="48" t="s">
        <v>72</v>
      </c>
      <c r="BB139" s="49"/>
      <c r="BC139" s="49" t="s">
        <v>73</v>
      </c>
      <c r="BD139" s="49" t="s">
        <v>74</v>
      </c>
      <c r="BE139" s="48"/>
    </row>
    <row r="140" spans="1:186" ht="34.5" customHeight="1">
      <c r="A140" s="98" t="s">
        <v>906</v>
      </c>
      <c r="B140" s="50" t="str">
        <f>LOWER(
  IF(
    RIGHT(
      SUBSTITUTE(SUBSTITUTE(SUBSTITUTE(SUBSTITUTE(SUBSTITUTE(SUBSTITUTE(SUBSTITUTE(C140,"(","_"),")","_"),"/","_"),":","_"),"-","_")," ","_"),"__","_"),
      1
    )="_",
    LEFT(
      SUBSTITUTE(SUBSTITUTE(SUBSTITUTE(SUBSTITUTE(SUBSTITUTE(SUBSTITUTE(SUBSTITUTE(C140,"(","_"),")","_"),"/","_"),":","_"),"-","_")," ","_"),"__","_"),
      LEN(
        SUBSTITUTE(SUBSTITUTE(SUBSTITUTE(SUBSTITUTE(SUBSTITUTE(SUBSTITUTE(SUBSTITUTE(C140,"(","_"),")","_"),"/","_"),":","_"),"-","_")," ","_"),"__","_")
      )-1
    ),
    SUBSTITUTE(SUBSTITUTE(SUBSTITUTE(SUBSTITUTE(SUBSTITUTE(SUBSTITUTE(SUBSTITUTE(C140,"(","_"),")","_"),"/","_"),":","_"),"-","_")," ","_"),"__","_")
  )
)</f>
        <v>lab_host_ncbi_tax_id</v>
      </c>
      <c r="C140" s="48" t="s">
        <v>907</v>
      </c>
      <c r="D140" s="50" t="s">
        <v>908</v>
      </c>
      <c r="E140" s="49" t="s">
        <v>334</v>
      </c>
      <c r="F140" s="49" t="s">
        <v>870</v>
      </c>
      <c r="G140" s="49" t="s">
        <v>909</v>
      </c>
      <c r="H140" s="49"/>
      <c r="I140" s="49"/>
      <c r="J140" s="49"/>
      <c r="K140" s="49" t="s">
        <v>910</v>
      </c>
      <c r="L140" s="49"/>
      <c r="M140" s="49"/>
      <c r="N140" s="49"/>
      <c r="O140" s="49"/>
      <c r="P140" s="49"/>
      <c r="Q140" s="49"/>
      <c r="R140" s="49"/>
      <c r="S140" s="49"/>
      <c r="T140" s="49"/>
      <c r="U140" s="49"/>
      <c r="V140" s="50"/>
      <c r="W140" s="50"/>
      <c r="X140" s="48" t="s">
        <v>137</v>
      </c>
      <c r="Y140" s="48" t="s">
        <v>117</v>
      </c>
      <c r="Z140" s="48"/>
      <c r="AA140" s="49" t="str">
        <f>"[" &amp; _xlfn.TEXTJOIN(", ", TRUE,
    IF(I140&lt;&gt;"", """" &amp; I$1 &amp; """", ""),
    IF(J140&lt;&gt;"", """" &amp; J$1 &amp; """", ""),
    IF(K140&lt;&gt;"", """" &amp; K$1 &amp; """", ""),
    IF(L140&lt;&gt;"", """" &amp; L$1 &amp; """", ""),
    IF(M140&lt;&gt;"", """" &amp; M$1 &amp; """", ""),    IF(N140&lt;&gt;"", """" &amp; N$1 &amp; """", ""),    IF(O140&lt;&gt;"", """" &amp; O$1 &amp; """", ""),     IF(P140&lt;&gt;"", """" &amp; P$1 &amp; """", ""),     IF(Q140&lt;&gt;"", """" &amp; Q$1 &amp; """", ""), IF(R140&lt;&gt;"", """" &amp; R$1 &amp; """", ""), IF(S140&lt;&gt;"", """" &amp; S$1 &amp; """", ""), IF(T140&lt;&gt;"", """" &amp; T$1 &amp; """", ""), IF(U140&lt;&gt;"", """" &amp; U$1 &amp; """", ""),
    IF(X140&lt;&gt;"", """" &amp; X140 &amp; """", ""), IF(V140&lt;&gt;"", """" &amp; V140 &amp; """", ""), IF(W140&lt;&gt;"", """" &amp; W140 &amp; """", ""),
    IF(Y140&lt;&gt;"", """" &amp; Y140 &amp; """", ""),
    IF(Z140&lt;&gt;"", """" &amp; Z140 &amp; """", "")
) &amp; "]"</f>
        <v>["MIGS-VI", "Host", "Identifiers"]</v>
      </c>
      <c r="AB140" s="49"/>
      <c r="AC140" s="48" t="s">
        <v>911</v>
      </c>
      <c r="AD140" s="49" t="s">
        <v>118</v>
      </c>
      <c r="AE140" s="49" t="s">
        <v>82</v>
      </c>
      <c r="AF140" s="49"/>
      <c r="AG140" s="49"/>
      <c r="AH140" s="49"/>
      <c r="AI140" s="49"/>
      <c r="AJ140" s="49"/>
      <c r="AK140" s="49"/>
      <c r="AL140" s="49"/>
      <c r="AM140" s="49"/>
      <c r="AN140" s="49"/>
      <c r="AO140" s="49"/>
      <c r="AP140" s="49"/>
      <c r="AQ140" s="49"/>
      <c r="AR140" s="49"/>
      <c r="AS140" s="49"/>
      <c r="AT140" s="49"/>
      <c r="AU140" s="49"/>
      <c r="AV140" s="49"/>
      <c r="AW140" s="49"/>
      <c r="AX140" s="54"/>
      <c r="AY140" s="49"/>
      <c r="AZ140" s="48" t="s">
        <v>64</v>
      </c>
      <c r="BA140" s="48" t="s">
        <v>119</v>
      </c>
      <c r="BB140" s="49"/>
      <c r="BC140" s="49" t="s">
        <v>73</v>
      </c>
      <c r="BD140" s="49" t="s">
        <v>108</v>
      </c>
      <c r="BE140" s="48"/>
    </row>
    <row r="141" spans="1:186" ht="34.5" customHeight="1">
      <c r="A141" s="98" t="s">
        <v>912</v>
      </c>
      <c r="B141" s="50" t="str">
        <f>LOWER(
  IF(
    RIGHT(
      SUBSTITUTE(SUBSTITUTE(SUBSTITUTE(SUBSTITUTE(SUBSTITUTE(SUBSTITUTE(SUBSTITUTE(C141,"(","_"),")","_"),"/","_"),":","_"),"-","_")," ","_"),"__","_"),
      1
    )="_",
    LEFT(
      SUBSTITUTE(SUBSTITUTE(SUBSTITUTE(SUBSTITUTE(SUBSTITUTE(SUBSTITUTE(SUBSTITUTE(C141,"(","_"),")","_"),"/","_"),":","_"),"-","_")," ","_"),"__","_"),
      LEN(
        SUBSTITUTE(SUBSTITUTE(SUBSTITUTE(SUBSTITUTE(SUBSTITUTE(SUBSTITUTE(SUBSTITUTE(C141,"(","_"),")","_"),"/","_"),":","_"),"-","_")," ","_"),"__","_")
      )-1
    ),
    SUBSTITUTE(SUBSTITUTE(SUBSTITUTE(SUBSTITUTE(SUBSTITUTE(SUBSTITUTE(SUBSTITUTE(C141,"(","_"),")","_"),"/","_"),":","_"),"-","_")," ","_"),"__","_")
  )
)</f>
        <v>lab_host_species</v>
      </c>
      <c r="C141" s="48" t="s">
        <v>913</v>
      </c>
      <c r="D141" s="50" t="s">
        <v>914</v>
      </c>
      <c r="E141" s="49" t="s">
        <v>64</v>
      </c>
      <c r="F141" s="49" t="s">
        <v>870</v>
      </c>
      <c r="G141" s="49" t="s">
        <v>915</v>
      </c>
      <c r="H141" s="49"/>
      <c r="I141" s="49" t="s">
        <v>904</v>
      </c>
      <c r="J141" s="49"/>
      <c r="K141" s="49" t="s">
        <v>910</v>
      </c>
      <c r="L141" s="49"/>
      <c r="M141" s="49"/>
      <c r="N141" s="49"/>
      <c r="O141" s="49"/>
      <c r="P141" s="49"/>
      <c r="Q141" s="49"/>
      <c r="R141" s="49"/>
      <c r="S141" s="49"/>
      <c r="T141" s="49"/>
      <c r="U141" s="49"/>
      <c r="V141" s="50"/>
      <c r="W141" s="50"/>
      <c r="X141" s="48" t="s">
        <v>137</v>
      </c>
      <c r="Y141" s="48" t="s">
        <v>901</v>
      </c>
      <c r="Z141" s="48"/>
      <c r="AA141" s="49" t="str">
        <f>"[" &amp; _xlfn.TEXTJOIN(", ", TRUE,
    IF(I141&lt;&gt;"", """" &amp; I$1 &amp; """", ""),
    IF(J141&lt;&gt;"", """" &amp; J$1 &amp; """", ""),
    IF(K141&lt;&gt;"", """" &amp; K$1 &amp; """", ""),
    IF(L141&lt;&gt;"", """" &amp; L$1 &amp; """", ""),
    IF(M141&lt;&gt;"", """" &amp; M$1 &amp; """", ""),    IF(N141&lt;&gt;"", """" &amp; N$1 &amp; """", ""),    IF(O141&lt;&gt;"", """" &amp; O$1 &amp; """", ""),     IF(P141&lt;&gt;"", """" &amp; P$1 &amp; """", ""),     IF(Q141&lt;&gt;"", """" &amp; Q$1 &amp; """", ""), IF(R141&lt;&gt;"", """" &amp; R$1 &amp; """", ""), IF(S141&lt;&gt;"", """" &amp; S$1 &amp; """", ""), IF(T141&lt;&gt;"", """" &amp; T$1 &amp; """", ""), IF(U141&lt;&gt;"", """" &amp; U$1 &amp; """", ""),
    IF(X141&lt;&gt;"", """" &amp; X141 &amp; """", ""), IF(V141&lt;&gt;"", """" &amp; V141 &amp; """", ""), IF(W141&lt;&gt;"", """" &amp; W141 &amp; """", ""),
    IF(Y141&lt;&gt;"", """" &amp; Y141 &amp; """", ""),
    IF(Z141&lt;&gt;"", """" &amp; Z141 &amp; """", "")
) &amp; "]"</f>
        <v>["ENA", "MIGS-VI", "Host", "Host Info"]</v>
      </c>
      <c r="AB141" s="49"/>
      <c r="AC141" s="48" t="s">
        <v>911</v>
      </c>
      <c r="AD141" s="49" t="s">
        <v>118</v>
      </c>
      <c r="AE141" s="49" t="s">
        <v>82</v>
      </c>
      <c r="AF141" s="49"/>
      <c r="AG141" s="49"/>
      <c r="AH141" s="49"/>
      <c r="AI141" s="49"/>
      <c r="AJ141" s="49"/>
      <c r="AK141" s="49"/>
      <c r="AL141" s="49"/>
      <c r="AM141" s="49"/>
      <c r="AN141" s="49"/>
      <c r="AO141" s="49"/>
      <c r="AP141" s="49"/>
      <c r="AQ141" s="49"/>
      <c r="AR141" s="49"/>
      <c r="AS141" s="49"/>
      <c r="AT141" s="49"/>
      <c r="AU141" s="49"/>
      <c r="AV141" s="49" t="s">
        <v>227</v>
      </c>
      <c r="AW141" s="49" t="s">
        <v>227</v>
      </c>
      <c r="AX141" s="54"/>
      <c r="AY141" s="49"/>
      <c r="AZ141" s="48" t="s">
        <v>182</v>
      </c>
      <c r="BA141" s="48" t="s">
        <v>119</v>
      </c>
      <c r="BB141" s="49"/>
      <c r="BC141" s="49" t="s">
        <v>73</v>
      </c>
      <c r="BD141" s="49" t="s">
        <v>142</v>
      </c>
      <c r="BE141" s="48"/>
    </row>
    <row r="142" spans="1:186" ht="34.5" customHeight="1">
      <c r="A142" s="99" t="s">
        <v>916</v>
      </c>
      <c r="B142" s="50" t="str">
        <f>LOWER(
  IF(
    RIGHT(
      SUBSTITUTE(SUBSTITUTE(SUBSTITUTE(SUBSTITUTE(SUBSTITUTE(SUBSTITUTE(SUBSTITUTE(C142,"(","_"),")","_"),"/","_"),":","_"),"-","_")," ","_"),"__","_"),
      1
    )="_",
    LEFT(
      SUBSTITUTE(SUBSTITUTE(SUBSTITUTE(SUBSTITUTE(SUBSTITUTE(SUBSTITUTE(SUBSTITUTE(C142,"(","_"),")","_"),"/","_"),":","_"),"-","_")," ","_"),"__","_"),
      LEN(
        SUBSTITUTE(SUBSTITUTE(SUBSTITUTE(SUBSTITUTE(SUBSTITUTE(SUBSTITUTE(SUBSTITUTE(C142,"(","_"),")","_"),"/","_"),":","_"),"-","_")," ","_"),"__","_")
      )-1
    ),
    SUBSTITUTE(SUBSTITUTE(SUBSTITUTE(SUBSTITUTE(SUBSTITUTE(SUBSTITUTE(SUBSTITUTE(C142,"(","_"),")","_"),"/","_"),":","_"),"-","_")," ","_"),"__","_")
  )
)</f>
        <v>file_format</v>
      </c>
      <c r="C142" s="49" t="s">
        <v>917</v>
      </c>
      <c r="D142" s="50" t="s">
        <v>918</v>
      </c>
      <c r="E142" s="49" t="s">
        <v>98</v>
      </c>
      <c r="F142" s="49" t="s">
        <v>870</v>
      </c>
      <c r="G142" s="49"/>
      <c r="H142" s="49"/>
      <c r="I142" s="49"/>
      <c r="J142" s="49"/>
      <c r="K142" s="49"/>
      <c r="L142" s="49"/>
      <c r="M142" s="49"/>
      <c r="N142" s="49"/>
      <c r="O142" s="49"/>
      <c r="P142" s="49" t="s">
        <v>919</v>
      </c>
      <c r="Q142" s="49" t="s">
        <v>919</v>
      </c>
      <c r="R142" s="49"/>
      <c r="S142" s="49"/>
      <c r="T142" s="49"/>
      <c r="U142" s="49"/>
      <c r="V142" s="50" t="s">
        <v>920</v>
      </c>
      <c r="W142" s="50" t="s">
        <v>921</v>
      </c>
      <c r="X142" s="48" t="s">
        <v>685</v>
      </c>
      <c r="Y142" s="48"/>
      <c r="Z142" s="48" t="s">
        <v>93</v>
      </c>
      <c r="AA142" s="49" t="str">
        <f>"[" &amp; _xlfn.TEXTJOIN(", ", TRUE,
    IF(I142&lt;&gt;"", """" &amp; I$1 &amp; """", ""),
    IF(J142&lt;&gt;"", """" &amp; J$1 &amp; """", ""),
    IF(K142&lt;&gt;"", """" &amp; K$1 &amp; """", ""),
    IF(L142&lt;&gt;"", """" &amp; L$1 &amp; """", ""),
    IF(M142&lt;&gt;"", """" &amp; M$1 &amp; """", ""),    IF(N142&lt;&gt;"", """" &amp; N$1 &amp; """", ""),    IF(O142&lt;&gt;"", """" &amp; O$1 &amp; """", ""),     IF(P142&lt;&gt;"", """" &amp; P$1 &amp; """", ""),     IF(Q142&lt;&gt;"", """" &amp; Q$1 &amp; """", ""), IF(R142&lt;&gt;"", """" &amp; R$1 &amp; """", ""), IF(S142&lt;&gt;"", """" &amp; S$1 &amp; """", ""), IF(T142&lt;&gt;"", """" &amp; T$1 &amp; """", ""), IF(U142&lt;&gt;"", """" &amp; U$1 &amp; """", ""),
    IF(X142&lt;&gt;"", """" &amp; X142 &amp; """", ""), IF(V142&lt;&gt;"", """" &amp; V142 &amp; """", ""), IF(W142&lt;&gt;"", """" &amp; W142 &amp; """", ""),
    IF(Y142&lt;&gt;"", """" &amp; Y142 &amp; """", ""),
    IF(Z142&lt;&gt;"", """" &amp; Z142 &amp; """", "")
) &amp; "]"</f>
        <v>["ENA ERC32", "ENA ERC33", "Internal", "ENA Run", "VJDB Run", "Workflows"]</v>
      </c>
      <c r="AB142" s="49"/>
      <c r="AC142" s="49" t="s">
        <v>70</v>
      </c>
      <c r="AD142" s="49"/>
      <c r="AE142" s="49"/>
      <c r="AF142" s="49"/>
      <c r="AG142" s="49"/>
      <c r="AH142" s="49"/>
      <c r="AI142" s="49"/>
      <c r="AJ142" s="49"/>
      <c r="AK142" s="49"/>
      <c r="AL142" s="49"/>
      <c r="AM142" s="49"/>
      <c r="AN142" s="49"/>
      <c r="AO142" s="49"/>
      <c r="AP142" s="49" t="s">
        <v>922</v>
      </c>
      <c r="AQ142" s="49"/>
      <c r="AR142" s="49"/>
      <c r="AS142" s="49" t="s">
        <v>922</v>
      </c>
      <c r="AT142" s="49"/>
      <c r="AU142" s="49" t="s">
        <v>139</v>
      </c>
      <c r="AV142" s="49" t="s">
        <v>130</v>
      </c>
      <c r="AW142" s="49" t="s">
        <v>130</v>
      </c>
      <c r="AX142" s="54"/>
      <c r="AY142" s="49"/>
      <c r="AZ142" s="48" t="s">
        <v>106</v>
      </c>
      <c r="BA142" s="48" t="s">
        <v>107</v>
      </c>
      <c r="BB142" s="49"/>
      <c r="BC142" s="49" t="s">
        <v>73</v>
      </c>
      <c r="BD142" s="49" t="s">
        <v>499</v>
      </c>
      <c r="BE142" s="49"/>
      <c r="BJ142" s="72"/>
      <c r="BK142" s="72"/>
      <c r="BL142" s="72"/>
      <c r="BM142" s="72"/>
      <c r="BN142" s="72"/>
      <c r="BO142" s="72"/>
      <c r="BP142" s="72"/>
      <c r="BQ142" s="72"/>
      <c r="BR142" s="72"/>
      <c r="BS142" s="72"/>
      <c r="BT142" s="72"/>
      <c r="BU142" s="72"/>
      <c r="BV142" s="72"/>
      <c r="BW142" s="72"/>
      <c r="BX142" s="72"/>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c r="CW142" s="72"/>
      <c r="CX142" s="72"/>
      <c r="CY142" s="72"/>
      <c r="CZ142" s="72"/>
      <c r="DA142" s="72"/>
      <c r="DB142" s="72"/>
      <c r="DC142" s="72"/>
      <c r="DD142" s="72"/>
      <c r="DE142" s="72"/>
      <c r="DF142" s="72"/>
      <c r="DG142" s="72"/>
      <c r="DH142" s="72"/>
      <c r="DI142" s="72"/>
      <c r="DJ142" s="72"/>
      <c r="DK142" s="72"/>
      <c r="DL142" s="72"/>
      <c r="DM142" s="72"/>
      <c r="DN142" s="72"/>
      <c r="DO142" s="72"/>
      <c r="DP142" s="72"/>
      <c r="DQ142" s="72"/>
      <c r="DR142" s="72"/>
      <c r="DS142" s="72"/>
      <c r="DT142" s="72"/>
      <c r="DU142" s="72"/>
      <c r="DV142" s="72"/>
      <c r="DW142" s="72"/>
      <c r="DX142" s="72"/>
      <c r="DY142" s="72"/>
      <c r="DZ142" s="72"/>
      <c r="EA142" s="72"/>
      <c r="EB142" s="72"/>
      <c r="EC142" s="72"/>
      <c r="ED142" s="72"/>
      <c r="EE142" s="72"/>
      <c r="EF142" s="72"/>
      <c r="EG142" s="72"/>
      <c r="EH142" s="72"/>
      <c r="EI142" s="72"/>
      <c r="EJ142" s="72"/>
      <c r="EK142" s="72"/>
      <c r="EL142" s="72"/>
      <c r="EM142" s="72"/>
      <c r="EN142" s="72"/>
      <c r="EO142" s="72"/>
      <c r="EP142" s="72"/>
      <c r="EQ142" s="72"/>
      <c r="ER142" s="72"/>
      <c r="ES142" s="72"/>
      <c r="ET142" s="72"/>
      <c r="EU142" s="72"/>
      <c r="EV142" s="72"/>
      <c r="EW142" s="72"/>
      <c r="EX142" s="72"/>
      <c r="EY142" s="72"/>
      <c r="EZ142" s="72"/>
      <c r="FA142" s="72"/>
      <c r="FB142" s="72"/>
      <c r="FC142" s="72"/>
      <c r="FD142" s="72"/>
      <c r="FE142" s="72"/>
      <c r="FF142" s="72"/>
      <c r="FG142" s="72"/>
      <c r="FH142" s="72"/>
      <c r="FI142" s="72"/>
      <c r="FJ142" s="72"/>
      <c r="FK142" s="72"/>
      <c r="FL142" s="72"/>
      <c r="FM142" s="72"/>
      <c r="FN142" s="72"/>
      <c r="FO142" s="72"/>
      <c r="FP142" s="72"/>
      <c r="FQ142" s="72"/>
      <c r="FR142" s="72"/>
      <c r="FS142" s="72"/>
      <c r="FT142" s="72"/>
      <c r="FU142" s="72"/>
      <c r="FV142" s="72"/>
      <c r="FW142" s="72"/>
      <c r="FX142" s="72"/>
      <c r="FY142" s="72"/>
      <c r="FZ142" s="72"/>
      <c r="GA142" s="72"/>
      <c r="GB142" s="72"/>
      <c r="GC142" s="72"/>
    </row>
    <row r="143" spans="1:186" ht="34.5" customHeight="1">
      <c r="A143" s="99" t="s">
        <v>923</v>
      </c>
      <c r="B143" s="50" t="str">
        <f>LOWER(
  IF(
    RIGHT(
      SUBSTITUTE(SUBSTITUTE(SUBSTITUTE(SUBSTITUTE(SUBSTITUTE(SUBSTITUTE(SUBSTITUTE(C143,"(","_"),")","_"),"/","_"),":","_"),"-","_")," ","_"),"__","_"),
      1
    )="_",
    LEFT(
      SUBSTITUTE(SUBSTITUTE(SUBSTITUTE(SUBSTITUTE(SUBSTITUTE(SUBSTITUTE(SUBSTITUTE(C143,"(","_"),")","_"),"/","_"),":","_"),"-","_")," ","_"),"__","_"),
      LEN(
        SUBSTITUTE(SUBSTITUTE(SUBSTITUTE(SUBSTITUTE(SUBSTITUTE(SUBSTITUTE(SUBSTITUTE(C143,"(","_"),")","_"),"/","_"),":","_"),"-","_")," ","_"),"__","_")
      )-1
    ),
    SUBSTITUTE(SUBSTITUTE(SUBSTITUTE(SUBSTITUTE(SUBSTITUTE(SUBSTITUTE(SUBSTITUTE(C143,"(","_"),")","_"),"/","_"),":","_"),"-","_")," ","_"),"__","_")
  )
)</f>
        <v>file_name</v>
      </c>
      <c r="C143" s="49" t="s">
        <v>924</v>
      </c>
      <c r="D143" s="50" t="s">
        <v>925</v>
      </c>
      <c r="E143" s="49" t="s">
        <v>98</v>
      </c>
      <c r="F143" s="49" t="s">
        <v>870</v>
      </c>
      <c r="G143" s="49"/>
      <c r="H143" s="49"/>
      <c r="I143" s="49"/>
      <c r="J143" s="49"/>
      <c r="K143" s="49"/>
      <c r="L143" s="49"/>
      <c r="M143" s="49"/>
      <c r="N143" s="49"/>
      <c r="O143" s="49"/>
      <c r="P143" s="49" t="s">
        <v>926</v>
      </c>
      <c r="Q143" s="49" t="s">
        <v>926</v>
      </c>
      <c r="R143" s="49"/>
      <c r="S143" s="49"/>
      <c r="T143" s="49"/>
      <c r="U143" s="49"/>
      <c r="V143" s="50" t="s">
        <v>920</v>
      </c>
      <c r="W143" s="50" t="s">
        <v>921</v>
      </c>
      <c r="X143" s="48" t="s">
        <v>685</v>
      </c>
      <c r="Y143" s="48"/>
      <c r="Z143" s="48" t="s">
        <v>93</v>
      </c>
      <c r="AA143" s="49" t="str">
        <f>"[" &amp; _xlfn.TEXTJOIN(", ", TRUE,
    IF(I143&lt;&gt;"", """" &amp; I$1 &amp; """", ""),
    IF(J143&lt;&gt;"", """" &amp; J$1 &amp; """", ""),
    IF(K143&lt;&gt;"", """" &amp; K$1 &amp; """", ""),
    IF(L143&lt;&gt;"", """" &amp; L$1 &amp; """", ""),
    IF(M143&lt;&gt;"", """" &amp; M$1 &amp; """", ""),    IF(N143&lt;&gt;"", """" &amp; N$1 &amp; """", ""),    IF(O143&lt;&gt;"", """" &amp; O$1 &amp; """", ""),     IF(P143&lt;&gt;"", """" &amp; P$1 &amp; """", ""),     IF(Q143&lt;&gt;"", """" &amp; Q$1 &amp; """", ""), IF(R143&lt;&gt;"", """" &amp; R$1 &amp; """", ""), IF(S143&lt;&gt;"", """" &amp; S$1 &amp; """", ""), IF(T143&lt;&gt;"", """" &amp; T$1 &amp; """", ""), IF(U143&lt;&gt;"", """" &amp; U$1 &amp; """", ""),
    IF(X143&lt;&gt;"", """" &amp; X143 &amp; """", ""), IF(V143&lt;&gt;"", """" &amp; V143 &amp; """", ""), IF(W143&lt;&gt;"", """" &amp; W143 &amp; """", ""),
    IF(Y143&lt;&gt;"", """" &amp; Y143 &amp; """", ""),
    IF(Z143&lt;&gt;"", """" &amp; Z143 &amp; """", "")
) &amp; "]"</f>
        <v>["ENA ERC32", "ENA ERC33", "Internal", "ENA Run", "VJDB Run", "Workflows"]</v>
      </c>
      <c r="AB143" s="49"/>
      <c r="AC143" s="49" t="s">
        <v>70</v>
      </c>
      <c r="AD143" s="49"/>
      <c r="AE143" s="49"/>
      <c r="AF143" s="49"/>
      <c r="AG143" s="49"/>
      <c r="AH143" s="49"/>
      <c r="AI143" s="49"/>
      <c r="AJ143" s="49"/>
      <c r="AK143" s="49"/>
      <c r="AL143" s="49"/>
      <c r="AM143" s="49"/>
      <c r="AN143" s="49"/>
      <c r="AO143" s="49"/>
      <c r="AP143" s="49" t="s">
        <v>927</v>
      </c>
      <c r="AQ143" s="49"/>
      <c r="AR143" s="49"/>
      <c r="AS143" s="49" t="s">
        <v>927</v>
      </c>
      <c r="AT143" s="49"/>
      <c r="AU143" s="49" t="s">
        <v>151</v>
      </c>
      <c r="AV143" s="49" t="s">
        <v>130</v>
      </c>
      <c r="AW143" s="49" t="s">
        <v>130</v>
      </c>
      <c r="AX143" s="54"/>
      <c r="AY143" s="49"/>
      <c r="AZ143" s="48" t="s">
        <v>64</v>
      </c>
      <c r="BA143" s="48" t="s">
        <v>72</v>
      </c>
      <c r="BB143" s="49"/>
      <c r="BC143" s="49" t="s">
        <v>73</v>
      </c>
      <c r="BD143" s="49" t="s">
        <v>499</v>
      </c>
      <c r="BE143" s="49"/>
    </row>
    <row r="144" spans="1:186" ht="34.5" customHeight="1">
      <c r="A144" s="99" t="s">
        <v>928</v>
      </c>
      <c r="B144" s="50" t="str">
        <f>LOWER(
  IF(
    RIGHT(
      SUBSTITUTE(SUBSTITUTE(SUBSTITUTE(SUBSTITUTE(SUBSTITUTE(SUBSTITUTE(SUBSTITUTE(C144,"(","_"),")","_"),"/","_"),":","_"),"-","_")," ","_"),"__","_"),
      1
    )="_",
    LEFT(
      SUBSTITUTE(SUBSTITUTE(SUBSTITUTE(SUBSTITUTE(SUBSTITUTE(SUBSTITUTE(SUBSTITUTE(C144,"(","_"),")","_"),"/","_"),":","_"),"-","_")," ","_"),"__","_"),
      LEN(
        SUBSTITUTE(SUBSTITUTE(SUBSTITUTE(SUBSTITUTE(SUBSTITUTE(SUBSTITUTE(SUBSTITUTE(C144,"(","_"),")","_"),"/","_"),":","_"),"-","_")," ","_"),"__","_")
      )-1
    ),
    SUBSTITUTE(SUBSTITUTE(SUBSTITUTE(SUBSTITUTE(SUBSTITUTE(SUBSTITUTE(SUBSTITUTE(C144,"(","_"),")","_"),"/","_"),":","_"),"-","_")," ","_"),"__","_")
  )
)</f>
        <v>host_age</v>
      </c>
      <c r="C144" s="48" t="s">
        <v>929</v>
      </c>
      <c r="D144" s="50" t="s">
        <v>930</v>
      </c>
      <c r="E144" s="49" t="s">
        <v>334</v>
      </c>
      <c r="F144" s="49" t="s">
        <v>870</v>
      </c>
      <c r="G144" s="49"/>
      <c r="H144" s="49"/>
      <c r="I144" s="49"/>
      <c r="J144" s="49"/>
      <c r="K144" s="49"/>
      <c r="L144" s="49"/>
      <c r="M144" s="49"/>
      <c r="N144" s="49"/>
      <c r="O144" s="49"/>
      <c r="P144" s="49"/>
      <c r="Q144" s="49"/>
      <c r="R144" s="49"/>
      <c r="S144" s="49"/>
      <c r="T144" s="49"/>
      <c r="U144" s="49"/>
      <c r="V144" s="49"/>
      <c r="W144" s="49"/>
      <c r="X144" s="48" t="s">
        <v>685</v>
      </c>
      <c r="Y144" s="48" t="s">
        <v>241</v>
      </c>
      <c r="Z144" s="48"/>
      <c r="AA144" s="49" t="str">
        <f>"[" &amp; _xlfn.TEXTJOIN(", ", TRUE,
    IF(I144&lt;&gt;"", """" &amp; I$1 &amp; """", ""),
    IF(J144&lt;&gt;"", """" &amp; J$1 &amp; """", ""),
    IF(K144&lt;&gt;"", """" &amp; K$1 &amp; """", ""),
    IF(L144&lt;&gt;"", """" &amp; L$1 &amp; """", ""),
    IF(M144&lt;&gt;"", """" &amp; M$1 &amp; """", ""),    IF(N144&lt;&gt;"", """" &amp; N$1 &amp; """", ""),    IF(O144&lt;&gt;"", """" &amp; O$1 &amp; """", ""),     IF(P144&lt;&gt;"", """" &amp; P$1 &amp; """", ""),     IF(Q144&lt;&gt;"", """" &amp; Q$1 &amp; """", ""), IF(R144&lt;&gt;"", """" &amp; R$1 &amp; """", ""), IF(S144&lt;&gt;"", """" &amp; S$1 &amp; """", ""), IF(T144&lt;&gt;"", """" &amp; T$1 &amp; """", ""), IF(U144&lt;&gt;"", """" &amp; U$1 &amp; """", ""),
    IF(X144&lt;&gt;"", """" &amp; X144 &amp; """", ""), IF(V144&lt;&gt;"", """" &amp; V144 &amp; """", ""), IF(W144&lt;&gt;"", """" &amp; W144 &amp; """", ""),
    IF(Y144&lt;&gt;"", """" &amp; Y144 &amp; """", ""),
    IF(Z144&lt;&gt;"", """" &amp; Z144 &amp; """", "")
) &amp; "]"</f>
        <v>["Internal", "Clinical "]</v>
      </c>
      <c r="AB144" s="49" t="s">
        <v>166</v>
      </c>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54" t="s">
        <v>931</v>
      </c>
      <c r="AY144" s="49" t="s">
        <v>518</v>
      </c>
      <c r="AZ144" s="49"/>
      <c r="BA144" s="49"/>
      <c r="BB144" s="49"/>
      <c r="BC144" s="49" t="s">
        <v>73</v>
      </c>
      <c r="BD144" s="49" t="s">
        <v>94</v>
      </c>
      <c r="BE144" s="49"/>
    </row>
    <row r="145" spans="1:186" ht="34.5" customHeight="1">
      <c r="A145" s="99" t="s">
        <v>932</v>
      </c>
      <c r="B145" s="50" t="str">
        <f>LOWER(
  IF(
    RIGHT(
      SUBSTITUTE(SUBSTITUTE(SUBSTITUTE(SUBSTITUTE(SUBSTITUTE(SUBSTITUTE(SUBSTITUTE(C145,"(","_"),")","_"),"/","_"),":","_"),"-","_")," ","_"),"__","_"),
      1
    )="_",
    LEFT(
      SUBSTITUTE(SUBSTITUTE(SUBSTITUTE(SUBSTITUTE(SUBSTITUTE(SUBSTITUTE(SUBSTITUTE(C145,"(","_"),")","_"),"/","_"),":","_"),"-","_")," ","_"),"__","_"),
      LEN(
        SUBSTITUTE(SUBSTITUTE(SUBSTITUTE(SUBSTITUTE(SUBSTITUTE(SUBSTITUTE(SUBSTITUTE(C145,"(","_"),")","_"),"/","_"),":","_"),"-","_")," ","_"),"__","_")
      )-1
    ),
    SUBSTITUTE(SUBSTITUTE(SUBSTITUTE(SUBSTITUTE(SUBSTITUTE(SUBSTITUTE(SUBSTITUTE(C145,"(","_"),")","_"),"/","_"),":","_"),"-","_")," ","_"),"__","_")
  )
)</f>
        <v>host_age_unit</v>
      </c>
      <c r="C145" s="48" t="s">
        <v>933</v>
      </c>
      <c r="D145" s="50" t="s">
        <v>934</v>
      </c>
      <c r="E145" s="49" t="s">
        <v>98</v>
      </c>
      <c r="F145" s="49" t="s">
        <v>870</v>
      </c>
      <c r="G145" s="49" t="s">
        <v>935</v>
      </c>
      <c r="H145" s="49" t="s">
        <v>935</v>
      </c>
      <c r="I145" s="49"/>
      <c r="J145" s="49"/>
      <c r="K145" s="49"/>
      <c r="L145" s="49"/>
      <c r="M145" s="49"/>
      <c r="N145" s="49"/>
      <c r="O145" s="49"/>
      <c r="P145" s="49"/>
      <c r="Q145" s="49"/>
      <c r="R145" s="49"/>
      <c r="S145" s="49"/>
      <c r="T145" s="49"/>
      <c r="U145" s="49"/>
      <c r="V145" s="50"/>
      <c r="W145" s="50"/>
      <c r="X145" s="48" t="s">
        <v>137</v>
      </c>
      <c r="Y145" s="48" t="s">
        <v>195</v>
      </c>
      <c r="Z145" s="48"/>
      <c r="AA145" s="49" t="str">
        <f>"[" &amp; _xlfn.TEXTJOIN(", ", TRUE,
    IF(I145&lt;&gt;"", """" &amp; I$1 &amp; """", ""),
    IF(J145&lt;&gt;"", """" &amp; J$1 &amp; """", ""),
    IF(K145&lt;&gt;"", """" &amp; K$1 &amp; """", ""),
    IF(L145&lt;&gt;"", """" &amp; L$1 &amp; """", ""),
    IF(M145&lt;&gt;"", """" &amp; M$1 &amp; """", ""),    IF(N145&lt;&gt;"", """" &amp; N$1 &amp; """", ""),    IF(O145&lt;&gt;"", """" &amp; O$1 &amp; """", ""),     IF(P145&lt;&gt;"", """" &amp; P$1 &amp; """", ""),     IF(Q145&lt;&gt;"", """" &amp; Q$1 &amp; """", ""), IF(R145&lt;&gt;"", """" &amp; R$1 &amp; """", ""), IF(S145&lt;&gt;"", """" &amp; S$1 &amp; """", ""), IF(T145&lt;&gt;"", """" &amp; T$1 &amp; """", ""), IF(U145&lt;&gt;"", """" &amp; U$1 &amp; """", ""),
    IF(X145&lt;&gt;"", """" &amp; X145 &amp; """", ""), IF(V145&lt;&gt;"", """" &amp; V145 &amp; """", ""), IF(W145&lt;&gt;"", """" &amp; W145 &amp; """", ""),
    IF(Y145&lt;&gt;"", """" &amp; Y145 &amp; """", ""),
    IF(Z145&lt;&gt;"", """" &amp; Z145 &amp; """", "")
) &amp; "]"</f>
        <v>["Host", "Clinical"]</v>
      </c>
      <c r="AB145" s="49" t="s">
        <v>166</v>
      </c>
      <c r="AC145" s="48" t="s">
        <v>936</v>
      </c>
      <c r="AD145" s="49" t="s">
        <v>168</v>
      </c>
      <c r="AE145" s="49"/>
      <c r="AF145" s="49"/>
      <c r="AG145" s="49"/>
      <c r="AH145" s="49"/>
      <c r="AI145" s="49"/>
      <c r="AJ145" s="49"/>
      <c r="AK145" s="49"/>
      <c r="AL145" s="49"/>
      <c r="AM145" s="49"/>
      <c r="AN145" s="49"/>
      <c r="AO145" s="49"/>
      <c r="AP145" s="49"/>
      <c r="AQ145" s="49"/>
      <c r="AR145" s="49"/>
      <c r="AS145" s="49"/>
      <c r="AT145" s="49"/>
      <c r="AU145" s="49"/>
      <c r="AV145" s="49"/>
      <c r="AW145" s="49"/>
      <c r="AX145" s="54" t="s">
        <v>937</v>
      </c>
      <c r="AY145" s="49" t="s">
        <v>938</v>
      </c>
      <c r="AZ145" s="48" t="s">
        <v>106</v>
      </c>
      <c r="BA145" s="48" t="s">
        <v>107</v>
      </c>
      <c r="BB145" s="49"/>
      <c r="BC145" s="49" t="s">
        <v>73</v>
      </c>
      <c r="BD145" s="49" t="s">
        <v>108</v>
      </c>
      <c r="BE145" s="49"/>
    </row>
    <row r="146" spans="1:186" ht="34.5" customHeight="1">
      <c r="A146" s="99" t="s">
        <v>939</v>
      </c>
      <c r="B146" s="50" t="str">
        <f>LOWER(
  IF(
    RIGHT(
      SUBSTITUTE(SUBSTITUTE(SUBSTITUTE(SUBSTITUTE(SUBSTITUTE(SUBSTITUTE(SUBSTITUTE(C146,"(","_"),")","_"),"/","_"),":","_"),"-","_")," ","_"),"__","_"),
      1
    )="_",
    LEFT(
      SUBSTITUTE(SUBSTITUTE(SUBSTITUTE(SUBSTITUTE(SUBSTITUTE(SUBSTITUTE(SUBSTITUTE(C146,"(","_"),")","_"),"/","_"),":","_"),"-","_")," ","_"),"__","_"),
      LEN(
        SUBSTITUTE(SUBSTITUTE(SUBSTITUTE(SUBSTITUTE(SUBSTITUTE(SUBSTITUTE(SUBSTITUTE(C146,"(","_"),")","_"),"/","_"),":","_"),"-","_")," ","_"),"__","_")
      )-1
    ),
    SUBSTITUTE(SUBSTITUTE(SUBSTITUTE(SUBSTITUTE(SUBSTITUTE(SUBSTITUTE(SUBSTITUTE(C146,"(","_"),")","_"),"/","_"),":","_"),"-","_")," ","_"),"__","_")
  )
)</f>
        <v>analysis_title</v>
      </c>
      <c r="C146" s="49" t="s">
        <v>940</v>
      </c>
      <c r="D146" s="50" t="s">
        <v>941</v>
      </c>
      <c r="E146" s="49" t="s">
        <v>64</v>
      </c>
      <c r="F146" s="49" t="s">
        <v>870</v>
      </c>
      <c r="G146" s="49"/>
      <c r="H146" s="49"/>
      <c r="I146" s="49"/>
      <c r="J146" s="49"/>
      <c r="K146" s="49"/>
      <c r="L146" s="49"/>
      <c r="M146" s="49"/>
      <c r="N146" s="49"/>
      <c r="O146" s="49"/>
      <c r="P146" s="49"/>
      <c r="Q146" s="49"/>
      <c r="R146" s="49"/>
      <c r="S146" s="49"/>
      <c r="T146" s="49"/>
      <c r="U146" s="49"/>
      <c r="V146" s="49"/>
      <c r="W146" s="49" t="s">
        <v>115</v>
      </c>
      <c r="X146" s="48" t="s">
        <v>685</v>
      </c>
      <c r="Y146" s="48"/>
      <c r="Z146" s="48" t="s">
        <v>93</v>
      </c>
      <c r="AA146" s="49" t="str">
        <f>"[" &amp; _xlfn.TEXTJOIN(", ", TRUE,
    IF(I146&lt;&gt;"", """" &amp; I$1 &amp; """", ""),
    IF(J146&lt;&gt;"", """" &amp; J$1 &amp; """", ""),
    IF(K146&lt;&gt;"", """" &amp; K$1 &amp; """", ""),
    IF(L146&lt;&gt;"", """" &amp; L$1 &amp; """", ""),
    IF(M146&lt;&gt;"", """" &amp; M$1 &amp; """", ""),    IF(N146&lt;&gt;"", """" &amp; N$1 &amp; """", ""),    IF(O146&lt;&gt;"", """" &amp; O$1 &amp; """", ""),     IF(P146&lt;&gt;"", """" &amp; P$1 &amp; """", ""),     IF(Q146&lt;&gt;"", """" &amp; Q$1 &amp; """", ""), IF(R146&lt;&gt;"", """" &amp; R$1 &amp; """", ""), IF(S146&lt;&gt;"", """" &amp; S$1 &amp; """", ""), IF(T146&lt;&gt;"", """" &amp; T$1 &amp; """", ""), IF(U146&lt;&gt;"", """" &amp; U$1 &amp; """", ""),
    IF(X146&lt;&gt;"", """" &amp; X146 &amp; """", ""), IF(V146&lt;&gt;"", """" &amp; V146 &amp; """", ""), IF(W146&lt;&gt;"", """" &amp; W146 &amp; """", ""),
    IF(Y146&lt;&gt;"", """" &amp; Y146 &amp; """", ""),
    IF(Z146&lt;&gt;"", """" &amp; Z146 &amp; """", "")
) &amp; "]"</f>
        <v>["Internal", "VJDB Analysis", "Workflows"]</v>
      </c>
      <c r="AB146" s="49"/>
      <c r="AC146" s="49" t="s">
        <v>70</v>
      </c>
      <c r="AD146" s="49"/>
      <c r="AE146" s="49"/>
      <c r="AF146" s="49"/>
      <c r="AG146" s="49"/>
      <c r="AH146" s="49"/>
      <c r="AI146" s="49"/>
      <c r="AJ146" s="49"/>
      <c r="AK146" s="49"/>
      <c r="AL146" s="49"/>
      <c r="AM146" s="49"/>
      <c r="AN146" s="49"/>
      <c r="AO146" s="49"/>
      <c r="AP146" s="49"/>
      <c r="AQ146" s="49"/>
      <c r="AR146" s="49"/>
      <c r="AS146" s="49"/>
      <c r="AT146" s="49"/>
      <c r="AU146" s="49"/>
      <c r="AV146" s="49"/>
      <c r="AW146" s="49"/>
      <c r="AX146" s="54"/>
      <c r="AY146" s="49"/>
      <c r="AZ146" s="49"/>
      <c r="BA146" s="49"/>
      <c r="BB146" s="49"/>
      <c r="BC146" s="49" t="s">
        <v>73</v>
      </c>
      <c r="BD146" s="49" t="s">
        <v>108</v>
      </c>
      <c r="BE146" s="49"/>
    </row>
    <row r="147" spans="1:186" ht="34.5" customHeight="1">
      <c r="A147" s="98" t="s">
        <v>942</v>
      </c>
      <c r="B147" s="50" t="str">
        <f>LOWER(
  IF(
    RIGHT(
      SUBSTITUTE(SUBSTITUTE(SUBSTITUTE(SUBSTITUTE(SUBSTITUTE(SUBSTITUTE(SUBSTITUTE(C147,"(","_"),")","_"),"/","_"),":","_"),"-","_")," ","_"),"__","_"),
      1
    )="_",
    LEFT(
      SUBSTITUTE(SUBSTITUTE(SUBSTITUTE(SUBSTITUTE(SUBSTITUTE(SUBSTITUTE(SUBSTITUTE(C147,"(","_"),")","_"),"/","_"),":","_"),"-","_")," ","_"),"__","_"),
      LEN(
        SUBSTITUTE(SUBSTITUTE(SUBSTITUTE(SUBSTITUTE(SUBSTITUTE(SUBSTITUTE(SUBSTITUTE(C147,"(","_"),")","_"),"/","_"),":","_"),"-","_")," ","_"),"__","_")
      )-1
    ),
    SUBSTITUTE(SUBSTITUTE(SUBSTITUTE(SUBSTITUTE(SUBSTITUTE(SUBSTITUTE(SUBSTITUTE(C147,"(","_"),")","_"),"/","_"),":","_"),"-","_")," ","_"),"__","_")
  )
)</f>
        <v>insdc_accession</v>
      </c>
      <c r="C147" s="48" t="s">
        <v>943</v>
      </c>
      <c r="D147" s="50" t="s">
        <v>944</v>
      </c>
      <c r="E147" s="49" t="s">
        <v>98</v>
      </c>
      <c r="F147" s="49" t="s">
        <v>795</v>
      </c>
      <c r="G147" s="49" t="s">
        <v>945</v>
      </c>
      <c r="H147" s="49" t="s">
        <v>946</v>
      </c>
      <c r="I147" s="49"/>
      <c r="J147" s="49"/>
      <c r="K147" s="49"/>
      <c r="L147" s="49"/>
      <c r="M147" s="49"/>
      <c r="N147" s="49" t="s">
        <v>947</v>
      </c>
      <c r="O147" s="49" t="s">
        <v>948</v>
      </c>
      <c r="P147" s="49"/>
      <c r="Q147" s="49"/>
      <c r="R147" s="49"/>
      <c r="S147" s="49" t="s">
        <v>945</v>
      </c>
      <c r="T147" s="49"/>
      <c r="U147" s="49"/>
      <c r="V147" s="50"/>
      <c r="W147" s="50"/>
      <c r="X147" s="48" t="s">
        <v>116</v>
      </c>
      <c r="Y147" s="48" t="s">
        <v>117</v>
      </c>
      <c r="Z147" s="48"/>
      <c r="AA147" s="49" t="str">
        <f>"[" &amp; _xlfn.TEXTJOIN(", ", TRUE,
    IF(I147&lt;&gt;"", """" &amp; I$1 &amp; """", ""),
    IF(J147&lt;&gt;"", """" &amp; J$1 &amp; """", ""),
    IF(K147&lt;&gt;"", """" &amp; K$1 &amp; """", ""),
    IF(L147&lt;&gt;"", """" &amp; L$1 &amp; """", ""),
    IF(M147&lt;&gt;"", """" &amp; M$1 &amp; """", ""),    IF(N147&lt;&gt;"", """" &amp; N$1 &amp; """", ""),    IF(O147&lt;&gt;"", """" &amp; O$1 &amp; """", ""),     IF(P147&lt;&gt;"", """" &amp; P$1 &amp; """", ""),     IF(Q147&lt;&gt;"", """" &amp; Q$1 &amp; """", ""), IF(R147&lt;&gt;"", """" &amp; R$1 &amp; """", ""), IF(S147&lt;&gt;"", """" &amp; S$1 &amp; """", ""), IF(T147&lt;&gt;"", """" &amp; T$1 &amp; """", ""), IF(U147&lt;&gt;"", """" &amp; U$1 &amp; """", ""),
    IF(X147&lt;&gt;"", """" &amp; X147 &amp; """", ""), IF(V147&lt;&gt;"", """" &amp; V147 &amp; """", ""), IF(W147&lt;&gt;"", """" &amp; W147 &amp; """", ""),
    IF(Y147&lt;&gt;"", """" &amp; Y147 &amp; """", ""),
    IF(Z147&lt;&gt;"", """" &amp; Z147 &amp; """", "")
) &amp; "]"</f>
        <v>["NCBI Virus", "BV-BRC", "PHD", "Organizational", "Identifiers"]</v>
      </c>
      <c r="AB147" s="49" t="s">
        <v>949</v>
      </c>
      <c r="AC147" s="48" t="s">
        <v>70</v>
      </c>
      <c r="AD147" s="49"/>
      <c r="AE147" s="49"/>
      <c r="AF147" s="49" t="s">
        <v>947</v>
      </c>
      <c r="AG147" s="49" t="s">
        <v>950</v>
      </c>
      <c r="AH147" s="49"/>
      <c r="AI147" s="49"/>
      <c r="AJ147" s="49" t="s">
        <v>370</v>
      </c>
      <c r="AK147" s="49"/>
      <c r="AL147" s="49" t="s">
        <v>951</v>
      </c>
      <c r="AM147" s="49" t="s">
        <v>351</v>
      </c>
      <c r="AN147" s="49"/>
      <c r="AO147" s="49"/>
      <c r="AP147" s="49"/>
      <c r="AQ147" s="49"/>
      <c r="AR147" s="49"/>
      <c r="AS147" s="49"/>
      <c r="AT147" s="49"/>
      <c r="AU147" s="49"/>
      <c r="AV147" s="49"/>
      <c r="AW147" s="49"/>
      <c r="AX147" s="54"/>
      <c r="AY147" s="49"/>
      <c r="AZ147" s="48" t="s">
        <v>64</v>
      </c>
      <c r="BA147" s="48" t="s">
        <v>119</v>
      </c>
      <c r="BB147" s="49"/>
      <c r="BC147" s="49" t="s">
        <v>952</v>
      </c>
      <c r="BD147" s="49" t="s">
        <v>108</v>
      </c>
      <c r="BE147" s="49" t="s">
        <v>60</v>
      </c>
    </row>
    <row r="148" spans="1:186" ht="34.5" customHeight="1">
      <c r="A148" s="98" t="s">
        <v>953</v>
      </c>
      <c r="B148" s="50" t="str">
        <f>LOWER(
  IF(
    RIGHT(
      SUBSTITUTE(SUBSTITUTE(SUBSTITUTE(SUBSTITUTE(SUBSTITUTE(SUBSTITUTE(SUBSTITUTE(C148,"(","_"),")","_"),"/","_"),":","_"),"-","_")," ","_"),"__","_"),
      1
    )="_",
    LEFT(
      SUBSTITUTE(SUBSTITUTE(SUBSTITUTE(SUBSTITUTE(SUBSTITUTE(SUBSTITUTE(SUBSTITUTE(C148,"(","_"),")","_"),"/","_"),":","_"),"-","_")," ","_"),"__","_"),
      LEN(
        SUBSTITUTE(SUBSTITUTE(SUBSTITUTE(SUBSTITUTE(SUBSTITUTE(SUBSTITUTE(SUBSTITUTE(C148,"(","_"),")","_"),"/","_"),":","_"),"-","_")," ","_"),"__","_")
      )-1
    ),
    SUBSTITUTE(SUBSTITUTE(SUBSTITUTE(SUBSTITUTE(SUBSTITUTE(SUBSTITUTE(SUBSTITUTE(C148,"(","_"),")","_"),"/","_"),":","_"),"-","_")," ","_"),"__","_")
  )
)</f>
        <v>assembly_accession</v>
      </c>
      <c r="C148" s="48" t="s">
        <v>954</v>
      </c>
      <c r="D148" s="50" t="s">
        <v>955</v>
      </c>
      <c r="E148" s="49" t="s">
        <v>98</v>
      </c>
      <c r="F148" s="49" t="s">
        <v>795</v>
      </c>
      <c r="G148" s="49" t="s">
        <v>956</v>
      </c>
      <c r="H148" s="49" t="s">
        <v>957</v>
      </c>
      <c r="I148" s="49"/>
      <c r="J148" s="49"/>
      <c r="K148" s="49"/>
      <c r="L148" s="49"/>
      <c r="M148" s="49"/>
      <c r="N148" s="49" t="s">
        <v>958</v>
      </c>
      <c r="O148" s="49" t="s">
        <v>954</v>
      </c>
      <c r="P148" s="49"/>
      <c r="Q148" s="49"/>
      <c r="R148" s="48"/>
      <c r="S148" s="49" t="s">
        <v>956</v>
      </c>
      <c r="T148" s="48"/>
      <c r="U148" s="49"/>
      <c r="V148" s="50" t="s">
        <v>114</v>
      </c>
      <c r="W148" s="50" t="s">
        <v>115</v>
      </c>
      <c r="X148" s="48" t="s">
        <v>116</v>
      </c>
      <c r="Y148" s="48" t="s">
        <v>117</v>
      </c>
      <c r="Z148" s="48"/>
      <c r="AA148" s="49" t="str">
        <f>"[" &amp; _xlfn.TEXTJOIN(", ", TRUE,
    IF(I148&lt;&gt;"", """" &amp; I$1 &amp; """", ""),
    IF(J148&lt;&gt;"", """" &amp; J$1 &amp; """", ""),
    IF(K148&lt;&gt;"", """" &amp; K$1 &amp; """", ""),
    IF(L148&lt;&gt;"", """" &amp; L$1 &amp; """", ""),
    IF(M148&lt;&gt;"", """" &amp; M$1 &amp; """", ""),    IF(N148&lt;&gt;"", """" &amp; N$1 &amp; """", ""),    IF(O148&lt;&gt;"", """" &amp; O$1 &amp; """", ""),     IF(P148&lt;&gt;"", """" &amp; P$1 &amp; """", ""),     IF(Q148&lt;&gt;"", """" &amp; Q$1 &amp; """", ""), IF(R148&lt;&gt;"", """" &amp; R$1 &amp; """", ""), IF(S148&lt;&gt;"", """" &amp; S$1 &amp; """", ""), IF(T148&lt;&gt;"", """" &amp; T$1 &amp; """", ""), IF(U148&lt;&gt;"", """" &amp; U$1 &amp; """", ""),
    IF(X148&lt;&gt;"", """" &amp; X148 &amp; """", ""), IF(V148&lt;&gt;"", """" &amp; V148 &amp; """", ""), IF(W148&lt;&gt;"", """" &amp; W148 &amp; """", ""),
    IF(Y148&lt;&gt;"", """" &amp; Y148 &amp; """", ""),
    IF(Z148&lt;&gt;"", """" &amp; Z148 &amp; """", "")
) &amp; "]"</f>
        <v>["NCBI Virus", "BV-BRC", "PHD", "Organizational", "ENA Analysis", "VJDB Analysis", "Identifiers"]</v>
      </c>
      <c r="AB148" s="49" t="s">
        <v>949</v>
      </c>
      <c r="AC148" s="48" t="s">
        <v>70</v>
      </c>
      <c r="AD148" s="49"/>
      <c r="AE148" s="49"/>
      <c r="AF148" s="49" t="s">
        <v>958</v>
      </c>
      <c r="AG148" s="49" t="s">
        <v>959</v>
      </c>
      <c r="AH148" s="49"/>
      <c r="AI148" s="49"/>
      <c r="AJ148" s="49" t="s">
        <v>370</v>
      </c>
      <c r="AK148" s="49"/>
      <c r="AL148" s="49" t="s">
        <v>957</v>
      </c>
      <c r="AM148" s="49" t="s">
        <v>372</v>
      </c>
      <c r="AN148" s="49"/>
      <c r="AO148" s="49" t="s">
        <v>960</v>
      </c>
      <c r="AP148" s="49"/>
      <c r="AQ148" s="49"/>
      <c r="AR148" s="49"/>
      <c r="AS148" s="49"/>
      <c r="AT148" s="49"/>
      <c r="AU148" s="49"/>
      <c r="AV148" s="49"/>
      <c r="AW148" s="49"/>
      <c r="AX148" s="54"/>
      <c r="AY148" s="49"/>
      <c r="AZ148" s="48" t="s">
        <v>64</v>
      </c>
      <c r="BA148" s="48" t="s">
        <v>119</v>
      </c>
      <c r="BB148" s="49"/>
      <c r="BC148" s="49" t="s">
        <v>73</v>
      </c>
      <c r="BD148" s="49" t="s">
        <v>108</v>
      </c>
      <c r="BE148" s="49"/>
    </row>
    <row r="149" spans="1:186" ht="34.5" customHeight="1">
      <c r="A149" s="98" t="s">
        <v>961</v>
      </c>
      <c r="B149" s="50" t="str">
        <f>LOWER(
  IF(
    RIGHT(
      SUBSTITUTE(SUBSTITUTE(SUBSTITUTE(SUBSTITUTE(SUBSTITUTE(SUBSTITUTE(SUBSTITUTE(C149,"(","_"),")","_"),"/","_"),":","_"),"-","_")," ","_"),"__","_"),
      1
    )="_",
    LEFT(
      SUBSTITUTE(SUBSTITUTE(SUBSTITUTE(SUBSTITUTE(SUBSTITUTE(SUBSTITUTE(SUBSTITUTE(C149,"(","_"),")","_"),"/","_"),":","_"),"-","_")," ","_"),"__","_"),
      LEN(
        SUBSTITUTE(SUBSTITUTE(SUBSTITUTE(SUBSTITUTE(SUBSTITUTE(SUBSTITUTE(SUBSTITUTE(C149,"(","_"),")","_"),"/","_"),":","_"),"-","_")," ","_"),"__","_")
      )-1
    ),
    SUBSTITUTE(SUBSTITUTE(SUBSTITUTE(SUBSTITUTE(SUBSTITUTE(SUBSTITUTE(SUBSTITUTE(C149,"(","_"),")","_"),"/","_"),":","_"),"-","_")," ","_"),"__","_")
  )
)</f>
        <v>bioproject_accession</v>
      </c>
      <c r="C149" s="48" t="s">
        <v>962</v>
      </c>
      <c r="D149" s="50" t="s">
        <v>963</v>
      </c>
      <c r="E149" s="49" t="s">
        <v>98</v>
      </c>
      <c r="F149" s="49" t="s">
        <v>795</v>
      </c>
      <c r="G149" s="49" t="s">
        <v>964</v>
      </c>
      <c r="H149" s="49" t="s">
        <v>965</v>
      </c>
      <c r="I149" s="49" t="s">
        <v>966</v>
      </c>
      <c r="J149" s="49"/>
      <c r="K149" s="49"/>
      <c r="L149" s="49"/>
      <c r="M149" s="49"/>
      <c r="N149" s="49" t="s">
        <v>967</v>
      </c>
      <c r="O149" s="49" t="s">
        <v>968</v>
      </c>
      <c r="P149" s="49"/>
      <c r="Q149" s="49"/>
      <c r="R149" s="48"/>
      <c r="S149" s="48"/>
      <c r="T149" s="48"/>
      <c r="U149" s="49"/>
      <c r="V149" s="50" t="s">
        <v>618</v>
      </c>
      <c r="W149" s="50"/>
      <c r="X149" s="48" t="s">
        <v>116</v>
      </c>
      <c r="Y149" s="48" t="s">
        <v>117</v>
      </c>
      <c r="Z149" s="48"/>
      <c r="AA149" s="49" t="str">
        <f>"[" &amp; _xlfn.TEXTJOIN(", ", TRUE,
    IF(I149&lt;&gt;"", """" &amp; I$1 &amp; """", ""),
    IF(J149&lt;&gt;"", """" &amp; J$1 &amp; """", ""),
    IF(K149&lt;&gt;"", """" &amp; K$1 &amp; """", ""),
    IF(L149&lt;&gt;"", """" &amp; L$1 &amp; """", ""),
    IF(M149&lt;&gt;"", """" &amp; M$1 &amp; """", ""),    IF(N149&lt;&gt;"", """" &amp; N$1 &amp; """", ""),    IF(O149&lt;&gt;"", """" &amp; O$1 &amp; """", ""),     IF(P149&lt;&gt;"", """" &amp; P$1 &amp; """", ""),     IF(Q149&lt;&gt;"", """" &amp; Q$1 &amp; """", ""), IF(R149&lt;&gt;"", """" &amp; R$1 &amp; """", ""), IF(S149&lt;&gt;"", """" &amp; S$1 &amp; """", ""), IF(T149&lt;&gt;"", """" &amp; T$1 &amp; """", ""), IF(U149&lt;&gt;"", """" &amp; U$1 &amp; """", ""),
    IF(X149&lt;&gt;"", """" &amp; X149 &amp; """", ""), IF(V149&lt;&gt;"", """" &amp; V149 &amp; """", ""), IF(W149&lt;&gt;"", """" &amp; W149 &amp; """", ""),
    IF(Y149&lt;&gt;"", """" &amp; Y149 &amp; """", ""),
    IF(Z149&lt;&gt;"", """" &amp; Z149 &amp; """", "")
) &amp; "]"</f>
        <v>["ENA", "NCBI Virus", "BV-BRC", "Organizational", "ENA Study", "Identifiers"]</v>
      </c>
      <c r="AB149" s="49" t="s">
        <v>949</v>
      </c>
      <c r="AC149" s="48" t="s">
        <v>70</v>
      </c>
      <c r="AD149" s="49"/>
      <c r="AE149" s="49"/>
      <c r="AF149" s="49" t="s">
        <v>967</v>
      </c>
      <c r="AG149" s="49" t="s">
        <v>969</v>
      </c>
      <c r="AH149" s="49"/>
      <c r="AI149" s="49"/>
      <c r="AJ149" s="49" t="s">
        <v>370</v>
      </c>
      <c r="AK149" s="49"/>
      <c r="AL149" s="49" t="s">
        <v>970</v>
      </c>
      <c r="AM149" s="49" t="s">
        <v>372</v>
      </c>
      <c r="AN149" s="49"/>
      <c r="AO149" s="49"/>
      <c r="AP149" s="49"/>
      <c r="AQ149" s="49"/>
      <c r="AR149" s="49"/>
      <c r="AS149" s="49"/>
      <c r="AT149" s="49"/>
      <c r="AU149" s="49"/>
      <c r="AV149" s="49" t="s">
        <v>130</v>
      </c>
      <c r="AW149" s="49" t="s">
        <v>130</v>
      </c>
      <c r="AX149" s="54"/>
      <c r="AY149" s="49"/>
      <c r="AZ149" s="48" t="s">
        <v>64</v>
      </c>
      <c r="BA149" s="48" t="s">
        <v>119</v>
      </c>
      <c r="BB149" s="49"/>
      <c r="BC149" s="49" t="s">
        <v>73</v>
      </c>
      <c r="BD149" s="49" t="s">
        <v>108</v>
      </c>
      <c r="BE149" s="49"/>
    </row>
    <row r="150" spans="1:186" ht="34.5" customHeight="1">
      <c r="A150" s="98" t="s">
        <v>971</v>
      </c>
      <c r="B150" s="50" t="str">
        <f>LOWER(
  IF(
    RIGHT(
      SUBSTITUTE(SUBSTITUTE(SUBSTITUTE(SUBSTITUTE(SUBSTITUTE(SUBSTITUTE(SUBSTITUTE(C150,"(","_"),")","_"),"/","_"),":","_"),"-","_")," ","_"),"__","_"),
      1
    )="_",
    LEFT(
      SUBSTITUTE(SUBSTITUTE(SUBSTITUTE(SUBSTITUTE(SUBSTITUTE(SUBSTITUTE(SUBSTITUTE(C150,"(","_"),")","_"),"/","_"),":","_"),"-","_")," ","_"),"__","_"),
      LEN(
        SUBSTITUTE(SUBSTITUTE(SUBSTITUTE(SUBSTITUTE(SUBSTITUTE(SUBSTITUTE(SUBSTITUTE(C150,"(","_"),")","_"),"/","_"),":","_"),"-","_")," ","_"),"__","_")
      )-1
    ),
    SUBSTITUTE(SUBSTITUTE(SUBSTITUTE(SUBSTITUTE(SUBSTITUTE(SUBSTITUTE(SUBSTITUTE(C150,"(","_"),")","_"),"/","_"),":","_"),"-","_")," ","_"),"__","_")
  )
)</f>
        <v>biosample_accession</v>
      </c>
      <c r="C150" s="48" t="s">
        <v>972</v>
      </c>
      <c r="D150" s="50" t="s">
        <v>973</v>
      </c>
      <c r="E150" s="49" t="s">
        <v>98</v>
      </c>
      <c r="F150" s="49" t="s">
        <v>795</v>
      </c>
      <c r="G150" s="49" t="s">
        <v>974</v>
      </c>
      <c r="H150" s="49" t="s">
        <v>975</v>
      </c>
      <c r="I150" s="49" t="s">
        <v>976</v>
      </c>
      <c r="J150" s="49"/>
      <c r="K150" s="49" t="s">
        <v>977</v>
      </c>
      <c r="L150" s="49"/>
      <c r="M150" s="49"/>
      <c r="N150" s="49" t="s">
        <v>978</v>
      </c>
      <c r="O150" s="49" t="s">
        <v>979</v>
      </c>
      <c r="P150" s="49"/>
      <c r="Q150" s="49"/>
      <c r="R150" s="48"/>
      <c r="S150" s="48"/>
      <c r="T150" s="48"/>
      <c r="U150" s="49"/>
      <c r="V150" s="50" t="s">
        <v>125</v>
      </c>
      <c r="W150" s="50" t="s">
        <v>126</v>
      </c>
      <c r="X150" s="48" t="s">
        <v>116</v>
      </c>
      <c r="Y150" s="48" t="s">
        <v>117</v>
      </c>
      <c r="Z150" s="48"/>
      <c r="AA150" s="49" t="str">
        <f>"[" &amp; _xlfn.TEXTJOIN(", ", TRUE,
    IF(I150&lt;&gt;"", """" &amp; I$1 &amp; """", ""),
    IF(J150&lt;&gt;"", """" &amp; J$1 &amp; """", ""),
    IF(K150&lt;&gt;"", """" &amp; K$1 &amp; """", ""),
    IF(L150&lt;&gt;"", """" &amp; L$1 &amp; """", ""),
    IF(M150&lt;&gt;"", """" &amp; M$1 &amp; """", ""),    IF(N150&lt;&gt;"", """" &amp; N$1 &amp; """", ""),    IF(O150&lt;&gt;"", """" &amp; O$1 &amp; """", ""),     IF(P150&lt;&gt;"", """" &amp; P$1 &amp; """", ""),     IF(Q150&lt;&gt;"", """" &amp; Q$1 &amp; """", ""), IF(R150&lt;&gt;"", """" &amp; R$1 &amp; """", ""), IF(S150&lt;&gt;"", """" &amp; S$1 &amp; """", ""), IF(T150&lt;&gt;"", """" &amp; T$1 &amp; """", ""), IF(U150&lt;&gt;"", """" &amp; U$1 &amp; """", ""),
    IF(X150&lt;&gt;"", """" &amp; X150 &amp; """", ""), IF(V150&lt;&gt;"", """" &amp; V150 &amp; """", ""), IF(W150&lt;&gt;"", """" &amp; W150 &amp; """", ""),
    IF(Y150&lt;&gt;"", """" &amp; Y150 &amp; """", ""),
    IF(Z150&lt;&gt;"", """" &amp; Z150 &amp; """", "")
) &amp; "]"</f>
        <v>["ENA", "MIGS-VI", "NCBI Virus", "BV-BRC", "Organizational", "ENA Sample", "VJDB Sample", "Identifiers"]</v>
      </c>
      <c r="AB150" s="49" t="s">
        <v>949</v>
      </c>
      <c r="AC150" s="48" t="s">
        <v>70</v>
      </c>
      <c r="AD150" s="49"/>
      <c r="AE150" s="49"/>
      <c r="AF150" s="49" t="s">
        <v>978</v>
      </c>
      <c r="AG150" s="49" t="s">
        <v>980</v>
      </c>
      <c r="AH150" s="49"/>
      <c r="AI150" s="49"/>
      <c r="AJ150" s="49" t="s">
        <v>370</v>
      </c>
      <c r="AK150" s="49"/>
      <c r="AL150" s="49" t="s">
        <v>975</v>
      </c>
      <c r="AM150" s="49" t="s">
        <v>372</v>
      </c>
      <c r="AN150" s="49"/>
      <c r="AO150" s="49"/>
      <c r="AP150" s="49"/>
      <c r="AQ150" s="49"/>
      <c r="AR150" s="49"/>
      <c r="AS150" s="49"/>
      <c r="AT150" s="49"/>
      <c r="AU150" s="49"/>
      <c r="AV150" s="49" t="s">
        <v>130</v>
      </c>
      <c r="AW150" s="49" t="s">
        <v>130</v>
      </c>
      <c r="AX150" s="54"/>
      <c r="AY150" s="49"/>
      <c r="AZ150" s="48" t="s">
        <v>64</v>
      </c>
      <c r="BA150" s="48" t="s">
        <v>119</v>
      </c>
      <c r="BB150" s="49"/>
      <c r="BC150" s="49" t="s">
        <v>73</v>
      </c>
      <c r="BD150" s="49" t="s">
        <v>108</v>
      </c>
      <c r="BE150" s="49"/>
    </row>
    <row r="151" spans="1:186" ht="34.5" customHeight="1">
      <c r="A151" s="98" t="s">
        <v>981</v>
      </c>
      <c r="B151" s="50" t="str">
        <f>LOWER(
  IF(
    RIGHT(
      SUBSTITUTE(SUBSTITUTE(SUBSTITUTE(SUBSTITUTE(SUBSTITUTE(SUBSTITUTE(SUBSTITUTE(C151,"(","_"),")","_"),"/","_"),":","_"),"-","_")," ","_"),"__","_"),
      1
    )="_",
    LEFT(
      SUBSTITUTE(SUBSTITUTE(SUBSTITUTE(SUBSTITUTE(SUBSTITUTE(SUBSTITUTE(SUBSTITUTE(C151,"(","_"),")","_"),"/","_"),":","_"),"-","_")," ","_"),"__","_"),
      LEN(
        SUBSTITUTE(SUBSTITUTE(SUBSTITUTE(SUBSTITUTE(SUBSTITUTE(SUBSTITUTE(SUBSTITUTE(C151,"(","_"),")","_"),"/","_"),":","_"),"-","_")," ","_"),"__","_")
      )-1
    ),
    SUBSTITUTE(SUBSTITUTE(SUBSTITUTE(SUBSTITUTE(SUBSTITUTE(SUBSTITUTE(SUBSTITUTE(C151,"(","_"),")","_"),"/","_"),":","_"),"-","_")," ","_"),"__","_")
  )
)</f>
        <v>collection_date</v>
      </c>
      <c r="C151" s="48" t="s">
        <v>982</v>
      </c>
      <c r="D151" s="50" t="s">
        <v>983</v>
      </c>
      <c r="E151" s="49" t="s">
        <v>292</v>
      </c>
      <c r="F151" s="49" t="s">
        <v>795</v>
      </c>
      <c r="G151" s="49" t="s">
        <v>984</v>
      </c>
      <c r="H151" s="49" t="s">
        <v>292</v>
      </c>
      <c r="I151" s="49" t="s">
        <v>985</v>
      </c>
      <c r="J151" s="49" t="s">
        <v>986</v>
      </c>
      <c r="K151" s="49" t="s">
        <v>987</v>
      </c>
      <c r="L151" s="49"/>
      <c r="M151" s="49"/>
      <c r="N151" s="49" t="s">
        <v>988</v>
      </c>
      <c r="O151" s="49" t="s">
        <v>982</v>
      </c>
      <c r="P151" s="49" t="s">
        <v>985</v>
      </c>
      <c r="Q151" s="49" t="s">
        <v>985</v>
      </c>
      <c r="R151" s="49"/>
      <c r="S151" s="49"/>
      <c r="T151" s="49"/>
      <c r="U151" s="49"/>
      <c r="V151" s="50" t="s">
        <v>125</v>
      </c>
      <c r="W151" s="50" t="s">
        <v>126</v>
      </c>
      <c r="X151" s="48" t="s">
        <v>68</v>
      </c>
      <c r="Y151" s="48" t="s">
        <v>81</v>
      </c>
      <c r="Z151" s="48"/>
      <c r="AA151" s="49" t="str">
        <f>"[" &amp; _xlfn.TEXTJOIN(", ", TRUE,
    IF(I151&lt;&gt;"", """" &amp; I$1 &amp; """", ""),
    IF(J151&lt;&gt;"", """" &amp; J$1 &amp; """", ""),
    IF(K151&lt;&gt;"", """" &amp; K$1 &amp; """", ""),
    IF(L151&lt;&gt;"", """" &amp; L$1 &amp; """", ""),
    IF(M151&lt;&gt;"", """" &amp; M$1 &amp; """", ""),    IF(N151&lt;&gt;"", """" &amp; N$1 &amp; """", ""),    IF(O151&lt;&gt;"", """" &amp; O$1 &amp; """", ""),     IF(P151&lt;&gt;"", """" &amp; P$1 &amp; """", ""),     IF(Q151&lt;&gt;"", """" &amp; Q$1 &amp; """", ""), IF(R151&lt;&gt;"", """" &amp; R$1 &amp; """", ""), IF(S151&lt;&gt;"", """" &amp; S$1 &amp; """", ""), IF(T151&lt;&gt;"", """" &amp; T$1 &amp; """", ""), IF(U151&lt;&gt;"", """" &amp; U$1 &amp; """", ""),
    IF(X151&lt;&gt;"", """" &amp; X151 &amp; """", ""), IF(V151&lt;&gt;"", """" &amp; V151 &amp; """", ""), IF(W151&lt;&gt;"", """" &amp; W151 &amp; """", ""),
    IF(Y151&lt;&gt;"", """" &amp; Y151 &amp; """", ""),
    IF(Z151&lt;&gt;"", """" &amp; Z151 &amp; """", "")
) &amp; "]"</f>
        <v>["ENA", "RKI", "MIGS-VI", "NCBI Virus", "BV-BRC", "ENA ERC32", "ENA ERC33", "Sample", "ENA Sample", "VJDB Sample", "Collection"]</v>
      </c>
      <c r="AB151" s="49" t="s">
        <v>949</v>
      </c>
      <c r="AC151" s="48" t="s">
        <v>989</v>
      </c>
      <c r="AD151" s="49"/>
      <c r="AE151" s="49" t="s">
        <v>990</v>
      </c>
      <c r="AF151" s="49" t="s">
        <v>982</v>
      </c>
      <c r="AG151" s="49" t="s">
        <v>991</v>
      </c>
      <c r="AH151" s="49"/>
      <c r="AI151" s="49"/>
      <c r="AJ151" s="49" t="s">
        <v>992</v>
      </c>
      <c r="AK151" s="49" t="s">
        <v>993</v>
      </c>
      <c r="AL151" s="49" t="s">
        <v>984</v>
      </c>
      <c r="AM151" s="49" t="s">
        <v>372</v>
      </c>
      <c r="AN151" s="49"/>
      <c r="AO151" s="49"/>
      <c r="AP151" s="49" t="s">
        <v>994</v>
      </c>
      <c r="AQ151" s="49"/>
      <c r="AR151" s="49"/>
      <c r="AS151" s="49" t="s">
        <v>994</v>
      </c>
      <c r="AT151" s="49"/>
      <c r="AU151" s="49" t="s">
        <v>151</v>
      </c>
      <c r="AV151" s="49" t="s">
        <v>130</v>
      </c>
      <c r="AW151" s="49" t="s">
        <v>130</v>
      </c>
      <c r="AX151" s="54" t="s">
        <v>995</v>
      </c>
      <c r="AY151" s="49" t="s">
        <v>996</v>
      </c>
      <c r="AZ151" s="48" t="s">
        <v>292</v>
      </c>
      <c r="BA151" s="48" t="s">
        <v>72</v>
      </c>
      <c r="BB151" s="49"/>
      <c r="BC151" s="49" t="s">
        <v>73</v>
      </c>
      <c r="BD151" s="49" t="s">
        <v>94</v>
      </c>
      <c r="BE151" s="49"/>
    </row>
    <row r="152" spans="1:186" ht="34.5" customHeight="1">
      <c r="A152" s="98" t="s">
        <v>997</v>
      </c>
      <c r="B152" s="50" t="str">
        <f>LOWER(
  IF(
    RIGHT(
      SUBSTITUTE(SUBSTITUTE(SUBSTITUTE(SUBSTITUTE(SUBSTITUTE(SUBSTITUTE(SUBSTITUTE(C152,"(","_"),")","_"),"/","_"),":","_"),"-","_")," ","_"),"__","_"),
      1
    )="_",
    LEFT(
      SUBSTITUTE(SUBSTITUTE(SUBSTITUTE(SUBSTITUTE(SUBSTITUTE(SUBSTITUTE(SUBSTITUTE(C152,"(","_"),")","_"),"/","_"),":","_"),"-","_")," ","_"),"__","_"),
      LEN(
        SUBSTITUTE(SUBSTITUTE(SUBSTITUTE(SUBSTITUTE(SUBSTITUTE(SUBSTITUTE(SUBSTITUTE(C152,"(","_"),")","_"),"/","_"),":","_"),"-","_")," ","_"),"__","_")
      )-1
    ),
    SUBSTITUTE(SUBSTITUTE(SUBSTITUTE(SUBSTITUTE(SUBSTITUTE(SUBSTITUTE(SUBSTITUTE(C152,"(","_"),")","_"),"/","_"),":","_"),"-","_")," ","_"),"__","_")
  )
)</f>
        <v>country</v>
      </c>
      <c r="C152" s="48" t="s">
        <v>998</v>
      </c>
      <c r="D152" s="50" t="s">
        <v>999</v>
      </c>
      <c r="E152" s="49" t="s">
        <v>64</v>
      </c>
      <c r="F152" s="49" t="s">
        <v>795</v>
      </c>
      <c r="G152" s="49" t="s">
        <v>1000</v>
      </c>
      <c r="H152" s="49" t="s">
        <v>1001</v>
      </c>
      <c r="I152" s="49" t="s">
        <v>1002</v>
      </c>
      <c r="J152" s="49"/>
      <c r="K152" s="49" t="s">
        <v>1003</v>
      </c>
      <c r="L152" s="49"/>
      <c r="M152" s="49"/>
      <c r="N152" s="49" t="s">
        <v>998</v>
      </c>
      <c r="O152" s="49" t="s">
        <v>1004</v>
      </c>
      <c r="P152" s="49" t="s">
        <v>1002</v>
      </c>
      <c r="Q152" s="49" t="s">
        <v>1002</v>
      </c>
      <c r="R152" s="49"/>
      <c r="S152" s="49"/>
      <c r="T152" s="49"/>
      <c r="U152" s="49"/>
      <c r="V152" s="50" t="s">
        <v>125</v>
      </c>
      <c r="W152" s="50" t="s">
        <v>126</v>
      </c>
      <c r="X152" s="48" t="s">
        <v>68</v>
      </c>
      <c r="Y152" s="48" t="s">
        <v>81</v>
      </c>
      <c r="Z152" s="48"/>
      <c r="AA152" s="49" t="str">
        <f>"[" &amp; _xlfn.TEXTJOIN(", ", TRUE,
    IF(I152&lt;&gt;"", """" &amp; I$1 &amp; """", ""),
    IF(J152&lt;&gt;"", """" &amp; J$1 &amp; """", ""),
    IF(K152&lt;&gt;"", """" &amp; K$1 &amp; """", ""),
    IF(L152&lt;&gt;"", """" &amp; L$1 &amp; """", ""),
    IF(M152&lt;&gt;"", """" &amp; M$1 &amp; """", ""),    IF(N152&lt;&gt;"", """" &amp; N$1 &amp; """", ""),    IF(O152&lt;&gt;"", """" &amp; O$1 &amp; """", ""),     IF(P152&lt;&gt;"", """" &amp; P$1 &amp; """", ""),     IF(Q152&lt;&gt;"", """" &amp; Q$1 &amp; """", ""), IF(R152&lt;&gt;"", """" &amp; R$1 &amp; """", ""), IF(S152&lt;&gt;"", """" &amp; S$1 &amp; """", ""), IF(T152&lt;&gt;"", """" &amp; T$1 &amp; """", ""), IF(U152&lt;&gt;"", """" &amp; U$1 &amp; """", ""),
    IF(X152&lt;&gt;"", """" &amp; X152 &amp; """", ""), IF(V152&lt;&gt;"", """" &amp; V152 &amp; """", ""), IF(W152&lt;&gt;"", """" &amp; W152 &amp; """", ""),
    IF(Y152&lt;&gt;"", """" &amp; Y152 &amp; """", ""),
    IF(Z152&lt;&gt;"", """" &amp; Z152 &amp; """", "")
) &amp; "]"</f>
        <v>["ENA", "MIGS-VI", "NCBI Virus", "BV-BRC", "ENA ERC32", "ENA ERC33", "Sample", "ENA Sample", "VJDB Sample", "Collection"]</v>
      </c>
      <c r="AB152" s="49" t="s">
        <v>949</v>
      </c>
      <c r="AC152" s="48"/>
      <c r="AD152" s="49"/>
      <c r="AE152" s="49" t="s">
        <v>990</v>
      </c>
      <c r="AF152" s="49" t="s">
        <v>998</v>
      </c>
      <c r="AG152" s="49" t="s">
        <v>1005</v>
      </c>
      <c r="AH152" s="49"/>
      <c r="AI152" s="49" t="s">
        <v>85</v>
      </c>
      <c r="AJ152" s="49" t="s">
        <v>992</v>
      </c>
      <c r="AK152" s="49" t="s">
        <v>993</v>
      </c>
      <c r="AL152" s="49" t="s">
        <v>1006</v>
      </c>
      <c r="AM152" s="49" t="s">
        <v>351</v>
      </c>
      <c r="AN152" s="49"/>
      <c r="AO152" s="49"/>
      <c r="AP152" s="49" t="s">
        <v>1007</v>
      </c>
      <c r="AQ152" s="49"/>
      <c r="AR152" s="49"/>
      <c r="AS152" s="49" t="s">
        <v>1008</v>
      </c>
      <c r="AT152" s="49"/>
      <c r="AU152" s="49" t="s">
        <v>139</v>
      </c>
      <c r="AV152" s="49" t="s">
        <v>130</v>
      </c>
      <c r="AW152" s="49" t="s">
        <v>130</v>
      </c>
      <c r="AX152" s="54" t="s">
        <v>1009</v>
      </c>
      <c r="AY152" s="49" t="s">
        <v>1010</v>
      </c>
      <c r="AZ152" s="48" t="s">
        <v>106</v>
      </c>
      <c r="BA152" s="48" t="s">
        <v>107</v>
      </c>
      <c r="BB152" s="49"/>
      <c r="BC152" s="49" t="s">
        <v>73</v>
      </c>
      <c r="BD152" s="49" t="s">
        <v>74</v>
      </c>
      <c r="BE152" s="49"/>
    </row>
    <row r="153" spans="1:186" ht="34.5" customHeight="1">
      <c r="A153" s="98" t="s">
        <v>1011</v>
      </c>
      <c r="B153" s="50" t="str">
        <f>LOWER(
  IF(
    RIGHT(
      SUBSTITUTE(SUBSTITUTE(SUBSTITUTE(SUBSTITUTE(SUBSTITUTE(SUBSTITUTE(SUBSTITUTE(C153,"(","_"),")","_"),"/","_"),":","_"),"-","_")," ","_"),"__","_"),
      1
    )="_",
    LEFT(
      SUBSTITUTE(SUBSTITUTE(SUBSTITUTE(SUBSTITUTE(SUBSTITUTE(SUBSTITUTE(SUBSTITUTE(C153,"(","_"),")","_"),"/","_"),":","_"),"-","_")," ","_"),"__","_"),
      LEN(
        SUBSTITUTE(SUBSTITUTE(SUBSTITUTE(SUBSTITUTE(SUBSTITUTE(SUBSTITUTE(SUBSTITUTE(C153,"(","_"),")","_"),"/","_"),":","_"),"-","_")," ","_"),"__","_")
      )-1
    ),
    SUBSTITUTE(SUBSTITUTE(SUBSTITUTE(SUBSTITUTE(SUBSTITUTE(SUBSTITUTE(SUBSTITUTE(C153,"(","_"),")","_"),"/","_"),":","_"),"-","_")," ","_"),"__","_")
  )
)</f>
        <v>genbank_sequence</v>
      </c>
      <c r="C153" s="48" t="s">
        <v>1012</v>
      </c>
      <c r="D153" s="50" t="s">
        <v>1013</v>
      </c>
      <c r="E153" s="49" t="s">
        <v>735</v>
      </c>
      <c r="F153" s="49" t="s">
        <v>795</v>
      </c>
      <c r="G153" s="49" t="s">
        <v>1014</v>
      </c>
      <c r="H153" s="49"/>
      <c r="I153" s="49"/>
      <c r="J153" s="49"/>
      <c r="K153" s="49"/>
      <c r="L153" s="49"/>
      <c r="M153" s="49"/>
      <c r="N153" s="49" t="s">
        <v>1015</v>
      </c>
      <c r="O153" s="49"/>
      <c r="P153" s="49"/>
      <c r="Q153" s="49"/>
      <c r="R153" s="49"/>
      <c r="S153" s="49"/>
      <c r="T153" s="49"/>
      <c r="U153" s="49"/>
      <c r="V153" s="50"/>
      <c r="W153" s="50"/>
      <c r="X153" s="48" t="s">
        <v>736</v>
      </c>
      <c r="Y153" s="48" t="s">
        <v>737</v>
      </c>
      <c r="Z153" s="48"/>
      <c r="AA153" s="49" t="str">
        <f>"[" &amp; _xlfn.TEXTJOIN(", ", TRUE,
    IF(I153&lt;&gt;"", """" &amp; I$1 &amp; """", ""),
    IF(J153&lt;&gt;"", """" &amp; J$1 &amp; """", ""),
    IF(K153&lt;&gt;"", """" &amp; K$1 &amp; """", ""),
    IF(L153&lt;&gt;"", """" &amp; L$1 &amp; """", ""),
    IF(M153&lt;&gt;"", """" &amp; M$1 &amp; """", ""),    IF(N153&lt;&gt;"", """" &amp; N$1 &amp; """", ""),    IF(O153&lt;&gt;"", """" &amp; O$1 &amp; """", ""),     IF(P153&lt;&gt;"", """" &amp; P$1 &amp; """", ""),     IF(Q153&lt;&gt;"", """" &amp; Q$1 &amp; """", ""), IF(R153&lt;&gt;"", """" &amp; R$1 &amp; """", ""), IF(S153&lt;&gt;"", """" &amp; S$1 &amp; """", ""), IF(T153&lt;&gt;"", """" &amp; T$1 &amp; """", ""), IF(U153&lt;&gt;"", """" &amp; U$1 &amp; """", ""),
    IF(X153&lt;&gt;"", """" &amp; X153 &amp; """", ""), IF(V153&lt;&gt;"", """" &amp; V153 &amp; """", ""), IF(W153&lt;&gt;"", """" &amp; W153 &amp; """", ""),
    IF(Y153&lt;&gt;"", """" &amp; Y153 &amp; """", ""),
    IF(Z153&lt;&gt;"", """" &amp; Z153 &amp; """", "")
) &amp; "]"</f>
        <v>["NCBI Virus", "Source", "Flags"]</v>
      </c>
      <c r="AB153" s="49" t="s">
        <v>8</v>
      </c>
      <c r="AC153" s="48"/>
      <c r="AD153" s="49"/>
      <c r="AE153" s="49"/>
      <c r="AF153" s="49" t="s">
        <v>1016</v>
      </c>
      <c r="AG153" s="49" t="s">
        <v>1017</v>
      </c>
      <c r="AH153" s="49"/>
      <c r="AI153" s="49" t="s">
        <v>1018</v>
      </c>
      <c r="AJ153" s="49"/>
      <c r="AK153" s="49"/>
      <c r="AL153" s="49"/>
      <c r="AM153" s="49"/>
      <c r="AN153" s="49"/>
      <c r="AO153" s="49"/>
      <c r="AP153" s="49"/>
      <c r="AQ153" s="49"/>
      <c r="AR153" s="49"/>
      <c r="AS153" s="49"/>
      <c r="AT153" s="49"/>
      <c r="AU153" s="49"/>
      <c r="AV153" s="49"/>
      <c r="AW153" s="49"/>
      <c r="AX153" s="54" t="s">
        <v>1019</v>
      </c>
      <c r="AY153" s="49" t="s">
        <v>1020</v>
      </c>
      <c r="AZ153" s="48"/>
      <c r="BA153" s="48"/>
      <c r="BB153" s="49"/>
      <c r="BC153" s="49" t="s">
        <v>73</v>
      </c>
      <c r="BD153" s="49" t="s">
        <v>108</v>
      </c>
      <c r="BE153" s="49"/>
    </row>
    <row r="154" spans="1:186" ht="34.5" customHeight="1">
      <c r="A154" s="98" t="s">
        <v>1021</v>
      </c>
      <c r="B154" s="50" t="str">
        <f>LOWER(
  IF(
    RIGHT(
      SUBSTITUTE(SUBSTITUTE(SUBSTITUTE(SUBSTITUTE(SUBSTITUTE(SUBSTITUTE(SUBSTITUTE(C154,"(","_"),")","_"),"/","_"),":","_"),"-","_")," ","_"),"__","_"),
      1
    )="_",
    LEFT(
      SUBSTITUTE(SUBSTITUTE(SUBSTITUTE(SUBSTITUTE(SUBSTITUTE(SUBSTITUTE(SUBSTITUTE(C154,"(","_"),")","_"),"/","_"),":","_"),"-","_")," ","_"),"__","_"),
      LEN(
        SUBSTITUTE(SUBSTITUTE(SUBSTITUTE(SUBSTITUTE(SUBSTITUTE(SUBSTITUTE(SUBSTITUTE(C154,"(","_"),")","_"),"/","_"),":","_"),"-","_")," ","_"),"__","_")
      )-1
    ),
    SUBSTITUTE(SUBSTITUTE(SUBSTITUTE(SUBSTITUTE(SUBSTITUTE(SUBSTITUTE(SUBSTITUTE(C154,"(","_"),")","_"),"/","_"),":","_"),"-","_")," ","_"),"__","_")
  )
)</f>
        <v>refseq_sequence</v>
      </c>
      <c r="C154" s="48" t="s">
        <v>1022</v>
      </c>
      <c r="D154" s="50" t="s">
        <v>1023</v>
      </c>
      <c r="E154" s="49" t="s">
        <v>735</v>
      </c>
      <c r="F154" s="49" t="s">
        <v>795</v>
      </c>
      <c r="G154" s="49" t="s">
        <v>1024</v>
      </c>
      <c r="H154" s="49" t="s">
        <v>1025</v>
      </c>
      <c r="I154" s="49"/>
      <c r="J154" s="49"/>
      <c r="K154" s="49"/>
      <c r="L154" s="49"/>
      <c r="M154" s="49"/>
      <c r="N154" s="49" t="s">
        <v>1015</v>
      </c>
      <c r="O154" s="49" t="s">
        <v>1026</v>
      </c>
      <c r="P154" s="49"/>
      <c r="Q154" s="49"/>
      <c r="R154" s="49"/>
      <c r="S154" s="49"/>
      <c r="T154" s="49"/>
      <c r="U154" s="49"/>
      <c r="V154" s="50"/>
      <c r="W154" s="50"/>
      <c r="X154" s="48" t="s">
        <v>736</v>
      </c>
      <c r="Y154" s="48" t="s">
        <v>737</v>
      </c>
      <c r="Z154" s="48"/>
      <c r="AA154" s="49" t="str">
        <f>"[" &amp; _xlfn.TEXTJOIN(", ", TRUE,
    IF(I154&lt;&gt;"", """" &amp; I$1 &amp; """", ""),
    IF(J154&lt;&gt;"", """" &amp; J$1 &amp; """", ""),
    IF(K154&lt;&gt;"", """" &amp; K$1 &amp; """", ""),
    IF(L154&lt;&gt;"", """" &amp; L$1 &amp; """", ""),
    IF(M154&lt;&gt;"", """" &amp; M$1 &amp; """", ""),    IF(N154&lt;&gt;"", """" &amp; N$1 &amp; """", ""),    IF(O154&lt;&gt;"", """" &amp; O$1 &amp; """", ""),     IF(P154&lt;&gt;"", """" &amp; P$1 &amp; """", ""),     IF(Q154&lt;&gt;"", """" &amp; Q$1 &amp; """", ""), IF(R154&lt;&gt;"", """" &amp; R$1 &amp; """", ""), IF(S154&lt;&gt;"", """" &amp; S$1 &amp; """", ""), IF(T154&lt;&gt;"", """" &amp; T$1 &amp; """", ""), IF(U154&lt;&gt;"", """" &amp; U$1 &amp; """", ""),
    IF(X154&lt;&gt;"", """" &amp; X154 &amp; """", ""), IF(V154&lt;&gt;"", """" &amp; V154 &amp; """", ""), IF(W154&lt;&gt;"", """" &amp; W154 &amp; """", ""),
    IF(Y154&lt;&gt;"", """" &amp; Y154 &amp; """", ""),
    IF(Z154&lt;&gt;"", """" &amp; Z154 &amp; """", "")
) &amp; "]"</f>
        <v>["NCBI Virus", "BV-BRC", "Source", "Flags"]</v>
      </c>
      <c r="AB154" s="49" t="s">
        <v>949</v>
      </c>
      <c r="AC154" s="48"/>
      <c r="AD154" s="49"/>
      <c r="AE154" s="49"/>
      <c r="AF154" s="49" t="s">
        <v>1016</v>
      </c>
      <c r="AG154" s="49" t="s">
        <v>1017</v>
      </c>
      <c r="AH154" s="49"/>
      <c r="AI154" s="49" t="s">
        <v>1018</v>
      </c>
      <c r="AJ154" s="49" t="s">
        <v>1027</v>
      </c>
      <c r="AK154" s="49"/>
      <c r="AL154" s="49" t="s">
        <v>1028</v>
      </c>
      <c r="AM154" s="49" t="s">
        <v>372</v>
      </c>
      <c r="AN154" s="49"/>
      <c r="AO154" s="49" t="s">
        <v>1029</v>
      </c>
      <c r="AP154" s="49"/>
      <c r="AQ154" s="49"/>
      <c r="AR154" s="49"/>
      <c r="AS154" s="49"/>
      <c r="AT154" s="49"/>
      <c r="AU154" s="49"/>
      <c r="AV154" s="49"/>
      <c r="AW154" s="49"/>
      <c r="AX154" s="54" t="s">
        <v>1019</v>
      </c>
      <c r="AY154" s="49" t="s">
        <v>1020</v>
      </c>
      <c r="AZ154" s="48"/>
      <c r="BA154" s="48"/>
      <c r="BB154" s="49"/>
      <c r="BC154" s="49" t="s">
        <v>73</v>
      </c>
      <c r="BD154" s="49" t="s">
        <v>108</v>
      </c>
      <c r="BE154" s="49"/>
    </row>
    <row r="155" spans="1:186" ht="34.5" customHeight="1">
      <c r="A155" s="98" t="s">
        <v>1030</v>
      </c>
      <c r="B155" s="50" t="str">
        <f>LOWER(
  IF(
    RIGHT(
      SUBSTITUTE(SUBSTITUTE(SUBSTITUTE(SUBSTITUTE(SUBSTITUTE(SUBSTITUTE(SUBSTITUTE(C155,"(","_"),")","_"),"/","_"),":","_"),"-","_")," ","_"),"__","_"),
      1
    )="_",
    LEFT(
      SUBSTITUTE(SUBSTITUTE(SUBSTITUTE(SUBSTITUTE(SUBSTITUTE(SUBSTITUTE(SUBSTITUTE(C155,"(","_"),")","_"),"/","_"),":","_"),"-","_")," ","_"),"__","_"),
      LEN(
        SUBSTITUTE(SUBSTITUTE(SUBSTITUTE(SUBSTITUTE(SUBSTITUTE(SUBSTITUTE(SUBSTITUTE(C155,"(","_"),")","_"),"/","_"),":","_"),"-","_")," ","_"),"__","_")
      )-1
    ),
    SUBSTITUTE(SUBSTITUTE(SUBSTITUTE(SUBSTITUTE(SUBSTITUTE(SUBSTITUTE(SUBSTITUTE(C155,"(","_"),")","_"),"/","_"),":","_"),"-","_")," ","_"),"__","_")
  )
)</f>
        <v>collection_geo_location</v>
      </c>
      <c r="C155" s="48" t="s">
        <v>1031</v>
      </c>
      <c r="D155" s="50" t="s">
        <v>1032</v>
      </c>
      <c r="E155" s="49" t="s">
        <v>64</v>
      </c>
      <c r="F155" s="49" t="s">
        <v>795</v>
      </c>
      <c r="G155" s="49" t="s">
        <v>1033</v>
      </c>
      <c r="H155" s="49"/>
      <c r="I155" s="49"/>
      <c r="J155" s="49"/>
      <c r="K155" s="49"/>
      <c r="L155" s="49"/>
      <c r="M155" s="49"/>
      <c r="N155" s="49" t="s">
        <v>80</v>
      </c>
      <c r="O155" s="49" t="s">
        <v>1034</v>
      </c>
      <c r="P155" s="49" t="s">
        <v>79</v>
      </c>
      <c r="Q155" s="49" t="s">
        <v>79</v>
      </c>
      <c r="R155" s="49"/>
      <c r="S155" s="49"/>
      <c r="T155" s="49"/>
      <c r="U155" s="49"/>
      <c r="V155" s="50" t="s">
        <v>125</v>
      </c>
      <c r="W155" s="50" t="s">
        <v>126</v>
      </c>
      <c r="X155" s="48" t="s">
        <v>68</v>
      </c>
      <c r="Y155" s="48" t="s">
        <v>81</v>
      </c>
      <c r="Z155" s="48"/>
      <c r="AA155" s="49" t="str">
        <f>"[" &amp; _xlfn.TEXTJOIN(", ", TRUE,
    IF(I155&lt;&gt;"", """" &amp; I$1 &amp; """", ""),
    IF(J155&lt;&gt;"", """" &amp; J$1 &amp; """", ""),
    IF(K155&lt;&gt;"", """" &amp; K$1 &amp; """", ""),
    IF(L155&lt;&gt;"", """" &amp; L$1 &amp; """", ""),
    IF(M155&lt;&gt;"", """" &amp; M$1 &amp; """", ""),    IF(N155&lt;&gt;"", """" &amp; N$1 &amp; """", ""),    IF(O155&lt;&gt;"", """" &amp; O$1 &amp; """", ""),     IF(P155&lt;&gt;"", """" &amp; P$1 &amp; """", ""),     IF(Q155&lt;&gt;"", """" &amp; Q$1 &amp; """", ""), IF(R155&lt;&gt;"", """" &amp; R$1 &amp; """", ""), IF(S155&lt;&gt;"", """" &amp; S$1 &amp; """", ""), IF(T155&lt;&gt;"", """" &amp; T$1 &amp; """", ""), IF(U155&lt;&gt;"", """" &amp; U$1 &amp; """", ""),
    IF(X155&lt;&gt;"", """" &amp; X155 &amp; """", ""), IF(V155&lt;&gt;"", """" &amp; V155 &amp; """", ""), IF(W155&lt;&gt;"", """" &amp; W155 &amp; """", ""),
    IF(Y155&lt;&gt;"", """" &amp; Y155 &amp; """", ""),
    IF(Z155&lt;&gt;"", """" &amp; Z155 &amp; """", "")
) &amp; "]"</f>
        <v>["NCBI Virus", "BV-BRC", "ENA ERC32", "ENA ERC33", "Sample", "ENA Sample", "VJDB Sample", "Collection"]</v>
      </c>
      <c r="AB155" s="49" t="s">
        <v>949</v>
      </c>
      <c r="AC155" s="48" t="s">
        <v>1035</v>
      </c>
      <c r="AD155" s="49"/>
      <c r="AE155" s="49"/>
      <c r="AF155" s="49" t="s">
        <v>83</v>
      </c>
      <c r="AG155" s="49" t="s">
        <v>84</v>
      </c>
      <c r="AH155" s="49"/>
      <c r="AI155" s="49" t="s">
        <v>85</v>
      </c>
      <c r="AJ155" s="49" t="s">
        <v>992</v>
      </c>
      <c r="AK155" s="49" t="s">
        <v>993</v>
      </c>
      <c r="AL155" s="49" t="s">
        <v>1036</v>
      </c>
      <c r="AM155" s="49" t="s">
        <v>351</v>
      </c>
      <c r="AN155" s="49"/>
      <c r="AO155" s="49"/>
      <c r="AP155" s="49" t="s">
        <v>1037</v>
      </c>
      <c r="AQ155" s="49"/>
      <c r="AR155" s="49"/>
      <c r="AS155" s="49" t="s">
        <v>1037</v>
      </c>
      <c r="AT155" s="49"/>
      <c r="AU155" s="49" t="s">
        <v>151</v>
      </c>
      <c r="AV155" s="49"/>
      <c r="AW155" s="49"/>
      <c r="AX155" s="54" t="s">
        <v>1038</v>
      </c>
      <c r="AY155" s="49" t="s">
        <v>1039</v>
      </c>
      <c r="AZ155" s="48" t="s">
        <v>64</v>
      </c>
      <c r="BA155" s="48" t="s">
        <v>72</v>
      </c>
      <c r="BB155" s="49"/>
      <c r="BC155" s="49" t="s">
        <v>73</v>
      </c>
      <c r="BD155" s="49" t="s">
        <v>108</v>
      </c>
      <c r="BE155" s="49"/>
    </row>
    <row r="156" spans="1:186" ht="34.5" customHeight="1">
      <c r="A156" s="98" t="s">
        <v>1040</v>
      </c>
      <c r="B156" s="50" t="str">
        <f>LOWER(
  IF(
    RIGHT(
      SUBSTITUTE(SUBSTITUTE(SUBSTITUTE(SUBSTITUTE(SUBSTITUTE(SUBSTITUTE(SUBSTITUTE(C156,"(","_"),")","_"),"/","_"),":","_"),"-","_")," ","_"),"__","_"),
      1
    )="_",
    LEFT(
      SUBSTITUTE(SUBSTITUTE(SUBSTITUTE(SUBSTITUTE(SUBSTITUTE(SUBSTITUTE(SUBSTITUTE(C156,"(","_"),")","_"),"/","_"),":","_"),"-","_")," ","_"),"__","_"),
      LEN(
        SUBSTITUTE(SUBSTITUTE(SUBSTITUTE(SUBSTITUTE(SUBSTITUTE(SUBSTITUTE(SUBSTITUTE(C156,"(","_"),")","_"),"/","_"),":","_"),"-","_")," ","_"),"__","_")
      )-1
    ),
    SUBSTITUTE(SUBSTITUTE(SUBSTITUTE(SUBSTITUTE(SUBSTITUTE(SUBSTITUTE(SUBSTITUTE(C156,"(","_"),")","_"),"/","_"),":","_"),"-","_")," ","_"),"__","_")
  )
)</f>
        <v>host_common_name</v>
      </c>
      <c r="C156" s="48" t="s">
        <v>1041</v>
      </c>
      <c r="D156" s="50" t="s">
        <v>1042</v>
      </c>
      <c r="E156" s="49" t="s">
        <v>64</v>
      </c>
      <c r="F156" s="49" t="s">
        <v>795</v>
      </c>
      <c r="G156" s="49" t="s">
        <v>1043</v>
      </c>
      <c r="H156" s="49"/>
      <c r="I156" s="49" t="s">
        <v>1044</v>
      </c>
      <c r="J156" s="49"/>
      <c r="K156" s="49"/>
      <c r="L156" s="49"/>
      <c r="M156" s="49"/>
      <c r="N156" s="49" t="s">
        <v>137</v>
      </c>
      <c r="O156" s="49" t="s">
        <v>1041</v>
      </c>
      <c r="P156" s="49" t="s">
        <v>1044</v>
      </c>
      <c r="Q156" s="49" t="s">
        <v>1044</v>
      </c>
      <c r="R156" s="49"/>
      <c r="S156" s="49"/>
      <c r="T156" s="49"/>
      <c r="U156" s="49"/>
      <c r="V156" s="50" t="s">
        <v>125</v>
      </c>
      <c r="W156" s="50" t="s">
        <v>126</v>
      </c>
      <c r="X156" s="48" t="s">
        <v>137</v>
      </c>
      <c r="Y156" s="48" t="s">
        <v>1045</v>
      </c>
      <c r="Z156" s="48"/>
      <c r="AA156" s="49" t="str">
        <f>"[" &amp; _xlfn.TEXTJOIN(", ", TRUE,
    IF(I156&lt;&gt;"", """" &amp; I$1 &amp; """", ""),
    IF(J156&lt;&gt;"", """" &amp; J$1 &amp; """", ""),
    IF(K156&lt;&gt;"", """" &amp; K$1 &amp; """", ""),
    IF(L156&lt;&gt;"", """" &amp; L$1 &amp; """", ""),
    IF(M156&lt;&gt;"", """" &amp; M$1 &amp; """", ""),    IF(N156&lt;&gt;"", """" &amp; N$1 &amp; """", ""),    IF(O156&lt;&gt;"", """" &amp; O$1 &amp; """", ""),     IF(P156&lt;&gt;"", """" &amp; P$1 &amp; """", ""),     IF(Q156&lt;&gt;"", """" &amp; Q$1 &amp; """", ""), IF(R156&lt;&gt;"", """" &amp; R$1 &amp; """", ""), IF(S156&lt;&gt;"", """" &amp; S$1 &amp; """", ""), IF(T156&lt;&gt;"", """" &amp; T$1 &amp; """", ""), IF(U156&lt;&gt;"", """" &amp; U$1 &amp; """", ""),
    IF(X156&lt;&gt;"", """" &amp; X156 &amp; """", ""), IF(V156&lt;&gt;"", """" &amp; V156 &amp; """", ""), IF(W156&lt;&gt;"", """" &amp; W156 &amp; """", ""),
    IF(Y156&lt;&gt;"", """" &amp; Y156 &amp; """", ""),
    IF(Z156&lt;&gt;"", """" &amp; Z156 &amp; """", "")
) &amp; "]"</f>
        <v>["ENA", "NCBI Virus", "BV-BRC", "ENA ERC32", "ENA ERC33", "Host", "ENA Sample", "VJDB Sample", "Host Taxonomy"]</v>
      </c>
      <c r="AB156" s="49" t="s">
        <v>949</v>
      </c>
      <c r="AC156" s="48"/>
      <c r="AD156" s="49"/>
      <c r="AE156" s="49" t="s">
        <v>82</v>
      </c>
      <c r="AF156" s="49" t="s">
        <v>137</v>
      </c>
      <c r="AG156" s="49" t="s">
        <v>1046</v>
      </c>
      <c r="AH156" s="49"/>
      <c r="AI156" s="49"/>
      <c r="AJ156" s="49" t="s">
        <v>901</v>
      </c>
      <c r="AK156" s="49"/>
      <c r="AL156" s="49" t="s">
        <v>1047</v>
      </c>
      <c r="AM156" s="49" t="s">
        <v>351</v>
      </c>
      <c r="AN156" s="49"/>
      <c r="AO156" s="49"/>
      <c r="AP156" s="49" t="s">
        <v>1048</v>
      </c>
      <c r="AQ156" s="49"/>
      <c r="AR156" s="49"/>
      <c r="AS156" s="49" t="s">
        <v>1048</v>
      </c>
      <c r="AT156" s="49"/>
      <c r="AU156" s="49" t="s">
        <v>151</v>
      </c>
      <c r="AV156" s="49" t="s">
        <v>130</v>
      </c>
      <c r="AW156" s="49" t="s">
        <v>130</v>
      </c>
      <c r="AX156" s="54" t="s">
        <v>1049</v>
      </c>
      <c r="AY156" s="49" t="s">
        <v>131</v>
      </c>
      <c r="AZ156" s="48" t="s">
        <v>182</v>
      </c>
      <c r="BA156" s="48" t="s">
        <v>72</v>
      </c>
      <c r="BB156" s="49"/>
      <c r="BC156" s="49" t="s">
        <v>73</v>
      </c>
      <c r="BD156" s="49" t="s">
        <v>142</v>
      </c>
      <c r="BE156" s="49" t="s">
        <v>60</v>
      </c>
    </row>
    <row r="157" spans="1:186" ht="34.5" customHeight="1">
      <c r="A157" s="98" t="s">
        <v>1050</v>
      </c>
      <c r="B157" s="50" t="str">
        <f>LOWER(
  IF(
    RIGHT(
      SUBSTITUTE(SUBSTITUTE(SUBSTITUTE(SUBSTITUTE(SUBSTITUTE(SUBSTITUTE(SUBSTITUTE(C157,"(","_"),")","_"),"/","_"),":","_"),"-","_")," ","_"),"__","_"),
      1
    )="_",
    LEFT(
      SUBSTITUTE(SUBSTITUTE(SUBSTITUTE(SUBSTITUTE(SUBSTITUTE(SUBSTITUTE(SUBSTITUTE(C157,"(","_"),")","_"),"/","_"),":","_"),"-","_")," ","_"),"__","_"),
      LEN(
        SUBSTITUTE(SUBSTITUTE(SUBSTITUTE(SUBSTITUTE(SUBSTITUTE(SUBSTITUTE(SUBSTITUTE(C157,"(","_"),")","_"),"/","_"),":","_"),"-","_")," ","_"),"__","_")
      )-1
    ),
    SUBSTITUTE(SUBSTITUTE(SUBSTITUTE(SUBSTITUTE(SUBSTITUTE(SUBSTITUTE(SUBSTITUTE(C157,"(","_"),")","_"),"/","_"),":","_"),"-","_")," ","_"),"__","_")
  )
)</f>
        <v>sequence_length</v>
      </c>
      <c r="C157" s="48" t="s">
        <v>1051</v>
      </c>
      <c r="D157" s="50" t="s">
        <v>1052</v>
      </c>
      <c r="E157" s="49" t="s">
        <v>334</v>
      </c>
      <c r="F157" s="49" t="s">
        <v>795</v>
      </c>
      <c r="G157" s="49" t="s">
        <v>1053</v>
      </c>
      <c r="H157" s="49" t="s">
        <v>1053</v>
      </c>
      <c r="I157" s="49"/>
      <c r="J157" s="49"/>
      <c r="K157" s="49"/>
      <c r="L157" s="49"/>
      <c r="M157" s="49"/>
      <c r="N157" s="49" t="s">
        <v>1054</v>
      </c>
      <c r="O157" s="49" t="s">
        <v>1055</v>
      </c>
      <c r="P157" s="49"/>
      <c r="Q157" s="49"/>
      <c r="R157" s="73" t="s">
        <v>1053</v>
      </c>
      <c r="S157" s="73" t="s">
        <v>1053</v>
      </c>
      <c r="T157" s="73" t="s">
        <v>1053</v>
      </c>
      <c r="U157" s="49"/>
      <c r="V157" s="50"/>
      <c r="W157" s="50"/>
      <c r="X157" s="48" t="s">
        <v>68</v>
      </c>
      <c r="Y157" s="48" t="s">
        <v>69</v>
      </c>
      <c r="Z157" s="48" t="s">
        <v>93</v>
      </c>
      <c r="AA157" s="49" t="str">
        <f>"[" &amp; _xlfn.TEXTJOIN(", ", TRUE,
    IF(I157&lt;&gt;"", """" &amp; I$1 &amp; """", ""),
    IF(J157&lt;&gt;"", """" &amp; J$1 &amp; """", ""),
    IF(K157&lt;&gt;"", """" &amp; K$1 &amp; """", ""),
    IF(L157&lt;&gt;"", """" &amp; L$1 &amp; """", ""),
    IF(M157&lt;&gt;"", """" &amp; M$1 &amp; """", ""),    IF(N157&lt;&gt;"", """" &amp; N$1 &amp; """", ""),    IF(O157&lt;&gt;"", """" &amp; O$1 &amp; """", ""),     IF(P157&lt;&gt;"", """" &amp; P$1 &amp; """", ""),     IF(Q157&lt;&gt;"", """" &amp; Q$1 &amp; """", ""), IF(R157&lt;&gt;"", """" &amp; R$1 &amp; """", ""), IF(S157&lt;&gt;"", """" &amp; S$1 &amp; """", ""), IF(T157&lt;&gt;"", """" &amp; T$1 &amp; """", ""), IF(U157&lt;&gt;"", """" &amp; U$1 &amp; """", ""),
    IF(X157&lt;&gt;"", """" &amp; X157 &amp; """", ""), IF(V157&lt;&gt;"", """" &amp; V157 &amp; """", ""), IF(W157&lt;&gt;"", """" &amp; W157 &amp; """", ""),
    IF(Y157&lt;&gt;"", """" &amp; Y157 &amp; """", ""),
    IF(Z157&lt;&gt;"", """" &amp; Z157 &amp; """", "")
) &amp; "]"</f>
        <v>["NCBI Virus", "BV-BRC", "IMG/VR", "PHD", "PhiSpy", "Sample", "Sequence", "Workflows"]</v>
      </c>
      <c r="AB157" s="49" t="s">
        <v>949</v>
      </c>
      <c r="AC157" s="48" t="s">
        <v>1056</v>
      </c>
      <c r="AD157" s="49"/>
      <c r="AE157" s="49"/>
      <c r="AF157" s="49" t="s">
        <v>1054</v>
      </c>
      <c r="AG157" s="49" t="s">
        <v>1057</v>
      </c>
      <c r="AH157" s="49"/>
      <c r="AI157" s="49"/>
      <c r="AJ157" s="49" t="s">
        <v>1058</v>
      </c>
      <c r="AK157" s="49" t="s">
        <v>1058</v>
      </c>
      <c r="AL157" s="49" t="s">
        <v>1059</v>
      </c>
      <c r="AM157" s="49" t="s">
        <v>1060</v>
      </c>
      <c r="AN157" s="49"/>
      <c r="AO157" s="49"/>
      <c r="AP157" s="49"/>
      <c r="AQ157" s="49"/>
      <c r="AR157" s="49"/>
      <c r="AS157" s="49"/>
      <c r="AT157" s="49"/>
      <c r="AU157" s="49"/>
      <c r="AV157" s="49"/>
      <c r="AW157" s="49"/>
      <c r="AX157" s="54" t="s">
        <v>1061</v>
      </c>
      <c r="AY157" s="49" t="s">
        <v>1062</v>
      </c>
      <c r="AZ157" s="48" t="s">
        <v>64</v>
      </c>
      <c r="BA157" s="48" t="s">
        <v>119</v>
      </c>
      <c r="BB157" s="49"/>
      <c r="BC157" s="49" t="s">
        <v>73</v>
      </c>
      <c r="BD157" s="49" t="s">
        <v>94</v>
      </c>
      <c r="BE157" s="49"/>
    </row>
    <row r="158" spans="1:186" ht="34.5" customHeight="1">
      <c r="A158" s="98" t="s">
        <v>1063</v>
      </c>
      <c r="B158" s="50" t="str">
        <f>LOWER(
  IF(
    RIGHT(
      SUBSTITUTE(SUBSTITUTE(SUBSTITUTE(SUBSTITUTE(SUBSTITUTE(SUBSTITUTE(SUBSTITUTE(C158,"(","_"),")","_"),"/","_"),":","_"),"-","_")," ","_"),"__","_"),
      1
    )="_",
    LEFT(
      SUBSTITUTE(SUBSTITUTE(SUBSTITUTE(SUBSTITUTE(SUBSTITUTE(SUBSTITUTE(SUBSTITUTE(C158,"(","_"),")","_"),"/","_"),":","_"),"-","_")," ","_"),"__","_"),
      LEN(
        SUBSTITUTE(SUBSTITUTE(SUBSTITUTE(SUBSTITUTE(SUBSTITUTE(SUBSTITUTE(SUBSTITUTE(C158,"(","_"),")","_"),"/","_"),":","_"),"-","_")," ","_"),"__","_")
      )-1
    ),
    SUBSTITUTE(SUBSTITUTE(SUBSTITUTE(SUBSTITUTE(SUBSTITUTE(SUBSTITUTE(SUBSTITUTE(C158,"(","_"),")","_"),"/","_"),":","_"),"-","_")," ","_"),"__","_")
  )
)</f>
        <v>molecule_type</v>
      </c>
      <c r="C158" s="48" t="s">
        <v>1064</v>
      </c>
      <c r="D158" s="50" t="s">
        <v>1065</v>
      </c>
      <c r="E158" s="49" t="s">
        <v>98</v>
      </c>
      <c r="F158" s="49" t="s">
        <v>795</v>
      </c>
      <c r="G158" s="49" t="s">
        <v>1066</v>
      </c>
      <c r="H158" s="49" t="s">
        <v>1066</v>
      </c>
      <c r="I158" s="49" t="s">
        <v>1067</v>
      </c>
      <c r="J158" s="49"/>
      <c r="K158" s="49"/>
      <c r="L158" s="49"/>
      <c r="M158" s="49"/>
      <c r="N158" s="49" t="s">
        <v>1068</v>
      </c>
      <c r="O158" s="49"/>
      <c r="P158" s="49"/>
      <c r="Q158" s="49"/>
      <c r="R158" s="49"/>
      <c r="S158" s="49"/>
      <c r="T158" s="49"/>
      <c r="U158" s="49"/>
      <c r="V158" s="50"/>
      <c r="W158" s="50"/>
      <c r="X158" s="48" t="s">
        <v>68</v>
      </c>
      <c r="Y158" s="48" t="s">
        <v>323</v>
      </c>
      <c r="Z158" s="48"/>
      <c r="AA158" s="49" t="str">
        <f>"[" &amp; _xlfn.TEXTJOIN(", ", TRUE,
    IF(I158&lt;&gt;"", """" &amp; I$1 &amp; """", ""),
    IF(J158&lt;&gt;"", """" &amp; J$1 &amp; """", ""),
    IF(K158&lt;&gt;"", """" &amp; K$1 &amp; """", ""),
    IF(L158&lt;&gt;"", """" &amp; L$1 &amp; """", ""),
    IF(M158&lt;&gt;"", """" &amp; M$1 &amp; """", ""),    IF(N158&lt;&gt;"", """" &amp; N$1 &amp; """", ""),    IF(O158&lt;&gt;"", """" &amp; O$1 &amp; """", ""),     IF(P158&lt;&gt;"", """" &amp; P$1 &amp; """", ""),     IF(Q158&lt;&gt;"", """" &amp; Q$1 &amp; """", ""), IF(R158&lt;&gt;"", """" &amp; R$1 &amp; """", ""), IF(S158&lt;&gt;"", """" &amp; S$1 &amp; """", ""), IF(T158&lt;&gt;"", """" &amp; T$1 &amp; """", ""), IF(U158&lt;&gt;"", """" &amp; U$1 &amp; """", ""),
    IF(X158&lt;&gt;"", """" &amp; X158 &amp; """", ""), IF(V158&lt;&gt;"", """" &amp; V158 &amp; """", ""), IF(W158&lt;&gt;"", """" &amp; W158 &amp; """", ""),
    IF(Y158&lt;&gt;"", """" &amp; Y158 &amp; """", ""),
    IF(Z158&lt;&gt;"", """" &amp; Z158 &amp; """", "")
) &amp; "]"</f>
        <v>["ENA", "NCBI Virus", "Sample", "Virus Info"]</v>
      </c>
      <c r="AB158" s="49" t="s">
        <v>8</v>
      </c>
      <c r="AC158" s="48" t="s">
        <v>1069</v>
      </c>
      <c r="AD158" s="49"/>
      <c r="AE158" s="49"/>
      <c r="AF158" s="49" t="s">
        <v>1064</v>
      </c>
      <c r="AG158" s="49" t="s">
        <v>1070</v>
      </c>
      <c r="AH158" s="49"/>
      <c r="AI158" s="49"/>
      <c r="AJ158" s="49"/>
      <c r="AK158" s="49"/>
      <c r="AL158" s="49"/>
      <c r="AM158" s="49"/>
      <c r="AN158" s="49"/>
      <c r="AO158" s="49"/>
      <c r="AP158" s="49"/>
      <c r="AQ158" s="49"/>
      <c r="AR158" s="49"/>
      <c r="AS158" s="49"/>
      <c r="AT158" s="49"/>
      <c r="AU158" s="49"/>
      <c r="AV158" s="49" t="s">
        <v>227</v>
      </c>
      <c r="AW158" s="49" t="s">
        <v>227</v>
      </c>
      <c r="AX158" s="54" t="s">
        <v>1071</v>
      </c>
      <c r="AY158" s="49" t="s">
        <v>1072</v>
      </c>
      <c r="AZ158" s="48" t="s">
        <v>106</v>
      </c>
      <c r="BA158" s="48" t="s">
        <v>107</v>
      </c>
      <c r="BB158" s="49"/>
      <c r="BC158" s="49" t="s">
        <v>73</v>
      </c>
      <c r="BD158" s="49" t="s">
        <v>108</v>
      </c>
      <c r="BE158" s="49"/>
    </row>
    <row r="159" spans="1:186" ht="34.5" customHeight="1">
      <c r="A159" s="98" t="s">
        <v>1073</v>
      </c>
      <c r="B159" s="50" t="str">
        <f>LOWER(
  IF(
    RIGHT(
      SUBSTITUTE(SUBSTITUTE(SUBSTITUTE(SUBSTITUTE(SUBSTITUTE(SUBSTITUTE(SUBSTITUTE(C159,"(","_"),")","_"),"/","_"),":","_"),"-","_")," ","_"),"__","_"),
      1
    )="_",
    LEFT(
      SUBSTITUTE(SUBSTITUTE(SUBSTITUTE(SUBSTITUTE(SUBSTITUTE(SUBSTITUTE(SUBSTITUTE(C159,"(","_"),")","_"),"/","_"),":","_"),"-","_")," ","_"),"__","_"),
      LEN(
        SUBSTITUTE(SUBSTITUTE(SUBSTITUTE(SUBSTITUTE(SUBSTITUTE(SUBSTITUTE(SUBSTITUTE(C159,"(","_"),")","_"),"/","_"),":","_"),"-","_")," ","_"),"__","_")
      )-1
    ),
    SUBSTITUTE(SUBSTITUTE(SUBSTITUTE(SUBSTITUTE(SUBSTITUTE(SUBSTITUTE(SUBSTITUTE(C159,"(","_"),")","_"),"/","_"),":","_"),"-","_")," ","_"),"__","_")
  )
)</f>
        <v>genome_completeness</v>
      </c>
      <c r="C159" s="48" t="s">
        <v>1074</v>
      </c>
      <c r="D159" s="50" t="s">
        <v>1075</v>
      </c>
      <c r="E159" s="49" t="s">
        <v>98</v>
      </c>
      <c r="F159" s="49" t="s">
        <v>795</v>
      </c>
      <c r="G159" s="49" t="s">
        <v>1076</v>
      </c>
      <c r="H159" s="49" t="s">
        <v>1077</v>
      </c>
      <c r="I159" s="49"/>
      <c r="J159" s="49"/>
      <c r="K159" s="49"/>
      <c r="L159" s="49"/>
      <c r="M159" s="49"/>
      <c r="N159" s="49" t="s">
        <v>1078</v>
      </c>
      <c r="O159" s="49"/>
      <c r="P159" s="49"/>
      <c r="Q159" s="49"/>
      <c r="R159" s="49"/>
      <c r="S159" s="49"/>
      <c r="T159" s="49"/>
      <c r="U159" s="49"/>
      <c r="V159" s="50"/>
      <c r="W159" s="50"/>
      <c r="X159" s="48" t="s">
        <v>68</v>
      </c>
      <c r="Y159" s="48" t="s">
        <v>69</v>
      </c>
      <c r="Z159" s="48" t="s">
        <v>93</v>
      </c>
      <c r="AA159" s="49" t="str">
        <f>"[" &amp; _xlfn.TEXTJOIN(", ", TRUE,
    IF(I159&lt;&gt;"", """" &amp; I$1 &amp; """", ""),
    IF(J159&lt;&gt;"", """" &amp; J$1 &amp; """", ""),
    IF(K159&lt;&gt;"", """" &amp; K$1 &amp; """", ""),
    IF(L159&lt;&gt;"", """" &amp; L$1 &amp; """", ""),
    IF(M159&lt;&gt;"", """" &amp; M$1 &amp; """", ""),    IF(N159&lt;&gt;"", """" &amp; N$1 &amp; """", ""),    IF(O159&lt;&gt;"", """" &amp; O$1 &amp; """", ""),     IF(P159&lt;&gt;"", """" &amp; P$1 &amp; """", ""),     IF(Q159&lt;&gt;"", """" &amp; Q$1 &amp; """", ""), IF(R159&lt;&gt;"", """" &amp; R$1 &amp; """", ""), IF(S159&lt;&gt;"", """" &amp; S$1 &amp; """", ""), IF(T159&lt;&gt;"", """" &amp; T$1 &amp; """", ""), IF(U159&lt;&gt;"", """" &amp; U$1 &amp; """", ""),
    IF(X159&lt;&gt;"", """" &amp; X159 &amp; """", ""), IF(V159&lt;&gt;"", """" &amp; V159 &amp; """", ""), IF(W159&lt;&gt;"", """" &amp; W159 &amp; """", ""),
    IF(Y159&lt;&gt;"", """" &amp; Y159 &amp; """", ""),
    IF(Z159&lt;&gt;"", """" &amp; Z159 &amp; """", "")
) &amp; "]"</f>
        <v>["NCBI Virus", "Sample", "Sequence", "Workflows"]</v>
      </c>
      <c r="AB159" s="49" t="s">
        <v>8</v>
      </c>
      <c r="AC159" s="48"/>
      <c r="AD159" s="49"/>
      <c r="AE159" s="49"/>
      <c r="AF159" s="49" t="s">
        <v>1079</v>
      </c>
      <c r="AG159" s="49" t="s">
        <v>1080</v>
      </c>
      <c r="AH159" s="49"/>
      <c r="AI159" s="49"/>
      <c r="AJ159" s="49"/>
      <c r="AK159" s="49"/>
      <c r="AL159" s="49"/>
      <c r="AM159" s="49"/>
      <c r="AN159" s="49"/>
      <c r="AO159" s="49"/>
      <c r="AP159" s="49"/>
      <c r="AQ159" s="49"/>
      <c r="AR159" s="49"/>
      <c r="AS159" s="49"/>
      <c r="AT159" s="49"/>
      <c r="AU159" s="49"/>
      <c r="AV159" s="49"/>
      <c r="AW159" s="49"/>
      <c r="AX159" s="54" t="s">
        <v>1081</v>
      </c>
      <c r="AY159" s="49" t="s">
        <v>1082</v>
      </c>
      <c r="AZ159" s="48" t="s">
        <v>106</v>
      </c>
      <c r="BA159" s="48" t="s">
        <v>107</v>
      </c>
      <c r="BB159" s="49"/>
      <c r="BC159" s="49" t="s">
        <v>73</v>
      </c>
      <c r="BD159" s="49" t="s">
        <v>142</v>
      </c>
      <c r="BE159" s="49"/>
      <c r="GD159" s="71"/>
    </row>
    <row r="160" spans="1:186" ht="34.5" customHeight="1">
      <c r="A160" s="98" t="s">
        <v>1083</v>
      </c>
      <c r="B160" s="50" t="str">
        <f>LOWER(
  IF(
    RIGHT(
      SUBSTITUTE(SUBSTITUTE(SUBSTITUTE(SUBSTITUTE(SUBSTITUTE(SUBSTITUTE(SUBSTITUTE(C160,"(","_"),")","_"),"/","_"),":","_"),"-","_")," ","_"),"__","_"),
      1
    )="_",
    LEFT(
      SUBSTITUTE(SUBSTITUTE(SUBSTITUTE(SUBSTITUTE(SUBSTITUTE(SUBSTITUTE(SUBSTITUTE(C160,"(","_"),")","_"),"/","_"),":","_"),"-","_")," ","_"),"__","_"),
      LEN(
        SUBSTITUTE(SUBSTITUTE(SUBSTITUTE(SUBSTITUTE(SUBSTITUTE(SUBSTITUTE(SUBSTITUTE(C160,"(","_"),")","_"),"/","_"),":","_"),"-","_")," ","_"),"__","_")
      )-1
    ),
    SUBSTITUTE(SUBSTITUTE(SUBSTITUTE(SUBSTITUTE(SUBSTITUTE(SUBSTITUTE(SUBSTITUTE(C160,"(","_"),")","_"),"/","_"),":","_"),"-","_")," ","_"),"__","_")
  )
)</f>
        <v>organism_name</v>
      </c>
      <c r="C160" s="48" t="s">
        <v>1084</v>
      </c>
      <c r="D160" s="50" t="s">
        <v>1085</v>
      </c>
      <c r="E160" s="49" t="s">
        <v>64</v>
      </c>
      <c r="F160" s="49" t="s">
        <v>795</v>
      </c>
      <c r="G160" s="49"/>
      <c r="H160" s="49"/>
      <c r="I160" s="49"/>
      <c r="J160" s="49"/>
      <c r="K160" s="49"/>
      <c r="L160" s="49"/>
      <c r="M160" s="49"/>
      <c r="N160" s="49" t="s">
        <v>1086</v>
      </c>
      <c r="O160" s="49"/>
      <c r="P160" s="49"/>
      <c r="Q160" s="49"/>
      <c r="R160" s="49"/>
      <c r="S160" s="49" t="s">
        <v>1087</v>
      </c>
      <c r="T160" s="49"/>
      <c r="U160" s="49"/>
      <c r="V160" s="50"/>
      <c r="W160" s="50"/>
      <c r="X160" s="48" t="s">
        <v>68</v>
      </c>
      <c r="Y160" s="48" t="s">
        <v>323</v>
      </c>
      <c r="Z160" s="48"/>
      <c r="AA160" s="49" t="str">
        <f>"[" &amp; _xlfn.TEXTJOIN(", ", TRUE,
    IF(I160&lt;&gt;"", """" &amp; I$1 &amp; """", ""),
    IF(J160&lt;&gt;"", """" &amp; J$1 &amp; """", ""),
    IF(K160&lt;&gt;"", """" &amp; K$1 &amp; """", ""),
    IF(L160&lt;&gt;"", """" &amp; L$1 &amp; """", ""),
    IF(M160&lt;&gt;"", """" &amp; M$1 &amp; """", ""),    IF(N160&lt;&gt;"", """" &amp; N$1 &amp; """", ""),    IF(O160&lt;&gt;"", """" &amp; O$1 &amp; """", ""),     IF(P160&lt;&gt;"", """" &amp; P$1 &amp; """", ""),     IF(Q160&lt;&gt;"", """" &amp; Q$1 &amp; """", ""), IF(R160&lt;&gt;"", """" &amp; R$1 &amp; """", ""), IF(S160&lt;&gt;"", """" &amp; S$1 &amp; """", ""), IF(T160&lt;&gt;"", """" &amp; T$1 &amp; """", ""), IF(U160&lt;&gt;"", """" &amp; U$1 &amp; """", ""),
    IF(X160&lt;&gt;"", """" &amp; X160 &amp; """", ""), IF(V160&lt;&gt;"", """" &amp; V160 &amp; """", ""), IF(W160&lt;&gt;"", """" &amp; W160 &amp; """", ""),
    IF(Y160&lt;&gt;"", """" &amp; Y160 &amp; """", ""),
    IF(Z160&lt;&gt;"", """" &amp; Z160 &amp; """", "")
) &amp; "]"</f>
        <v>["NCBI Virus", "PHD", "Sample", "Virus Info"]</v>
      </c>
      <c r="AB160" s="49" t="s">
        <v>8</v>
      </c>
      <c r="AC160" s="48" t="s">
        <v>1088</v>
      </c>
      <c r="AD160" s="49" t="s">
        <v>1089</v>
      </c>
      <c r="AE160" s="49"/>
      <c r="AF160" s="49" t="s">
        <v>1084</v>
      </c>
      <c r="AG160" s="49" t="s">
        <v>1090</v>
      </c>
      <c r="AH160" s="49"/>
      <c r="AI160" s="49"/>
      <c r="AJ160" s="49"/>
      <c r="AK160" s="49"/>
      <c r="AL160" s="49"/>
      <c r="AM160" s="49"/>
      <c r="AN160" s="49"/>
      <c r="AO160" s="49"/>
      <c r="AP160" s="49"/>
      <c r="AQ160" s="49"/>
      <c r="AR160" s="49"/>
      <c r="AS160" s="49"/>
      <c r="AT160" s="49"/>
      <c r="AU160" s="49"/>
      <c r="AV160" s="49"/>
      <c r="AW160" s="49"/>
      <c r="AX160" s="54" t="s">
        <v>1091</v>
      </c>
      <c r="AY160" s="49" t="s">
        <v>1092</v>
      </c>
      <c r="AZ160" s="48" t="s">
        <v>182</v>
      </c>
      <c r="BA160" s="48" t="s">
        <v>72</v>
      </c>
      <c r="BB160" s="49"/>
      <c r="BC160" s="49" t="s">
        <v>73</v>
      </c>
      <c r="BD160" s="49" t="s">
        <v>74</v>
      </c>
      <c r="BE160" s="49" t="s">
        <v>60</v>
      </c>
    </row>
    <row r="161" spans="1:185" ht="34.5" customHeight="1">
      <c r="A161" s="98" t="s">
        <v>1093</v>
      </c>
      <c r="B161" s="50" t="str">
        <f>LOWER(
  IF(
    RIGHT(
      SUBSTITUTE(SUBSTITUTE(SUBSTITUTE(SUBSTITUTE(SUBSTITUTE(SUBSTITUTE(SUBSTITUTE(C161,"(","_"),")","_"),"/","_"),":","_"),"-","_")," ","_"),"__","_"),
      1
    )="_",
    LEFT(
      SUBSTITUTE(SUBSTITUTE(SUBSTITUTE(SUBSTITUTE(SUBSTITUTE(SUBSTITUTE(SUBSTITUTE(C161,"(","_"),")","_"),"/","_"),":","_"),"-","_")," ","_"),"__","_"),
      LEN(
        SUBSTITUTE(SUBSTITUTE(SUBSTITUTE(SUBSTITUTE(SUBSTITUTE(SUBSTITUTE(SUBSTITUTE(C161,"(","_"),")","_"),"/","_"),":","_"),"-","_")," ","_"),"__","_")
      )-1
    ),
    SUBSTITUTE(SUBSTITUTE(SUBSTITUTE(SUBSTITUTE(SUBSTITUTE(SUBSTITUTE(SUBSTITUTE(C161,"(","_"),")","_"),"/","_"),":","_"),"-","_")," ","_"),"__","_")
  )
)</f>
        <v>submitter_organization</v>
      </c>
      <c r="C161" s="48" t="s">
        <v>1094</v>
      </c>
      <c r="D161" s="50" t="s">
        <v>1095</v>
      </c>
      <c r="E161" s="49" t="s">
        <v>64</v>
      </c>
      <c r="F161" s="49" t="s">
        <v>795</v>
      </c>
      <c r="G161" s="49" t="s">
        <v>1096</v>
      </c>
      <c r="H161" s="49" t="s">
        <v>1097</v>
      </c>
      <c r="I161" s="49"/>
      <c r="J161" s="49"/>
      <c r="K161" s="49"/>
      <c r="L161" s="49"/>
      <c r="M161" s="49"/>
      <c r="N161" s="49" t="s">
        <v>1098</v>
      </c>
      <c r="O161" s="49"/>
      <c r="P161" s="49"/>
      <c r="Q161" s="49"/>
      <c r="R161" s="49"/>
      <c r="S161" s="49"/>
      <c r="T161" s="49"/>
      <c r="U161" s="49"/>
      <c r="V161" s="50"/>
      <c r="W161" s="50" t="s">
        <v>619</v>
      </c>
      <c r="X161" s="48" t="s">
        <v>116</v>
      </c>
      <c r="Y161" s="48" t="s">
        <v>1099</v>
      </c>
      <c r="Z161" s="48"/>
      <c r="AA161" s="49" t="str">
        <f>"[" &amp; _xlfn.TEXTJOIN(", ", TRUE,
    IF(I161&lt;&gt;"", """" &amp; I$1 &amp; """", ""),
    IF(J161&lt;&gt;"", """" &amp; J$1 &amp; """", ""),
    IF(K161&lt;&gt;"", """" &amp; K$1 &amp; """", ""),
    IF(L161&lt;&gt;"", """" &amp; L$1 &amp; """", ""),
    IF(M161&lt;&gt;"", """" &amp; M$1 &amp; """", ""),    IF(N161&lt;&gt;"", """" &amp; N$1 &amp; """", ""),    IF(O161&lt;&gt;"", """" &amp; O$1 &amp; """", ""),     IF(P161&lt;&gt;"", """" &amp; P$1 &amp; """", ""),     IF(Q161&lt;&gt;"", """" &amp; Q$1 &amp; """", ""), IF(R161&lt;&gt;"", """" &amp; R$1 &amp; """", ""), IF(S161&lt;&gt;"", """" &amp; S$1 &amp; """", ""), IF(T161&lt;&gt;"", """" &amp; T$1 &amp; """", ""), IF(U161&lt;&gt;"", """" &amp; U$1 &amp; """", ""),
    IF(X161&lt;&gt;"", """" &amp; X161 &amp; """", ""), IF(V161&lt;&gt;"", """" &amp; V161 &amp; """", ""), IF(W161&lt;&gt;"", """" &amp; W161 &amp; """", ""),
    IF(Y161&lt;&gt;"", """" &amp; Y161 &amp; """", ""),
    IF(Z161&lt;&gt;"", """" &amp; Z161 &amp; """", "")
) &amp; "]"</f>
        <v>["NCBI Virus", "Organizational", "VJDB Study", "Submission"]</v>
      </c>
      <c r="AB161" s="49" t="s">
        <v>8</v>
      </c>
      <c r="AC161" s="48"/>
      <c r="AD161" s="49"/>
      <c r="AE161" s="49"/>
      <c r="AF161" s="49" t="s">
        <v>1098</v>
      </c>
      <c r="AG161" s="49" t="s">
        <v>1100</v>
      </c>
      <c r="AH161" s="49"/>
      <c r="AI161" s="49" t="s">
        <v>1101</v>
      </c>
      <c r="AJ161" s="49"/>
      <c r="AK161" s="49"/>
      <c r="AL161" s="49"/>
      <c r="AM161" s="49"/>
      <c r="AN161" s="49"/>
      <c r="AO161" s="49"/>
      <c r="AP161" s="49"/>
      <c r="AQ161" s="49"/>
      <c r="AR161" s="49"/>
      <c r="AS161" s="49"/>
      <c r="AT161" s="49"/>
      <c r="AU161" s="49"/>
      <c r="AV161" s="49"/>
      <c r="AW161" s="49" t="s">
        <v>130</v>
      </c>
      <c r="AX161" s="54" t="s">
        <v>1102</v>
      </c>
      <c r="AY161" s="49" t="s">
        <v>131</v>
      </c>
      <c r="AZ161" s="48" t="s">
        <v>64</v>
      </c>
      <c r="BA161" s="48" t="s">
        <v>72</v>
      </c>
      <c r="BB161" s="49"/>
      <c r="BC161" s="49" t="s">
        <v>73</v>
      </c>
      <c r="BD161" s="49" t="s">
        <v>74</v>
      </c>
      <c r="BE161" s="48"/>
    </row>
    <row r="162" spans="1:185" ht="34.5" customHeight="1">
      <c r="A162" s="98" t="s">
        <v>1103</v>
      </c>
      <c r="B162" s="50" t="str">
        <f>LOWER(
  IF(
    RIGHT(
      SUBSTITUTE(SUBSTITUTE(SUBSTITUTE(SUBSTITUTE(SUBSTITUTE(SUBSTITUTE(SUBSTITUTE(C162,"(","_"),")","_"),"/","_"),":","_"),"-","_")," ","_"),"__","_"),
      1
    )="_",
    LEFT(
      SUBSTITUTE(SUBSTITUTE(SUBSTITUTE(SUBSTITUTE(SUBSTITUTE(SUBSTITUTE(SUBSTITUTE(C162,"(","_"),")","_"),"/","_"),":","_"),"-","_")," ","_"),"__","_"),
      LEN(
        SUBSTITUTE(SUBSTITUTE(SUBSTITUTE(SUBSTITUTE(SUBSTITUTE(SUBSTITUTE(SUBSTITUTE(C162,"(","_"),")","_"),"/","_"),":","_"),"-","_")," ","_"),"__","_")
      )-1
    ),
    SUBSTITUTE(SUBSTITUTE(SUBSTITUTE(SUBSTITUTE(SUBSTITUTE(SUBSTITUTE(SUBSTITUTE(C162,"(","_"),")","_"),"/","_"),":","_"),"-","_")," ","_"),"__","_")
  )
)</f>
        <v>release_date</v>
      </c>
      <c r="C162" s="48" t="s">
        <v>1104</v>
      </c>
      <c r="D162" s="50" t="s">
        <v>1105</v>
      </c>
      <c r="E162" s="49" t="s">
        <v>292</v>
      </c>
      <c r="F162" s="49" t="s">
        <v>795</v>
      </c>
      <c r="G162" s="49" t="s">
        <v>1106</v>
      </c>
      <c r="H162" s="49" t="s">
        <v>1107</v>
      </c>
      <c r="I162" s="49"/>
      <c r="J162" s="49" t="s">
        <v>1108</v>
      </c>
      <c r="K162" s="49"/>
      <c r="L162" s="49"/>
      <c r="M162" s="49"/>
      <c r="N162" s="49" t="s">
        <v>1109</v>
      </c>
      <c r="O162" s="49"/>
      <c r="P162" s="49"/>
      <c r="Q162" s="49"/>
      <c r="R162" s="49"/>
      <c r="S162" s="49"/>
      <c r="T162" s="49"/>
      <c r="U162" s="49"/>
      <c r="V162" s="50"/>
      <c r="W162" s="50"/>
      <c r="X162" s="48" t="s">
        <v>116</v>
      </c>
      <c r="Y162" s="48" t="s">
        <v>69</v>
      </c>
      <c r="Z162" s="48"/>
      <c r="AA162" s="49" t="str">
        <f>"[" &amp; _xlfn.TEXTJOIN(", ", TRUE,
    IF(I162&lt;&gt;"", """" &amp; I$1 &amp; """", ""),
    IF(J162&lt;&gt;"", """" &amp; J$1 &amp; """", ""),
    IF(K162&lt;&gt;"", """" &amp; K$1 &amp; """", ""),
    IF(L162&lt;&gt;"", """" &amp; L$1 &amp; """", ""),
    IF(M162&lt;&gt;"", """" &amp; M$1 &amp; """", ""),    IF(N162&lt;&gt;"", """" &amp; N$1 &amp; """", ""),    IF(O162&lt;&gt;"", """" &amp; O$1 &amp; """", ""),     IF(P162&lt;&gt;"", """" &amp; P$1 &amp; """", ""),     IF(Q162&lt;&gt;"", """" &amp; Q$1 &amp; """", ""), IF(R162&lt;&gt;"", """" &amp; R$1 &amp; """", ""), IF(S162&lt;&gt;"", """" &amp; S$1 &amp; """", ""), IF(T162&lt;&gt;"", """" &amp; T$1 &amp; """", ""), IF(U162&lt;&gt;"", """" &amp; U$1 &amp; """", ""),
    IF(X162&lt;&gt;"", """" &amp; X162 &amp; """", ""), IF(V162&lt;&gt;"", """" &amp; V162 &amp; """", ""), IF(W162&lt;&gt;"", """" &amp; W162 &amp; """", ""),
    IF(Y162&lt;&gt;"", """" &amp; Y162 &amp; """", ""),
    IF(Z162&lt;&gt;"", """" &amp; Z162 &amp; """", "")
) &amp; "]"</f>
        <v>["RKI", "NCBI Virus", "Organizational", "Sequence"]</v>
      </c>
      <c r="AB162" s="49" t="s">
        <v>8</v>
      </c>
      <c r="AC162" s="48"/>
      <c r="AD162" s="49" t="s">
        <v>1110</v>
      </c>
      <c r="AE162" s="49"/>
      <c r="AF162" s="49" t="s">
        <v>1104</v>
      </c>
      <c r="AG162" s="49" t="s">
        <v>1111</v>
      </c>
      <c r="AH162" s="49"/>
      <c r="AI162" s="49"/>
      <c r="AJ162" s="49"/>
      <c r="AK162" s="49"/>
      <c r="AL162" s="49"/>
      <c r="AM162" s="49"/>
      <c r="AN162" s="49"/>
      <c r="AO162" s="49"/>
      <c r="AP162" s="49"/>
      <c r="AQ162" s="49"/>
      <c r="AR162" s="49"/>
      <c r="AS162" s="49"/>
      <c r="AT162" s="49"/>
      <c r="AU162" s="49"/>
      <c r="AV162" s="49"/>
      <c r="AW162" s="49"/>
      <c r="AX162" s="54" t="s">
        <v>296</v>
      </c>
      <c r="AY162" s="49" t="s">
        <v>297</v>
      </c>
      <c r="AZ162" s="48" t="s">
        <v>292</v>
      </c>
      <c r="BA162" s="48" t="s">
        <v>72</v>
      </c>
      <c r="BB162" s="49"/>
      <c r="BC162" s="49" t="s">
        <v>73</v>
      </c>
      <c r="BD162" s="49" t="s">
        <v>94</v>
      </c>
      <c r="BE162" s="49"/>
    </row>
    <row r="163" spans="1:185" ht="34.5" customHeight="1">
      <c r="A163" s="98" t="s">
        <v>1112</v>
      </c>
      <c r="B163" s="50" t="str">
        <f>LOWER(
  IF(
    RIGHT(
      SUBSTITUTE(SUBSTITUTE(SUBSTITUTE(SUBSTITUTE(SUBSTITUTE(SUBSTITUTE(SUBSTITUTE(C163,"(","_"),")","_"),"/","_"),":","_"),"-","_")," ","_"),"__","_"),
      1
    )="_",
    LEFT(
      SUBSTITUTE(SUBSTITUTE(SUBSTITUTE(SUBSTITUTE(SUBSTITUTE(SUBSTITUTE(SUBSTITUTE(C163,"(","_"),")","_"),"/","_"),":","_"),"-","_")," ","_"),"__","_"),
      LEN(
        SUBSTITUTE(SUBSTITUTE(SUBSTITUTE(SUBSTITUTE(SUBSTITUTE(SUBSTITUTE(SUBSTITUTE(C163,"(","_"),")","_"),"/","_"),":","_"),"-","_")," ","_"),"__","_")
      )-1
    ),
    SUBSTITUTE(SUBSTITUTE(SUBSTITUTE(SUBSTITUTE(SUBSTITUTE(SUBSTITUTE(SUBSTITUTE(C163,"(","_"),")","_"),"/","_"),":","_"),"-","_")," ","_"),"__","_")
  )
)</f>
        <v>segment_name</v>
      </c>
      <c r="C163" s="48" t="s">
        <v>1113</v>
      </c>
      <c r="D163" s="50" t="s">
        <v>1114</v>
      </c>
      <c r="E163" s="49" t="s">
        <v>64</v>
      </c>
      <c r="F163" s="49" t="s">
        <v>795</v>
      </c>
      <c r="G163" s="49" t="s">
        <v>1115</v>
      </c>
      <c r="H163" s="49" t="s">
        <v>1116</v>
      </c>
      <c r="I163" s="49"/>
      <c r="J163" s="49"/>
      <c r="K163" s="49"/>
      <c r="L163" s="49"/>
      <c r="M163" s="49"/>
      <c r="N163" s="49" t="s">
        <v>1117</v>
      </c>
      <c r="O163" s="49"/>
      <c r="P163" s="49"/>
      <c r="Q163" s="49"/>
      <c r="R163" s="49"/>
      <c r="S163" s="49"/>
      <c r="T163" s="49"/>
      <c r="U163" s="49"/>
      <c r="V163" s="50"/>
      <c r="W163" s="50"/>
      <c r="X163" s="48" t="s">
        <v>68</v>
      </c>
      <c r="Y163" s="48" t="s">
        <v>69</v>
      </c>
      <c r="Z163" s="48"/>
      <c r="AA163" s="49" t="str">
        <f>"[" &amp; _xlfn.TEXTJOIN(", ", TRUE,
    IF(I163&lt;&gt;"", """" &amp; I$1 &amp; """", ""),
    IF(J163&lt;&gt;"", """" &amp; J$1 &amp; """", ""),
    IF(K163&lt;&gt;"", """" &amp; K$1 &amp; """", ""),
    IF(L163&lt;&gt;"", """" &amp; L$1 &amp; """", ""),
    IF(M163&lt;&gt;"", """" &amp; M$1 &amp; """", ""),    IF(N163&lt;&gt;"", """" &amp; N$1 &amp; """", ""),    IF(O163&lt;&gt;"", """" &amp; O$1 &amp; """", ""),     IF(P163&lt;&gt;"", """" &amp; P$1 &amp; """", ""),     IF(Q163&lt;&gt;"", """" &amp; Q$1 &amp; """", ""), IF(R163&lt;&gt;"", """" &amp; R$1 &amp; """", ""), IF(S163&lt;&gt;"", """" &amp; S$1 &amp; """", ""), IF(T163&lt;&gt;"", """" &amp; T$1 &amp; """", ""), IF(U163&lt;&gt;"", """" &amp; U$1 &amp; """", ""),
    IF(X163&lt;&gt;"", """" &amp; X163 &amp; """", ""), IF(V163&lt;&gt;"", """" &amp; V163 &amp; """", ""), IF(W163&lt;&gt;"", """" &amp; W163 &amp; """", ""),
    IF(Y163&lt;&gt;"", """" &amp; Y163 &amp; """", ""),
    IF(Z163&lt;&gt;"", """" &amp; Z163 &amp; """", "")
) &amp; "]"</f>
        <v>["NCBI Virus", "Sample", "Sequence"]</v>
      </c>
      <c r="AB163" s="49" t="s">
        <v>8</v>
      </c>
      <c r="AC163" s="48"/>
      <c r="AD163" s="49"/>
      <c r="AE163" s="49"/>
      <c r="AF163" s="49" t="s">
        <v>1117</v>
      </c>
      <c r="AG163" s="49" t="s">
        <v>1118</v>
      </c>
      <c r="AH163" s="49"/>
      <c r="AI163" s="49"/>
      <c r="AJ163" s="49"/>
      <c r="AK163" s="49"/>
      <c r="AL163" s="49"/>
      <c r="AM163" s="49"/>
      <c r="AN163" s="49"/>
      <c r="AO163" s="49"/>
      <c r="AP163" s="49"/>
      <c r="AQ163" s="49"/>
      <c r="AR163" s="49"/>
      <c r="AS163" s="49"/>
      <c r="AT163" s="49"/>
      <c r="AU163" s="49"/>
      <c r="AV163" s="49"/>
      <c r="AW163" s="49"/>
      <c r="AX163" s="54" t="s">
        <v>1119</v>
      </c>
      <c r="AY163" s="49" t="s">
        <v>131</v>
      </c>
      <c r="AZ163" s="48" t="s">
        <v>64</v>
      </c>
      <c r="BA163" s="48" t="s">
        <v>72</v>
      </c>
      <c r="BB163" s="49"/>
      <c r="BC163" s="49" t="s">
        <v>73</v>
      </c>
      <c r="BD163" s="49" t="s">
        <v>108</v>
      </c>
      <c r="BE163" s="49"/>
    </row>
    <row r="164" spans="1:185" ht="34.5" customHeight="1">
      <c r="A164" s="98" t="s">
        <v>1120</v>
      </c>
      <c r="B164" s="50" t="str">
        <f>LOWER(
  IF(
    RIGHT(
      SUBSTITUTE(SUBSTITUTE(SUBSTITUTE(SUBSTITUTE(SUBSTITUTE(SUBSTITUTE(SUBSTITUTE(C164,"(","_"),")","_"),"/","_"),":","_"),"-","_")," ","_"),"__","_"),
      1
    )="_",
    LEFT(
      SUBSTITUTE(SUBSTITUTE(SUBSTITUTE(SUBSTITUTE(SUBSTITUTE(SUBSTITUTE(SUBSTITUTE(C164,"(","_"),")","_"),"/","_"),":","_"),"-","_")," ","_"),"__","_"),
      LEN(
        SUBSTITUTE(SUBSTITUTE(SUBSTITUTE(SUBSTITUTE(SUBSTITUTE(SUBSTITUTE(SUBSTITUTE(C164,"(","_"),")","_"),"/","_"),":","_"),"-","_")," ","_"),"__","_")
      )-1
    ),
    SUBSTITUTE(SUBSTITUTE(SUBSTITUTE(SUBSTITUTE(SUBSTITUTE(SUBSTITUTE(SUBSTITUTE(C164,"(","_"),")","_"),"/","_"),":","_"),"-","_")," ","_"),"__","_")
  )
)</f>
        <v>sra_accession</v>
      </c>
      <c r="C164" s="48" t="s">
        <v>1121</v>
      </c>
      <c r="D164" s="50" t="s">
        <v>1122</v>
      </c>
      <c r="E164" s="49" t="s">
        <v>98</v>
      </c>
      <c r="F164" s="49" t="s">
        <v>795</v>
      </c>
      <c r="G164" s="49" t="s">
        <v>1123</v>
      </c>
      <c r="H164" s="49" t="s">
        <v>1124</v>
      </c>
      <c r="I164" s="49"/>
      <c r="J164" s="49"/>
      <c r="K164" s="49"/>
      <c r="L164" s="49"/>
      <c r="M164" s="49"/>
      <c r="N164" s="49" t="s">
        <v>1125</v>
      </c>
      <c r="O164" s="49" t="s">
        <v>1121</v>
      </c>
      <c r="P164" s="49"/>
      <c r="Q164" s="49"/>
      <c r="R164" s="49"/>
      <c r="S164" s="49"/>
      <c r="T164" s="49"/>
      <c r="U164" s="49"/>
      <c r="V164" s="50"/>
      <c r="W164" s="50"/>
      <c r="X164" s="48" t="s">
        <v>116</v>
      </c>
      <c r="Y164" s="48" t="s">
        <v>117</v>
      </c>
      <c r="Z164" s="48"/>
      <c r="AA164" s="49" t="str">
        <f>"[" &amp; _xlfn.TEXTJOIN(", ", TRUE,
    IF(I164&lt;&gt;"", """" &amp; I$1 &amp; """", ""),
    IF(J164&lt;&gt;"", """" &amp; J$1 &amp; """", ""),
    IF(K164&lt;&gt;"", """" &amp; K$1 &amp; """", ""),
    IF(L164&lt;&gt;"", """" &amp; L$1 &amp; """", ""),
    IF(M164&lt;&gt;"", """" &amp; M$1 &amp; """", ""),    IF(N164&lt;&gt;"", """" &amp; N$1 &amp; """", ""),    IF(O164&lt;&gt;"", """" &amp; O$1 &amp; """", ""),     IF(P164&lt;&gt;"", """" &amp; P$1 &amp; """", ""),     IF(Q164&lt;&gt;"", """" &amp; Q$1 &amp; """", ""), IF(R164&lt;&gt;"", """" &amp; R$1 &amp; """", ""), IF(S164&lt;&gt;"", """" &amp; S$1 &amp; """", ""), IF(T164&lt;&gt;"", """" &amp; T$1 &amp; """", ""), IF(U164&lt;&gt;"", """" &amp; U$1 &amp; """", ""),
    IF(X164&lt;&gt;"", """" &amp; X164 &amp; """", ""), IF(V164&lt;&gt;"", """" &amp; V164 &amp; """", ""), IF(W164&lt;&gt;"", """" &amp; W164 &amp; """", ""),
    IF(Y164&lt;&gt;"", """" &amp; Y164 &amp; """", ""),
    IF(Z164&lt;&gt;"", """" &amp; Z164 &amp; """", "")
) &amp; "]"</f>
        <v>["NCBI Virus", "BV-BRC", "Organizational", "Identifiers"]</v>
      </c>
      <c r="AB164" s="49" t="s">
        <v>949</v>
      </c>
      <c r="AC164" s="48" t="s">
        <v>70</v>
      </c>
      <c r="AD164" s="49"/>
      <c r="AE164" s="49"/>
      <c r="AF164" s="49" t="s">
        <v>1126</v>
      </c>
      <c r="AG164" s="49" t="s">
        <v>1127</v>
      </c>
      <c r="AH164" s="49"/>
      <c r="AI164" s="49"/>
      <c r="AJ164" s="49" t="s">
        <v>370</v>
      </c>
      <c r="AK164" s="49"/>
      <c r="AL164" s="49" t="s">
        <v>1124</v>
      </c>
      <c r="AM164" s="49" t="s">
        <v>372</v>
      </c>
      <c r="AN164" s="49"/>
      <c r="AO164" s="49"/>
      <c r="AP164" s="49"/>
      <c r="AQ164" s="49"/>
      <c r="AR164" s="49"/>
      <c r="AS164" s="49"/>
      <c r="AT164" s="49"/>
      <c r="AU164" s="49"/>
      <c r="AV164" s="49"/>
      <c r="AW164" s="49"/>
      <c r="AX164" s="54"/>
      <c r="AY164" s="49"/>
      <c r="AZ164" s="48" t="s">
        <v>64</v>
      </c>
      <c r="BA164" s="48" t="s">
        <v>72</v>
      </c>
      <c r="BB164" s="49"/>
      <c r="BC164" s="49" t="s">
        <v>73</v>
      </c>
      <c r="BD164" s="49" t="s">
        <v>108</v>
      </c>
      <c r="BE164" s="48" t="s">
        <v>60</v>
      </c>
    </row>
    <row r="165" spans="1:185" ht="34.5" customHeight="1">
      <c r="A165" s="98" t="s">
        <v>1128</v>
      </c>
      <c r="B165" s="50" t="str">
        <f>LOWER(
  IF(
    RIGHT(
      SUBSTITUTE(SUBSTITUTE(SUBSTITUTE(SUBSTITUTE(SUBSTITUTE(SUBSTITUTE(SUBSTITUTE(C165,"(","_"),")","_"),"/","_"),":","_"),"-","_")," ","_"),"__","_"),
      1
    )="_",
    LEFT(
      SUBSTITUTE(SUBSTITUTE(SUBSTITUTE(SUBSTITUTE(SUBSTITUTE(SUBSTITUTE(SUBSTITUTE(C165,"(","_"),")","_"),"/","_"),":","_"),"-","_")," ","_"),"__","_"),
      LEN(
        SUBSTITUTE(SUBSTITUTE(SUBSTITUTE(SUBSTITUTE(SUBSTITUTE(SUBSTITUTE(SUBSTITUTE(C165,"(","_"),")","_"),"/","_"),":","_"),"-","_")," ","_"),"__","_")
      )-1
    ),
    SUBSTITUTE(SUBSTITUTE(SUBSTITUTE(SUBSTITUTE(SUBSTITUTE(SUBSTITUTE(SUBSTITUTE(C165,"(","_"),")","_"),"/","_"),":","_"),"-","_")," ","_"),"__","_")
  )
)</f>
        <v>submitter</v>
      </c>
      <c r="C165" s="48" t="s">
        <v>1129</v>
      </c>
      <c r="D165" s="50" t="s">
        <v>1130</v>
      </c>
      <c r="E165" s="49" t="s">
        <v>64</v>
      </c>
      <c r="F165" s="49" t="s">
        <v>795</v>
      </c>
      <c r="G165" s="49" t="s">
        <v>1131</v>
      </c>
      <c r="H165" s="49" t="s">
        <v>1131</v>
      </c>
      <c r="I165" s="49"/>
      <c r="J165" s="49"/>
      <c r="K165" s="49"/>
      <c r="L165" s="49"/>
      <c r="M165" s="49"/>
      <c r="N165" s="49" t="s">
        <v>1132</v>
      </c>
      <c r="O165" s="49"/>
      <c r="P165" s="49"/>
      <c r="Q165" s="49"/>
      <c r="R165" s="49"/>
      <c r="S165" s="49"/>
      <c r="T165" s="49"/>
      <c r="U165" s="49"/>
      <c r="V165" s="50"/>
      <c r="W165" s="50" t="s">
        <v>619</v>
      </c>
      <c r="X165" s="48" t="s">
        <v>116</v>
      </c>
      <c r="Y165" s="48" t="s">
        <v>1099</v>
      </c>
      <c r="Z165" s="48"/>
      <c r="AA165" s="49" t="str">
        <f>"[" &amp; _xlfn.TEXTJOIN(", ", TRUE,
    IF(I165&lt;&gt;"", """" &amp; I$1 &amp; """", ""),
    IF(J165&lt;&gt;"", """" &amp; J$1 &amp; """", ""),
    IF(K165&lt;&gt;"", """" &amp; K$1 &amp; """", ""),
    IF(L165&lt;&gt;"", """" &amp; L$1 &amp; """", ""),
    IF(M165&lt;&gt;"", """" &amp; M$1 &amp; """", ""),    IF(N165&lt;&gt;"", """" &amp; N$1 &amp; """", ""),    IF(O165&lt;&gt;"", """" &amp; O$1 &amp; """", ""),     IF(P165&lt;&gt;"", """" &amp; P$1 &amp; """", ""),     IF(Q165&lt;&gt;"", """" &amp; Q$1 &amp; """", ""), IF(R165&lt;&gt;"", """" &amp; R$1 &amp; """", ""), IF(S165&lt;&gt;"", """" &amp; S$1 &amp; """", ""), IF(T165&lt;&gt;"", """" &amp; T$1 &amp; """", ""), IF(U165&lt;&gt;"", """" &amp; U$1 &amp; """", ""),
    IF(X165&lt;&gt;"", """" &amp; X165 &amp; """", ""), IF(V165&lt;&gt;"", """" &amp; V165 &amp; """", ""), IF(W165&lt;&gt;"", """" &amp; W165 &amp; """", ""),
    IF(Y165&lt;&gt;"", """" &amp; Y165 &amp; """", ""),
    IF(Z165&lt;&gt;"", """" &amp; Z165 &amp; """", "")
) &amp; "]"</f>
        <v>["NCBI Virus", "Organizational", "VJDB Study", "Submission"]</v>
      </c>
      <c r="AB165" s="49" t="s">
        <v>8</v>
      </c>
      <c r="AC165" s="48"/>
      <c r="AD165" s="49"/>
      <c r="AE165" s="49"/>
      <c r="AF165" s="49" t="s">
        <v>1132</v>
      </c>
      <c r="AG165" s="49" t="s">
        <v>1133</v>
      </c>
      <c r="AH165" s="49"/>
      <c r="AI165" s="49"/>
      <c r="AJ165" s="49"/>
      <c r="AK165" s="49"/>
      <c r="AL165" s="49"/>
      <c r="AM165" s="49"/>
      <c r="AN165" s="49"/>
      <c r="AO165" s="49"/>
      <c r="AP165" s="49"/>
      <c r="AQ165" s="49"/>
      <c r="AR165" s="49"/>
      <c r="AS165" s="49"/>
      <c r="AT165" s="49"/>
      <c r="AU165" s="49"/>
      <c r="AV165" s="49"/>
      <c r="AW165" s="49" t="s">
        <v>130</v>
      </c>
      <c r="AX165" s="54" t="s">
        <v>1134</v>
      </c>
      <c r="AY165" s="49" t="s">
        <v>131</v>
      </c>
      <c r="AZ165" s="48" t="s">
        <v>64</v>
      </c>
      <c r="BA165" s="48" t="s">
        <v>72</v>
      </c>
      <c r="BB165" s="49"/>
      <c r="BC165" s="49" t="s">
        <v>73</v>
      </c>
      <c r="BD165" s="49" t="s">
        <v>142</v>
      </c>
      <c r="BE165" s="48"/>
    </row>
    <row r="166" spans="1:185" ht="34.5" customHeight="1">
      <c r="A166" s="98" t="s">
        <v>1135</v>
      </c>
      <c r="B166" s="50" t="str">
        <f>LOWER(
  IF(
    RIGHT(
      SUBSTITUTE(SUBSTITUTE(SUBSTITUTE(SUBSTITUTE(SUBSTITUTE(SUBSTITUTE(SUBSTITUTE(C166,"(","_"),")","_"),"/","_"),":","_"),"-","_")," ","_"),"__","_"),
      1
    )="_",
    LEFT(
      SUBSTITUTE(SUBSTITUTE(SUBSTITUTE(SUBSTITUTE(SUBSTITUTE(SUBSTITUTE(SUBSTITUTE(C166,"(","_"),")","_"),"/","_"),":","_"),"-","_")," ","_"),"__","_"),
      LEN(
        SUBSTITUTE(SUBSTITUTE(SUBSTITUTE(SUBSTITUTE(SUBSTITUTE(SUBSTITUTE(SUBSTITUTE(C166,"(","_"),")","_"),"/","_"),":","_"),"-","_")," ","_"),"__","_")
      )-1
    ),
    SUBSTITUTE(SUBSTITUTE(SUBSTITUTE(SUBSTITUTE(SUBSTITUTE(SUBSTITUTE(SUBSTITUTE(C166,"(","_"),")","_"),"/","_"),":","_"),"-","_")," ","_"),"__","_")
  )
)</f>
        <v>collection_source_host_tissue</v>
      </c>
      <c r="C166" s="48" t="s">
        <v>1136</v>
      </c>
      <c r="D166" s="50" t="s">
        <v>1137</v>
      </c>
      <c r="E166" s="49" t="s">
        <v>64</v>
      </c>
      <c r="F166" s="49" t="s">
        <v>795</v>
      </c>
      <c r="G166" s="49" t="s">
        <v>1138</v>
      </c>
      <c r="H166" s="49" t="s">
        <v>175</v>
      </c>
      <c r="I166" s="49" t="s">
        <v>1139</v>
      </c>
      <c r="J166" s="49" t="s">
        <v>1140</v>
      </c>
      <c r="K166" s="49" t="s">
        <v>177</v>
      </c>
      <c r="L166" s="49"/>
      <c r="M166" s="49"/>
      <c r="N166" s="49" t="s">
        <v>1141</v>
      </c>
      <c r="O166" s="49"/>
      <c r="P166" s="49" t="s">
        <v>1139</v>
      </c>
      <c r="Q166" s="49" t="s">
        <v>1139</v>
      </c>
      <c r="R166" s="49"/>
      <c r="S166" s="49"/>
      <c r="T166" s="49"/>
      <c r="U166" s="49"/>
      <c r="V166" s="50" t="s">
        <v>125</v>
      </c>
      <c r="W166" s="50" t="s">
        <v>126</v>
      </c>
      <c r="X166" s="48" t="s">
        <v>68</v>
      </c>
      <c r="Y166" s="48" t="s">
        <v>81</v>
      </c>
      <c r="Z166" s="48"/>
      <c r="AA166" s="49" t="str">
        <f>"[" &amp; _xlfn.TEXTJOIN(", ", TRUE,
    IF(I166&lt;&gt;"", """" &amp; I$1 &amp; """", ""),
    IF(J166&lt;&gt;"", """" &amp; J$1 &amp; """", ""),
    IF(K166&lt;&gt;"", """" &amp; K$1 &amp; """", ""),
    IF(L166&lt;&gt;"", """" &amp; L$1 &amp; """", ""),
    IF(M166&lt;&gt;"", """" &amp; M$1 &amp; """", ""),    IF(N166&lt;&gt;"", """" &amp; N$1 &amp; """", ""),    IF(O166&lt;&gt;"", """" &amp; O$1 &amp; """", ""),     IF(P166&lt;&gt;"", """" &amp; P$1 &amp; """", ""),     IF(Q166&lt;&gt;"", """" &amp; Q$1 &amp; """", ""), IF(R166&lt;&gt;"", """" &amp; R$1 &amp; """", ""), IF(S166&lt;&gt;"", """" &amp; S$1 &amp; """", ""), IF(T166&lt;&gt;"", """" &amp; T$1 &amp; """", ""), IF(U166&lt;&gt;"", """" &amp; U$1 &amp; """", ""),
    IF(X166&lt;&gt;"", """" &amp; X166 &amp; """", ""), IF(V166&lt;&gt;"", """" &amp; V166 &amp; """", ""), IF(W166&lt;&gt;"", """" &amp; W166 &amp; """", ""),
    IF(Y166&lt;&gt;"", """" &amp; Y166 &amp; """", ""),
    IF(Z166&lt;&gt;"", """" &amp; Z166 &amp; """", "")
) &amp; "]"</f>
        <v>["ENA", "RKI", "MIGS-VI", "NCBI Virus", "ENA ERC32", "ENA ERC33", "Sample", "ENA Sample", "VJDB Sample", "Collection"]</v>
      </c>
      <c r="AB166" s="49" t="s">
        <v>8</v>
      </c>
      <c r="AC166" s="48" t="s">
        <v>1142</v>
      </c>
      <c r="AD166" s="49" t="s">
        <v>1143</v>
      </c>
      <c r="AE166" s="49"/>
      <c r="AF166" s="49" t="s">
        <v>1144</v>
      </c>
      <c r="AG166" s="49" t="s">
        <v>1145</v>
      </c>
      <c r="AH166" s="49"/>
      <c r="AI166" s="49" t="s">
        <v>180</v>
      </c>
      <c r="AJ166" s="49"/>
      <c r="AK166" s="49"/>
      <c r="AL166" s="49"/>
      <c r="AM166" s="49"/>
      <c r="AN166" s="49"/>
      <c r="AO166" s="49"/>
      <c r="AP166" s="49" t="s">
        <v>1146</v>
      </c>
      <c r="AQ166" s="49"/>
      <c r="AR166" s="49"/>
      <c r="AS166" s="49" t="s">
        <v>1146</v>
      </c>
      <c r="AT166" s="49"/>
      <c r="AU166" s="49" t="s">
        <v>151</v>
      </c>
      <c r="AV166" s="49" t="s">
        <v>86</v>
      </c>
      <c r="AW166" s="49" t="s">
        <v>86</v>
      </c>
      <c r="AX166" s="49" t="s">
        <v>1147</v>
      </c>
      <c r="AY166" s="49" t="s">
        <v>131</v>
      </c>
      <c r="AZ166" s="48" t="s">
        <v>106</v>
      </c>
      <c r="BA166" s="48" t="s">
        <v>107</v>
      </c>
      <c r="BB166" s="49"/>
      <c r="BC166" s="49" t="s">
        <v>73</v>
      </c>
      <c r="BD166" s="49" t="s">
        <v>74</v>
      </c>
      <c r="BE166" s="49"/>
    </row>
    <row r="167" spans="1:185" ht="34.5" customHeight="1">
      <c r="A167" s="98" t="s">
        <v>1148</v>
      </c>
      <c r="B167" s="50" t="str">
        <f>LOWER(
  IF(
    RIGHT(
      SUBSTITUTE(SUBSTITUTE(SUBSTITUTE(SUBSTITUTE(SUBSTITUTE(SUBSTITUTE(SUBSTITUTE(C167,"(","_"),")","_"),"/","_"),":","_"),"-","_")," ","_"),"__","_"),
      1
    )="_",
    LEFT(
      SUBSTITUTE(SUBSTITUTE(SUBSTITUTE(SUBSTITUTE(SUBSTITUTE(SUBSTITUTE(SUBSTITUTE(C167,"(","_"),")","_"),"/","_"),":","_"),"-","_")," ","_"),"__","_"),
      LEN(
        SUBSTITUTE(SUBSTITUTE(SUBSTITUTE(SUBSTITUTE(SUBSTITUTE(SUBSTITUTE(SUBSTITUTE(C167,"(","_"),")","_"),"/","_"),":","_"),"-","_")," ","_"),"__","_")
      )-1
    ),
    SUBSTITUTE(SUBSTITUTE(SUBSTITUTE(SUBSTITUTE(SUBSTITUTE(SUBSTITUTE(SUBSTITUTE(C167,"(","_"),")","_"),"/","_"),":","_"),"-","_")," ","_"),"__","_")
  )
)</f>
        <v>bv_brc_accession</v>
      </c>
      <c r="C167" s="48" t="s">
        <v>1149</v>
      </c>
      <c r="D167" s="50" t="s">
        <v>1150</v>
      </c>
      <c r="E167" s="49" t="s">
        <v>98</v>
      </c>
      <c r="F167" s="49" t="s">
        <v>795</v>
      </c>
      <c r="G167" s="49" t="s">
        <v>1151</v>
      </c>
      <c r="H167" s="49" t="s">
        <v>1152</v>
      </c>
      <c r="I167" s="49"/>
      <c r="J167" s="49"/>
      <c r="K167" s="49"/>
      <c r="L167" s="49"/>
      <c r="M167" s="49"/>
      <c r="N167" s="49"/>
      <c r="O167" s="49" t="s">
        <v>1153</v>
      </c>
      <c r="P167" s="49"/>
      <c r="Q167" s="49"/>
      <c r="R167" s="49"/>
      <c r="S167" s="49"/>
      <c r="T167" s="49"/>
      <c r="U167" s="49"/>
      <c r="V167" s="50"/>
      <c r="W167" s="50"/>
      <c r="X167" s="48" t="s">
        <v>116</v>
      </c>
      <c r="Y167" s="48" t="s">
        <v>117</v>
      </c>
      <c r="Z167" s="48"/>
      <c r="AA167" s="49" t="str">
        <f>"[" &amp; _xlfn.TEXTJOIN(", ", TRUE,
    IF(I167&lt;&gt;"", """" &amp; I$1 &amp; """", ""),
    IF(J167&lt;&gt;"", """" &amp; J$1 &amp; """", ""),
    IF(K167&lt;&gt;"", """" &amp; K$1 &amp; """", ""),
    IF(L167&lt;&gt;"", """" &amp; L$1 &amp; """", ""),
    IF(M167&lt;&gt;"", """" &amp; M$1 &amp; """", ""),    IF(N167&lt;&gt;"", """" &amp; N$1 &amp; """", ""),    IF(O167&lt;&gt;"", """" &amp; O$1 &amp; """", ""),     IF(P167&lt;&gt;"", """" &amp; P$1 &amp; """", ""),     IF(Q167&lt;&gt;"", """" &amp; Q$1 &amp; """", ""), IF(R167&lt;&gt;"", """" &amp; R$1 &amp; """", ""), IF(S167&lt;&gt;"", """" &amp; S$1 &amp; """", ""), IF(T167&lt;&gt;"", """" &amp; T$1 &amp; """", ""), IF(U167&lt;&gt;"", """" &amp; U$1 &amp; """", ""),
    IF(X167&lt;&gt;"", """" &amp; X167 &amp; """", ""), IF(V167&lt;&gt;"", """" &amp; V167 &amp; """", ""), IF(W167&lt;&gt;"", """" &amp; W167 &amp; """", ""),
    IF(Y167&lt;&gt;"", """" &amp; Y167 &amp; """", ""),
    IF(Z167&lt;&gt;"", """" &amp; Z167 &amp; """", "")
) &amp; "]"</f>
        <v>["BV-BRC", "Organizational", "Identifiers"]</v>
      </c>
      <c r="AB167" s="49" t="s">
        <v>347</v>
      </c>
      <c r="AC167" s="48" t="s">
        <v>70</v>
      </c>
      <c r="AD167" s="49" t="s">
        <v>1154</v>
      </c>
      <c r="AE167" s="49"/>
      <c r="AF167" s="49"/>
      <c r="AG167" s="49"/>
      <c r="AH167" s="49"/>
      <c r="AI167" s="49"/>
      <c r="AJ167" s="49" t="s">
        <v>349</v>
      </c>
      <c r="AK167" s="49"/>
      <c r="AL167" s="49" t="s">
        <v>1155</v>
      </c>
      <c r="AM167" s="49" t="s">
        <v>372</v>
      </c>
      <c r="AN167" s="49"/>
      <c r="AO167" s="49"/>
      <c r="AP167" s="49"/>
      <c r="AQ167" s="49"/>
      <c r="AR167" s="49"/>
      <c r="AS167" s="49"/>
      <c r="AT167" s="49"/>
      <c r="AU167" s="49"/>
      <c r="AV167" s="49"/>
      <c r="AW167" s="49"/>
      <c r="AX167" s="54"/>
      <c r="AY167" s="49"/>
      <c r="AZ167" s="48" t="s">
        <v>64</v>
      </c>
      <c r="BA167" s="48" t="s">
        <v>119</v>
      </c>
      <c r="BB167" s="49"/>
      <c r="BC167" s="49" t="s">
        <v>73</v>
      </c>
      <c r="BD167" s="49" t="s">
        <v>108</v>
      </c>
      <c r="BE167" s="48" t="s">
        <v>60</v>
      </c>
    </row>
    <row r="168" spans="1:185" ht="34.5" customHeight="1">
      <c r="A168" s="98" t="s">
        <v>1156</v>
      </c>
      <c r="B168" s="50" t="str">
        <f>LOWER(
  IF(
    RIGHT(
      SUBSTITUTE(SUBSTITUTE(SUBSTITUTE(SUBSTITUTE(SUBSTITUTE(SUBSTITUTE(SUBSTITUTE(C168,"(","_"),")","_"),"/","_"),":","_"),"-","_")," ","_"),"__","_"),
      1
    )="_",
    LEFT(
      SUBSTITUTE(SUBSTITUTE(SUBSTITUTE(SUBSTITUTE(SUBSTITUTE(SUBSTITUTE(SUBSTITUTE(C168,"(","_"),")","_"),"/","_"),":","_"),"-","_")," ","_"),"__","_"),
      LEN(
        SUBSTITUTE(SUBSTITUTE(SUBSTITUTE(SUBSTITUTE(SUBSTITUTE(SUBSTITUTE(SUBSTITUTE(C168,"(","_"),")","_"),"/","_"),":","_"),"-","_")," ","_"),"__","_")
      )-1
    ),
    SUBSTITUTE(SUBSTITUTE(SUBSTITUTE(SUBSTITUTE(SUBSTITUTE(SUBSTITUTE(SUBSTITUTE(C168,"(","_"),")","_"),"/","_"),":","_"),"-","_")," ","_"),"__","_")
  )
)</f>
        <v>bv_brc_host_group</v>
      </c>
      <c r="C168" s="48" t="s">
        <v>1157</v>
      </c>
      <c r="D168" s="50" t="s">
        <v>1158</v>
      </c>
      <c r="E168" s="49" t="s">
        <v>64</v>
      </c>
      <c r="F168" s="49" t="s">
        <v>795</v>
      </c>
      <c r="G168" s="49" t="s">
        <v>1159</v>
      </c>
      <c r="H168" s="49" t="s">
        <v>1159</v>
      </c>
      <c r="I168" s="49"/>
      <c r="J168" s="49"/>
      <c r="K168" s="49"/>
      <c r="L168" s="49"/>
      <c r="M168" s="49"/>
      <c r="N168" s="49"/>
      <c r="O168" s="49" t="s">
        <v>1160</v>
      </c>
      <c r="P168" s="49"/>
      <c r="Q168" s="49"/>
      <c r="R168" s="49"/>
      <c r="S168" s="49"/>
      <c r="T168" s="49"/>
      <c r="U168" s="49"/>
      <c r="V168" s="50"/>
      <c r="W168" s="50"/>
      <c r="X168" s="48" t="s">
        <v>137</v>
      </c>
      <c r="Y168" s="48" t="s">
        <v>901</v>
      </c>
      <c r="Z168" s="48"/>
      <c r="AA168" s="49" t="str">
        <f>"[" &amp; _xlfn.TEXTJOIN(", ", TRUE,
    IF(I168&lt;&gt;"", """" &amp; I$1 &amp; """", ""),
    IF(J168&lt;&gt;"", """" &amp; J$1 &amp; """", ""),
    IF(K168&lt;&gt;"", """" &amp; K$1 &amp; """", ""),
    IF(L168&lt;&gt;"", """" &amp; L$1 &amp; """", ""),
    IF(M168&lt;&gt;"", """" &amp; M$1 &amp; """", ""),    IF(N168&lt;&gt;"", """" &amp; N$1 &amp; """", ""),    IF(O168&lt;&gt;"", """" &amp; O$1 &amp; """", ""),     IF(P168&lt;&gt;"", """" &amp; P$1 &amp; """", ""),     IF(Q168&lt;&gt;"", """" &amp; Q$1 &amp; """", ""), IF(R168&lt;&gt;"", """" &amp; R$1 &amp; """", ""), IF(S168&lt;&gt;"", """" &amp; S$1 &amp; """", ""), IF(T168&lt;&gt;"", """" &amp; T$1 &amp; """", ""), IF(U168&lt;&gt;"", """" &amp; U$1 &amp; """", ""),
    IF(X168&lt;&gt;"", """" &amp; X168 &amp; """", ""), IF(V168&lt;&gt;"", """" &amp; V168 &amp; """", ""), IF(W168&lt;&gt;"", """" &amp; W168 &amp; """", ""),
    IF(Y168&lt;&gt;"", """" &amp; Y168 &amp; """", ""),
    IF(Z168&lt;&gt;"", """" &amp; Z168 &amp; """", "")
) &amp; "]"</f>
        <v>["BV-BRC", "Host", "Host Info"]</v>
      </c>
      <c r="AB168" s="49" t="s">
        <v>347</v>
      </c>
      <c r="AC168" s="48"/>
      <c r="AD168" s="49"/>
      <c r="AE168" s="49"/>
      <c r="AF168" s="49"/>
      <c r="AG168" s="49"/>
      <c r="AH168" s="49"/>
      <c r="AI168" s="49"/>
      <c r="AJ168" s="49" t="s">
        <v>901</v>
      </c>
      <c r="AK168" s="49"/>
      <c r="AL168" s="49" t="s">
        <v>1159</v>
      </c>
      <c r="AM168" s="49" t="s">
        <v>351</v>
      </c>
      <c r="AN168" s="49"/>
      <c r="AO168" s="49"/>
      <c r="AP168" s="49"/>
      <c r="AQ168" s="49"/>
      <c r="AR168" s="49"/>
      <c r="AS168" s="49"/>
      <c r="AT168" s="49"/>
      <c r="AU168" s="49"/>
      <c r="AV168" s="49"/>
      <c r="AW168" s="49"/>
      <c r="AX168" s="54" t="s">
        <v>1161</v>
      </c>
      <c r="AY168" s="49" t="s">
        <v>1162</v>
      </c>
      <c r="AZ168" s="48" t="s">
        <v>182</v>
      </c>
      <c r="BA168" s="48" t="s">
        <v>72</v>
      </c>
      <c r="BB168" s="49"/>
      <c r="BC168" s="49" t="s">
        <v>73</v>
      </c>
      <c r="BD168" s="49" t="s">
        <v>74</v>
      </c>
      <c r="BE168" s="49"/>
    </row>
    <row r="169" spans="1:185" ht="34.5" customHeight="1">
      <c r="A169" s="98" t="s">
        <v>1163</v>
      </c>
      <c r="B169" s="50" t="str">
        <f>LOWER(
  IF(
    RIGHT(
      SUBSTITUTE(SUBSTITUTE(SUBSTITUTE(SUBSTITUTE(SUBSTITUTE(SUBSTITUTE(SUBSTITUTE(C169,"(","_"),")","_"),"/","_"),":","_"),"-","_")," ","_"),"__","_"),
      1
    )="_",
    LEFT(
      SUBSTITUTE(SUBSTITUTE(SUBSTITUTE(SUBSTITUTE(SUBSTITUTE(SUBSTITUTE(SUBSTITUTE(C169,"(","_"),")","_"),"/","_"),":","_"),"-","_")," ","_"),"__","_"),
      LEN(
        SUBSTITUTE(SUBSTITUTE(SUBSTITUTE(SUBSTITUTE(SUBSTITUTE(SUBSTITUTE(SUBSTITUTE(C169,"(","_"),")","_"),"/","_"),":","_"),"-","_")," ","_"),"__","_")
      )-1
    ),
    SUBSTITUTE(SUBSTITUTE(SUBSTITUTE(SUBSTITUTE(SUBSTITUTE(SUBSTITUTE(SUBSTITUTE(C169,"(","_"),")","_"),"/","_"),":","_"),"-","_")," ","_"),"__","_")
  )
)</f>
        <v>host_species</v>
      </c>
      <c r="C169" s="48" t="s">
        <v>1164</v>
      </c>
      <c r="D169" s="50" t="s">
        <v>1165</v>
      </c>
      <c r="E169" s="49" t="s">
        <v>64</v>
      </c>
      <c r="F169" s="49" t="s">
        <v>795</v>
      </c>
      <c r="G169" s="49" t="s">
        <v>1166</v>
      </c>
      <c r="H169" s="49" t="s">
        <v>1167</v>
      </c>
      <c r="I169" s="49" t="s">
        <v>1168</v>
      </c>
      <c r="J169" s="49"/>
      <c r="K169" s="49" t="s">
        <v>910</v>
      </c>
      <c r="L169" s="49"/>
      <c r="M169" s="49"/>
      <c r="N169" s="49"/>
      <c r="O169" s="49" t="s">
        <v>1169</v>
      </c>
      <c r="P169" s="49" t="s">
        <v>1168</v>
      </c>
      <c r="Q169" s="49" t="s">
        <v>1168</v>
      </c>
      <c r="R169" s="49"/>
      <c r="S169" s="49"/>
      <c r="T169" s="49"/>
      <c r="U169" s="49"/>
      <c r="V169" s="50" t="s">
        <v>125</v>
      </c>
      <c r="W169" s="50" t="s">
        <v>126</v>
      </c>
      <c r="X169" s="48" t="s">
        <v>137</v>
      </c>
      <c r="Y169" s="48" t="s">
        <v>901</v>
      </c>
      <c r="Z169" s="48"/>
      <c r="AA169" s="49" t="str">
        <f>"[" &amp; _xlfn.TEXTJOIN(", ", TRUE,
    IF(I169&lt;&gt;"", """" &amp; I$1 &amp; """", ""),
    IF(J169&lt;&gt;"", """" &amp; J$1 &amp; """", ""),
    IF(K169&lt;&gt;"", """" &amp; K$1 &amp; """", ""),
    IF(L169&lt;&gt;"", """" &amp; L$1 &amp; """", ""),
    IF(M169&lt;&gt;"", """" &amp; M$1 &amp; """", ""),    IF(N169&lt;&gt;"", """" &amp; N$1 &amp; """", ""),    IF(O169&lt;&gt;"", """" &amp; O$1 &amp; """", ""),     IF(P169&lt;&gt;"", """" &amp; P$1 &amp; """", ""),     IF(Q169&lt;&gt;"", """" &amp; Q$1 &amp; """", ""), IF(R169&lt;&gt;"", """" &amp; R$1 &amp; """", ""), IF(S169&lt;&gt;"", """" &amp; S$1 &amp; """", ""), IF(T169&lt;&gt;"", """" &amp; T$1 &amp; """", ""), IF(U169&lt;&gt;"", """" &amp; U$1 &amp; """", ""),
    IF(X169&lt;&gt;"", """" &amp; X169 &amp; """", ""), IF(V169&lt;&gt;"", """" &amp; V169 &amp; """", ""), IF(W169&lt;&gt;"", """" &amp; W169 &amp; """", ""),
    IF(Y169&lt;&gt;"", """" &amp; Y169 &amp; """", ""),
    IF(Z169&lt;&gt;"", """" &amp; Z169 &amp; """", "")
) &amp; "]"</f>
        <v>["ENA", "MIGS-VI", "BV-BRC", "ENA ERC32", "ENA ERC33", "Host", "ENA Sample", "VJDB Sample", "Host Info"]</v>
      </c>
      <c r="AB169" s="49" t="s">
        <v>347</v>
      </c>
      <c r="AC169" s="48"/>
      <c r="AD169" s="49"/>
      <c r="AE169" s="49"/>
      <c r="AF169" s="49"/>
      <c r="AG169" s="49"/>
      <c r="AH169" s="49"/>
      <c r="AI169" s="49"/>
      <c r="AJ169" s="49" t="s">
        <v>901</v>
      </c>
      <c r="AK169" s="49"/>
      <c r="AL169" s="49" t="s">
        <v>1170</v>
      </c>
      <c r="AM169" s="49" t="s">
        <v>351</v>
      </c>
      <c r="AN169" s="49"/>
      <c r="AO169" s="49" t="s">
        <v>1171</v>
      </c>
      <c r="AP169" s="49" t="s">
        <v>1172</v>
      </c>
      <c r="AQ169" s="49"/>
      <c r="AR169" s="49"/>
      <c r="AS169" s="49" t="s">
        <v>1172</v>
      </c>
      <c r="AT169" s="49"/>
      <c r="AU169" s="49" t="s">
        <v>151</v>
      </c>
      <c r="AV169" s="49" t="s">
        <v>130</v>
      </c>
      <c r="AW169" s="49" t="s">
        <v>130</v>
      </c>
      <c r="AX169" s="54" t="s">
        <v>1173</v>
      </c>
      <c r="AY169" s="49" t="s">
        <v>1174</v>
      </c>
      <c r="AZ169" s="48" t="s">
        <v>182</v>
      </c>
      <c r="BA169" s="48" t="s">
        <v>119</v>
      </c>
      <c r="BB169" s="49"/>
      <c r="BC169" s="49" t="s">
        <v>73</v>
      </c>
      <c r="BD169" s="49" t="s">
        <v>142</v>
      </c>
      <c r="BE169" s="48" t="s">
        <v>60</v>
      </c>
    </row>
    <row r="170" spans="1:185" ht="34.5" customHeight="1">
      <c r="A170" s="98" t="s">
        <v>1175</v>
      </c>
      <c r="B170" s="50" t="str">
        <f>LOWER(
  IF(
    RIGHT(
      SUBSTITUTE(SUBSTITUTE(SUBSTITUTE(SUBSTITUTE(SUBSTITUTE(SUBSTITUTE(SUBSTITUTE(C170,"(","_"),")","_"),"/","_"),":","_"),"-","_")," ","_"),"__","_"),
      1
    )="_",
    LEFT(
      SUBSTITUTE(SUBSTITUTE(SUBSTITUTE(SUBSTITUTE(SUBSTITUTE(SUBSTITUTE(SUBSTITUTE(C170,"(","_"),")","_"),"/","_"),":","_"),"-","_")," ","_"),"__","_"),
      LEN(
        SUBSTITUTE(SUBSTITUTE(SUBSTITUTE(SUBSTITUTE(SUBSTITUTE(SUBSTITUTE(SUBSTITUTE(C170,"(","_"),")","_"),"/","_"),":","_"),"-","_")," ","_"),"__","_")
      )-1
    ),
    SUBSTITUTE(SUBSTITUTE(SUBSTITUTE(SUBSTITUTE(SUBSTITUTE(SUBSTITUTE(SUBSTITUTE(C170,"(","_"),")","_"),"/","_"),":","_"),"-","_")," ","_"),"__","_")
  )
)</f>
        <v>host_ncbi_tax_id</v>
      </c>
      <c r="C170" s="48" t="s">
        <v>1176</v>
      </c>
      <c r="D170" s="50" t="s">
        <v>1177</v>
      </c>
      <c r="E170" s="49" t="s">
        <v>334</v>
      </c>
      <c r="F170" s="49" t="s">
        <v>795</v>
      </c>
      <c r="G170" s="49" t="s">
        <v>1178</v>
      </c>
      <c r="H170" s="49" t="s">
        <v>1178</v>
      </c>
      <c r="I170" s="49"/>
      <c r="J170" s="49"/>
      <c r="K170" s="49" t="s">
        <v>910</v>
      </c>
      <c r="L170" s="49"/>
      <c r="M170" s="49"/>
      <c r="N170" s="49"/>
      <c r="O170" s="49"/>
      <c r="P170" s="49"/>
      <c r="Q170" s="49"/>
      <c r="R170" s="73" t="s">
        <v>1179</v>
      </c>
      <c r="S170" s="73" t="s">
        <v>1179</v>
      </c>
      <c r="T170" s="73" t="s">
        <v>1179</v>
      </c>
      <c r="U170" s="49"/>
      <c r="V170" s="50" t="s">
        <v>125</v>
      </c>
      <c r="W170" s="50" t="s">
        <v>126</v>
      </c>
      <c r="X170" s="48" t="s">
        <v>137</v>
      </c>
      <c r="Y170" s="48" t="s">
        <v>1045</v>
      </c>
      <c r="Z170" s="48" t="s">
        <v>337</v>
      </c>
      <c r="AA170" s="49" t="str">
        <f>"[" &amp; _xlfn.TEXTJOIN(", ", TRUE,
    IF(I170&lt;&gt;"", """" &amp; I$1 &amp; """", ""),
    IF(J170&lt;&gt;"", """" &amp; J$1 &amp; """", ""),
    IF(K170&lt;&gt;"", """" &amp; K$1 &amp; """", ""),
    IF(L170&lt;&gt;"", """" &amp; L$1 &amp; """", ""),
    IF(M170&lt;&gt;"", """" &amp; M$1 &amp; """", ""),    IF(N170&lt;&gt;"", """" &amp; N$1 &amp; """", ""),    IF(O170&lt;&gt;"", """" &amp; O$1 &amp; """", ""),     IF(P170&lt;&gt;"", """" &amp; P$1 &amp; """", ""),     IF(Q170&lt;&gt;"", """" &amp; Q$1 &amp; """", ""), IF(R170&lt;&gt;"", """" &amp; R$1 &amp; """", ""), IF(S170&lt;&gt;"", """" &amp; S$1 &amp; """", ""), IF(T170&lt;&gt;"", """" &amp; T$1 &amp; """", ""), IF(U170&lt;&gt;"", """" &amp; U$1 &amp; """", ""),
    IF(X170&lt;&gt;"", """" &amp; X170 &amp; """", ""), IF(V170&lt;&gt;"", """" &amp; V170 &amp; """", ""), IF(W170&lt;&gt;"", """" &amp; W170 &amp; """", ""),
    IF(Y170&lt;&gt;"", """" &amp; Y170 &amp; """", ""),
    IF(Z170&lt;&gt;"", """" &amp; Z170 &amp; """", "")
) &amp; "]"</f>
        <v>["MIGS-VI", "IMG/VR", "PHD", "PhiSpy", "Host", "ENA Sample", "VJDB Sample", "Host Taxonomy", "NCBI Taxonomy"]</v>
      </c>
      <c r="AB170" s="49" t="s">
        <v>15</v>
      </c>
      <c r="AC170" s="48"/>
      <c r="AD170" s="49" t="s">
        <v>118</v>
      </c>
      <c r="AE170" s="49"/>
      <c r="AF170" s="49"/>
      <c r="AG170" s="49"/>
      <c r="AH170" s="49"/>
      <c r="AI170" s="49"/>
      <c r="AJ170" s="49"/>
      <c r="AK170" s="49"/>
      <c r="AL170" s="49"/>
      <c r="AM170" s="49"/>
      <c r="AN170" s="49"/>
      <c r="AO170" s="49"/>
      <c r="AP170" s="49"/>
      <c r="AQ170" s="49"/>
      <c r="AR170" s="49"/>
      <c r="AS170" s="49" t="s">
        <v>1180</v>
      </c>
      <c r="AT170" s="49"/>
      <c r="AU170" s="49" t="s">
        <v>151</v>
      </c>
      <c r="AV170" s="49"/>
      <c r="AW170" s="49"/>
      <c r="AX170" s="54" t="s">
        <v>1181</v>
      </c>
      <c r="AY170" s="49" t="s">
        <v>1182</v>
      </c>
      <c r="AZ170" s="48" t="s">
        <v>64</v>
      </c>
      <c r="BA170" s="48" t="s">
        <v>119</v>
      </c>
      <c r="BB170" s="49"/>
      <c r="BC170" s="49" t="s">
        <v>73</v>
      </c>
      <c r="BD170" s="49" t="s">
        <v>108</v>
      </c>
      <c r="BE170" s="48" t="s">
        <v>60</v>
      </c>
    </row>
    <row r="171" spans="1:185" ht="34.5" customHeight="1">
      <c r="A171" s="102" t="s">
        <v>1183</v>
      </c>
      <c r="B171" s="50" t="str">
        <f>LOWER(
  IF(
    RIGHT(
      SUBSTITUTE(SUBSTITUTE(SUBSTITUTE(SUBSTITUTE(SUBSTITUTE(SUBSTITUTE(SUBSTITUTE(C171,"(","_"),")","_"),"/","_"),":","_"),"-","_")," ","_"),"__","_"),
      1
    )="_",
    LEFT(
      SUBSTITUTE(SUBSTITUTE(SUBSTITUTE(SUBSTITUTE(SUBSTITUTE(SUBSTITUTE(SUBSTITUTE(C171,"(","_"),")","_"),"/","_"),":","_"),"-","_")," ","_"),"__","_"),
      LEN(
        SUBSTITUTE(SUBSTITUTE(SUBSTITUTE(SUBSTITUTE(SUBSTITUTE(SUBSTITUTE(SUBSTITUTE(C171,"(","_"),")","_"),"/","_"),":","_"),"-","_")," ","_"),"__","_")
      )-1
    ),
    SUBSTITUTE(SUBSTITUTE(SUBSTITUTE(SUBSTITUTE(SUBSTITUTE(SUBSTITUTE(SUBSTITUTE(C171,"(","_"),")","_"),"/","_"),":","_"),"-","_")," ","_"),"__","_")
  )
)</f>
        <v>bvbrc_host_sex</v>
      </c>
      <c r="C171" s="83" t="s">
        <v>1184</v>
      </c>
      <c r="D171" s="84" t="s">
        <v>1185</v>
      </c>
      <c r="E171" s="49" t="s">
        <v>98</v>
      </c>
      <c r="F171" s="53" t="s">
        <v>795</v>
      </c>
      <c r="G171" s="53" t="s">
        <v>1186</v>
      </c>
      <c r="H171" s="53" t="s">
        <v>1187</v>
      </c>
      <c r="I171" s="53" t="s">
        <v>1188</v>
      </c>
      <c r="J171" s="53"/>
      <c r="K171" s="53"/>
      <c r="L171" s="53"/>
      <c r="M171" s="53"/>
      <c r="N171" s="53"/>
      <c r="O171" s="53" t="s">
        <v>1189</v>
      </c>
      <c r="P171" s="53" t="s">
        <v>1188</v>
      </c>
      <c r="Q171" s="53" t="s">
        <v>1188</v>
      </c>
      <c r="R171" s="53"/>
      <c r="S171" s="53"/>
      <c r="T171" s="53"/>
      <c r="U171" s="53"/>
      <c r="V171" s="84" t="s">
        <v>125</v>
      </c>
      <c r="W171" s="84" t="s">
        <v>126</v>
      </c>
      <c r="X171" s="48" t="s">
        <v>137</v>
      </c>
      <c r="Y171" s="48" t="s">
        <v>195</v>
      </c>
      <c r="Z171" s="48"/>
      <c r="AA171" s="49" t="str">
        <f>"[" &amp; _xlfn.TEXTJOIN(", ", TRUE,
    IF(I171&lt;&gt;"", """" &amp; I$1 &amp; """", ""),
    IF(J171&lt;&gt;"", """" &amp; J$1 &amp; """", ""),
    IF(K171&lt;&gt;"", """" &amp; K$1 &amp; """", ""),
    IF(L171&lt;&gt;"", """" &amp; L$1 &amp; """", ""),
    IF(M171&lt;&gt;"", """" &amp; M$1 &amp; """", ""),    IF(N171&lt;&gt;"", """" &amp; N$1 &amp; """", ""),    IF(O171&lt;&gt;"", """" &amp; O$1 &amp; """", ""),     IF(P171&lt;&gt;"", """" &amp; P$1 &amp; """", ""),     IF(Q171&lt;&gt;"", """" &amp; Q$1 &amp; """", ""), IF(R171&lt;&gt;"", """" &amp; R$1 &amp; """", ""), IF(S171&lt;&gt;"", """" &amp; S$1 &amp; """", ""), IF(T171&lt;&gt;"", """" &amp; T$1 &amp; """", ""), IF(U171&lt;&gt;"", """" &amp; U$1 &amp; """", ""),
    IF(X171&lt;&gt;"", """" &amp; X171 &amp; """", ""), IF(V171&lt;&gt;"", """" &amp; V171 &amp; """", ""), IF(W171&lt;&gt;"", """" &amp; W171 &amp; """", ""),
    IF(Y171&lt;&gt;"", """" &amp; Y171 &amp; """", ""),
    IF(Z171&lt;&gt;"", """" &amp; Z171 &amp; """", "")
) &amp; "]"</f>
        <v>["ENA", "BV-BRC", "ENA ERC32", "ENA ERC33", "Host", "ENA Sample", "VJDB Sample", "Clinical"]</v>
      </c>
      <c r="AB171" s="53" t="s">
        <v>347</v>
      </c>
      <c r="AC171" s="83"/>
      <c r="AD171" s="53"/>
      <c r="AE171" s="53"/>
      <c r="AF171" s="53"/>
      <c r="AG171" s="53"/>
      <c r="AH171" s="53"/>
      <c r="AI171" s="53"/>
      <c r="AJ171" s="53" t="s">
        <v>901</v>
      </c>
      <c r="AK171" s="53"/>
      <c r="AL171" s="53" t="s">
        <v>1187</v>
      </c>
      <c r="AM171" s="53" t="s">
        <v>351</v>
      </c>
      <c r="AN171" s="53"/>
      <c r="AO171" s="53"/>
      <c r="AP171" s="53" t="s">
        <v>1190</v>
      </c>
      <c r="AQ171" s="53"/>
      <c r="AR171" s="53"/>
      <c r="AS171" s="53" t="s">
        <v>1190</v>
      </c>
      <c r="AT171" s="53"/>
      <c r="AU171" s="53" t="s">
        <v>139</v>
      </c>
      <c r="AV171" s="53" t="s">
        <v>130</v>
      </c>
      <c r="AW171" s="53" t="s">
        <v>130</v>
      </c>
      <c r="AX171" s="85" t="s">
        <v>1191</v>
      </c>
      <c r="AY171" s="53" t="s">
        <v>141</v>
      </c>
      <c r="AZ171" s="83" t="s">
        <v>106</v>
      </c>
      <c r="BA171" s="83" t="s">
        <v>107</v>
      </c>
      <c r="BB171" s="53"/>
      <c r="BC171" s="53" t="s">
        <v>73</v>
      </c>
      <c r="BD171" s="53" t="s">
        <v>108</v>
      </c>
      <c r="BE171" s="53"/>
      <c r="BF171" s="82"/>
      <c r="BG171" s="82"/>
      <c r="BH171" s="82"/>
      <c r="BI171" s="82"/>
      <c r="BJ171" s="82"/>
      <c r="BK171" s="82"/>
      <c r="BL171" s="82"/>
      <c r="BM171" s="82"/>
      <c r="BN171" s="82"/>
      <c r="BO171" s="82"/>
      <c r="BP171" s="82"/>
      <c r="BQ171" s="82"/>
      <c r="BR171" s="82"/>
      <c r="BS171" s="82"/>
      <c r="BT171" s="82"/>
      <c r="BU171" s="82"/>
      <c r="BV171" s="82"/>
      <c r="BW171" s="82"/>
      <c r="BX171" s="82"/>
      <c r="BY171" s="82"/>
      <c r="BZ171" s="82"/>
      <c r="CA171" s="82"/>
      <c r="CB171" s="82"/>
      <c r="CC171" s="82"/>
      <c r="CD171" s="82"/>
      <c r="CE171" s="82"/>
      <c r="CF171" s="82"/>
      <c r="CG171" s="82"/>
      <c r="CH171" s="82"/>
      <c r="CI171" s="82"/>
      <c r="CJ171" s="82"/>
      <c r="CK171" s="82"/>
      <c r="CL171" s="82"/>
      <c r="CM171" s="82"/>
      <c r="CN171" s="82"/>
      <c r="CO171" s="82"/>
      <c r="CP171" s="82"/>
      <c r="CQ171" s="82"/>
      <c r="CR171" s="82"/>
      <c r="CS171" s="82"/>
      <c r="CT171" s="82"/>
      <c r="CU171" s="82"/>
      <c r="CV171" s="82"/>
      <c r="CW171" s="82"/>
      <c r="CX171" s="82"/>
      <c r="CY171" s="82"/>
      <c r="CZ171" s="82"/>
      <c r="DA171" s="82"/>
      <c r="DB171" s="82"/>
      <c r="DC171" s="82"/>
      <c r="DD171" s="82"/>
      <c r="DE171" s="82"/>
      <c r="DF171" s="82"/>
      <c r="DG171" s="82"/>
      <c r="DH171" s="82"/>
      <c r="DI171" s="82"/>
      <c r="DJ171" s="82"/>
      <c r="DK171" s="82"/>
      <c r="DL171" s="82"/>
      <c r="DM171" s="82"/>
      <c r="DN171" s="82"/>
      <c r="DO171" s="82"/>
      <c r="DP171" s="82"/>
      <c r="DQ171" s="82"/>
      <c r="DR171" s="82"/>
      <c r="DS171" s="82"/>
      <c r="DT171" s="82"/>
      <c r="DU171" s="82"/>
      <c r="DV171" s="82"/>
      <c r="DW171" s="82"/>
      <c r="DX171" s="82"/>
      <c r="DY171" s="82"/>
      <c r="DZ171" s="82"/>
      <c r="EA171" s="82"/>
      <c r="EB171" s="82"/>
      <c r="EC171" s="82"/>
      <c r="ED171" s="82"/>
      <c r="EE171" s="82"/>
      <c r="EF171" s="82"/>
      <c r="EG171" s="82"/>
      <c r="EH171" s="82"/>
      <c r="EI171" s="82"/>
      <c r="EJ171" s="82"/>
      <c r="EK171" s="82"/>
      <c r="EL171" s="82"/>
      <c r="EM171" s="82"/>
      <c r="EN171" s="82"/>
      <c r="EO171" s="82"/>
      <c r="EP171" s="82"/>
      <c r="EQ171" s="82"/>
      <c r="ER171" s="82"/>
      <c r="ES171" s="82"/>
      <c r="ET171" s="82"/>
      <c r="EU171" s="82"/>
      <c r="EV171" s="82"/>
      <c r="EW171" s="82"/>
      <c r="EX171" s="82"/>
      <c r="EY171" s="82"/>
      <c r="EZ171" s="82"/>
      <c r="FA171" s="82"/>
      <c r="FB171" s="82"/>
      <c r="FC171" s="82"/>
      <c r="FD171" s="82"/>
      <c r="FE171" s="82"/>
      <c r="FF171" s="82"/>
      <c r="FG171" s="82"/>
      <c r="FH171" s="82"/>
      <c r="FI171" s="82"/>
      <c r="FJ171" s="82"/>
      <c r="FK171" s="82"/>
      <c r="FL171" s="82"/>
      <c r="FM171" s="82"/>
      <c r="FN171" s="82"/>
      <c r="FO171" s="82"/>
      <c r="FP171" s="82"/>
      <c r="FQ171" s="82"/>
      <c r="FR171" s="82"/>
      <c r="FS171" s="82"/>
      <c r="FT171" s="82"/>
      <c r="FU171" s="82"/>
      <c r="FV171" s="82"/>
      <c r="FW171" s="82"/>
      <c r="FX171" s="82"/>
      <c r="FY171" s="82"/>
      <c r="FZ171" s="82"/>
      <c r="GA171" s="82"/>
      <c r="GB171" s="82"/>
      <c r="GC171" s="82"/>
    </row>
    <row r="172" spans="1:185" ht="34.5" customHeight="1">
      <c r="A172" s="98" t="s">
        <v>1192</v>
      </c>
      <c r="B172" s="50" t="str">
        <f>LOWER(
  IF(
    RIGHT(
      SUBSTITUTE(SUBSTITUTE(SUBSTITUTE(SUBSTITUTE(SUBSTITUTE(SUBSTITUTE(SUBSTITUTE(C172,"(","_"),")","_"),"/","_"),":","_"),"-","_")," ","_"),"__","_"),
      1
    )="_",
    LEFT(
      SUBSTITUTE(SUBSTITUTE(SUBSTITUTE(SUBSTITUTE(SUBSTITUTE(SUBSTITUTE(SUBSTITUTE(C172,"(","_"),")","_"),"/","_"),":","_"),"-","_")," ","_"),"__","_"),
      LEN(
        SUBSTITUTE(SUBSTITUTE(SUBSTITUTE(SUBSTITUTE(SUBSTITUTE(SUBSTITUTE(SUBSTITUTE(C172,"(","_"),")","_"),"/","_"),":","_"),"-","_")," ","_"),"__","_")
      )-1
    ),
    SUBSTITUTE(SUBSTITUTE(SUBSTITUTE(SUBSTITUTE(SUBSTITUTE(SUBSTITUTE(SUBSTITUTE(C172,"(","_"),")","_"),"/","_"),":","_"),"-","_")," ","_"),"__","_")
  )
)</f>
        <v>bv_brc_sequence</v>
      </c>
      <c r="C172" s="48" t="s">
        <v>1193</v>
      </c>
      <c r="D172" s="50" t="s">
        <v>1194</v>
      </c>
      <c r="E172" s="49" t="s">
        <v>735</v>
      </c>
      <c r="F172" s="49" t="s">
        <v>795</v>
      </c>
      <c r="G172" s="49"/>
      <c r="H172" s="49"/>
      <c r="I172" s="49"/>
      <c r="J172" s="49"/>
      <c r="K172" s="49"/>
      <c r="L172" s="49"/>
      <c r="M172" s="49"/>
      <c r="N172" s="49"/>
      <c r="O172" s="49"/>
      <c r="P172" s="49"/>
      <c r="Q172" s="49"/>
      <c r="R172" s="49"/>
      <c r="S172" s="49"/>
      <c r="T172" s="49"/>
      <c r="U172" s="49"/>
      <c r="V172" s="50"/>
      <c r="W172" s="50"/>
      <c r="X172" s="48" t="s">
        <v>736</v>
      </c>
      <c r="Y172" s="48" t="s">
        <v>737</v>
      </c>
      <c r="Z172" s="48"/>
      <c r="AA172" s="49" t="str">
        <f>"[" &amp; _xlfn.TEXTJOIN(", ", TRUE,
    IF(I172&lt;&gt;"", """" &amp; I$1 &amp; """", ""),
    IF(J172&lt;&gt;"", """" &amp; J$1 &amp; """", ""),
    IF(K172&lt;&gt;"", """" &amp; K$1 &amp; """", ""),
    IF(L172&lt;&gt;"", """" &amp; L$1 &amp; """", ""),
    IF(M172&lt;&gt;"", """" &amp; M$1 &amp; """", ""),    IF(N172&lt;&gt;"", """" &amp; N$1 &amp; """", ""),    IF(O172&lt;&gt;"", """" &amp; O$1 &amp; """", ""),     IF(P172&lt;&gt;"", """" &amp; P$1 &amp; """", ""),     IF(Q172&lt;&gt;"", """" &amp; Q$1 &amp; """", ""), IF(R172&lt;&gt;"", """" &amp; R$1 &amp; """", ""), IF(S172&lt;&gt;"", """" &amp; S$1 &amp; """", ""), IF(T172&lt;&gt;"", """" &amp; T$1 &amp; """", ""), IF(U172&lt;&gt;"", """" &amp; U$1 &amp; """", ""),
    IF(X172&lt;&gt;"", """" &amp; X172 &amp; """", ""), IF(V172&lt;&gt;"", """" &amp; V172 &amp; """", ""), IF(W172&lt;&gt;"", """" &amp; W172 &amp; """", ""),
    IF(Y172&lt;&gt;"", """" &amp; Y172 &amp; """", ""),
    IF(Z172&lt;&gt;"", """" &amp; Z172 &amp; """", "")
) &amp; "]"</f>
        <v>["Source", "Flags"]</v>
      </c>
      <c r="AB172" s="49" t="s">
        <v>18</v>
      </c>
      <c r="AC172" s="48"/>
      <c r="AD172" s="49" t="s">
        <v>1195</v>
      </c>
      <c r="AE172" s="49"/>
      <c r="AF172" s="49"/>
      <c r="AG172" s="49"/>
      <c r="AH172" s="49"/>
      <c r="AI172" s="49"/>
      <c r="AJ172" s="49"/>
      <c r="AK172" s="49"/>
      <c r="AL172" s="49"/>
      <c r="AM172" s="49"/>
      <c r="AN172" s="49"/>
      <c r="AO172" s="49"/>
      <c r="AP172" s="49"/>
      <c r="AQ172" s="49"/>
      <c r="AR172" s="49"/>
      <c r="AS172" s="49"/>
      <c r="AT172" s="49"/>
      <c r="AU172" s="49"/>
      <c r="AV172" s="49"/>
      <c r="AW172" s="49"/>
      <c r="AX172" s="54" t="s">
        <v>1019</v>
      </c>
      <c r="AY172" s="49" t="s">
        <v>1020</v>
      </c>
      <c r="AZ172" s="48"/>
      <c r="BA172" s="48"/>
      <c r="BB172" s="49"/>
      <c r="BC172" s="49" t="s">
        <v>73</v>
      </c>
      <c r="BD172" s="49" t="s">
        <v>108</v>
      </c>
      <c r="BE172" s="49"/>
    </row>
    <row r="173" spans="1:185" ht="34.5" customHeight="1">
      <c r="A173" s="98" t="s">
        <v>1196</v>
      </c>
      <c r="B173" s="50" t="str">
        <f>LOWER(
  IF(
    RIGHT(
      SUBSTITUTE(SUBSTITUTE(SUBSTITUTE(SUBSTITUTE(SUBSTITUTE(SUBSTITUTE(SUBSTITUTE(C173,"(","_"),")","_"),"/","_"),":","_"),"-","_")," ","_"),"__","_"),
      1
    )="_",
    LEFT(
      SUBSTITUTE(SUBSTITUTE(SUBSTITUTE(SUBSTITUTE(SUBSTITUTE(SUBSTITUTE(SUBSTITUTE(C173,"(","_"),")","_"),"/","_"),":","_"),"-","_")," ","_"),"__","_"),
      LEN(
        SUBSTITUTE(SUBSTITUTE(SUBSTITUTE(SUBSTITUTE(SUBSTITUTE(SUBSTITUTE(SUBSTITUTE(C173,"(","_"),")","_"),"/","_"),":","_"),"-","_")," ","_"),"__","_")
      )-1
    ),
    SUBSTITUTE(SUBSTITUTE(SUBSTITUTE(SUBSTITUTE(SUBSTITUTE(SUBSTITUTE(SUBSTITUTE(C173,"(","_"),")","_"),"/","_"),":","_"),"-","_")," ","_"),"__","_")
  )
)</f>
        <v>pangolin_lineage</v>
      </c>
      <c r="C173" s="48" t="s">
        <v>1197</v>
      </c>
      <c r="D173" s="50" t="s">
        <v>1198</v>
      </c>
      <c r="E173" s="49" t="s">
        <v>98</v>
      </c>
      <c r="F173" s="49" t="s">
        <v>795</v>
      </c>
      <c r="G173" s="49" t="s">
        <v>1199</v>
      </c>
      <c r="H173" s="49"/>
      <c r="I173" s="49"/>
      <c r="J173" s="49" t="s">
        <v>1200</v>
      </c>
      <c r="K173" s="49"/>
      <c r="L173" s="49"/>
      <c r="M173" s="49"/>
      <c r="N173" s="49"/>
      <c r="O173" s="49" t="s">
        <v>1201</v>
      </c>
      <c r="P173" s="49"/>
      <c r="Q173" s="49"/>
      <c r="R173" s="49"/>
      <c r="S173" s="49"/>
      <c r="T173" s="49"/>
      <c r="U173" s="49"/>
      <c r="V173" s="50"/>
      <c r="W173" s="50"/>
      <c r="X173" s="48" t="s">
        <v>288</v>
      </c>
      <c r="Y173" s="48" t="s">
        <v>69</v>
      </c>
      <c r="Z173" s="48"/>
      <c r="AA173" s="49" t="str">
        <f>"[" &amp; _xlfn.TEXTJOIN(", ", TRUE,
    IF(I173&lt;&gt;"", """" &amp; I$1 &amp; """", ""),
    IF(J173&lt;&gt;"", """" &amp; J$1 &amp; """", ""),
    IF(K173&lt;&gt;"", """" &amp; K$1 &amp; """", ""),
    IF(L173&lt;&gt;"", """" &amp; L$1 &amp; """", ""),
    IF(M173&lt;&gt;"", """" &amp; M$1 &amp; """", ""),    IF(N173&lt;&gt;"", """" &amp; N$1 &amp; """", ""),    IF(O173&lt;&gt;"", """" &amp; O$1 &amp; """", ""),     IF(P173&lt;&gt;"", """" &amp; P$1 &amp; """", ""),     IF(Q173&lt;&gt;"", """" &amp; Q$1 &amp; """", ""), IF(R173&lt;&gt;"", """" &amp; R$1 &amp; """", ""), IF(S173&lt;&gt;"", """" &amp; S$1 &amp; """", ""), IF(T173&lt;&gt;"", """" &amp; T$1 &amp; """", ""), IF(U173&lt;&gt;"", """" &amp; U$1 &amp; """", ""),
    IF(X173&lt;&gt;"", """" &amp; X173 &amp; """", ""), IF(V173&lt;&gt;"", """" &amp; V173 &amp; """", ""), IF(W173&lt;&gt;"", """" &amp; W173 &amp; """", ""),
    IF(Y173&lt;&gt;"", """" &amp; Y173 &amp; """", ""),
    IF(Z173&lt;&gt;"", """" &amp; Z173 &amp; """", "")
) &amp; "]"</f>
        <v>["RKI", "BV-BRC", "Analysis", "Sequence"]</v>
      </c>
      <c r="AB173" s="49" t="s">
        <v>949</v>
      </c>
      <c r="AC173" s="48" t="s">
        <v>1202</v>
      </c>
      <c r="AD173" s="49"/>
      <c r="AE173" s="49" t="s">
        <v>82</v>
      </c>
      <c r="AF173" s="49"/>
      <c r="AG173" s="49"/>
      <c r="AH173" s="49"/>
      <c r="AI173" s="49"/>
      <c r="AJ173" s="49" t="s">
        <v>1027</v>
      </c>
      <c r="AK173" s="49"/>
      <c r="AL173" s="49" t="s">
        <v>1203</v>
      </c>
      <c r="AM173" s="49" t="s">
        <v>372</v>
      </c>
      <c r="AN173" s="49"/>
      <c r="AO173" s="49"/>
      <c r="AP173" s="49"/>
      <c r="AQ173" s="49"/>
      <c r="AR173" s="49"/>
      <c r="AS173" s="49"/>
      <c r="AT173" s="49"/>
      <c r="AU173" s="49"/>
      <c r="AV173" s="49"/>
      <c r="AW173" s="49"/>
      <c r="AX173" s="54"/>
      <c r="AY173" s="49"/>
      <c r="AZ173" s="48" t="s">
        <v>182</v>
      </c>
      <c r="BA173" s="48" t="s">
        <v>72</v>
      </c>
      <c r="BB173" s="49"/>
      <c r="BC173" s="49" t="s">
        <v>73</v>
      </c>
      <c r="BD173" s="49" t="s">
        <v>353</v>
      </c>
      <c r="BE173" s="49"/>
    </row>
    <row r="174" spans="1:185" ht="34.5" customHeight="1">
      <c r="A174" s="98" t="s">
        <v>1204</v>
      </c>
      <c r="B174" s="50" t="str">
        <f>LOWER(
  IF(
    RIGHT(
      SUBSTITUTE(SUBSTITUTE(SUBSTITUTE(SUBSTITUTE(SUBSTITUTE(SUBSTITUTE(SUBSTITUTE(C174,"(","_"),")","_"),"/","_"),":","_"),"-","_")," ","_"),"__","_"),
      1
    )="_",
    LEFT(
      SUBSTITUTE(SUBSTITUTE(SUBSTITUTE(SUBSTITUTE(SUBSTITUTE(SUBSTITUTE(SUBSTITUTE(C174,"(","_"),")","_"),"/","_"),":","_"),"-","_")," ","_"),"__","_"),
      LEN(
        SUBSTITUTE(SUBSTITUTE(SUBSTITUTE(SUBSTITUTE(SUBSTITUTE(SUBSTITUTE(SUBSTITUTE(C174,"(","_"),")","_"),"/","_"),":","_"),"-","_")," ","_"),"__","_")
      )-1
    ),
    SUBSTITUTE(SUBSTITUTE(SUBSTITUTE(SUBSTITUTE(SUBSTITUTE(SUBSTITUTE(SUBSTITUTE(C174,"(","_"),")","_"),"/","_"),":","_"),"-","_")," ","_"),"__","_")
  )
)</f>
        <v>ncbi_speciestax_id</v>
      </c>
      <c r="C174" s="48" t="s">
        <v>1205</v>
      </c>
      <c r="D174" s="50" t="s">
        <v>1206</v>
      </c>
      <c r="E174" s="49" t="s">
        <v>334</v>
      </c>
      <c r="F174" s="49" t="s">
        <v>795</v>
      </c>
      <c r="G174" s="49" t="s">
        <v>1207</v>
      </c>
      <c r="H174" s="49" t="s">
        <v>1208</v>
      </c>
      <c r="I174" s="49" t="s">
        <v>1209</v>
      </c>
      <c r="J174" s="49"/>
      <c r="K174" s="49" t="s">
        <v>1210</v>
      </c>
      <c r="L174" s="49"/>
      <c r="M174" s="49"/>
      <c r="N174" s="49"/>
      <c r="O174" s="49" t="s">
        <v>1211</v>
      </c>
      <c r="P174" s="49" t="s">
        <v>1212</v>
      </c>
      <c r="Q174" s="49" t="s">
        <v>1212</v>
      </c>
      <c r="R174" s="73" t="s">
        <v>1213</v>
      </c>
      <c r="S174" s="73" t="s">
        <v>1213</v>
      </c>
      <c r="T174" s="73" t="s">
        <v>1213</v>
      </c>
      <c r="U174" s="73" t="s">
        <v>1214</v>
      </c>
      <c r="V174" s="50" t="s">
        <v>125</v>
      </c>
      <c r="W174" s="50" t="s">
        <v>126</v>
      </c>
      <c r="X174" s="48" t="s">
        <v>698</v>
      </c>
      <c r="Y174" s="48" t="s">
        <v>117</v>
      </c>
      <c r="Z174" s="48" t="s">
        <v>337</v>
      </c>
      <c r="AA174" s="49" t="str">
        <f>"[" &amp; _xlfn.TEXTJOIN(", ", TRUE,
    IF(I174&lt;&gt;"", """" &amp; I$1 &amp; """", ""),
    IF(J174&lt;&gt;"", """" &amp; J$1 &amp; """", ""),
    IF(K174&lt;&gt;"", """" &amp; K$1 &amp; """", ""),
    IF(L174&lt;&gt;"", """" &amp; L$1 &amp; """", ""),
    IF(M174&lt;&gt;"", """" &amp; M$1 &amp; """", ""),    IF(N174&lt;&gt;"", """" &amp; N$1 &amp; """", ""),    IF(O174&lt;&gt;"", """" &amp; O$1 &amp; """", ""),     IF(P174&lt;&gt;"", """" &amp; P$1 &amp; """", ""),     IF(Q174&lt;&gt;"", """" &amp; Q$1 &amp; """", ""), IF(R174&lt;&gt;"", """" &amp; R$1 &amp; """", ""), IF(S174&lt;&gt;"", """" &amp; S$1 &amp; """", ""), IF(T174&lt;&gt;"", """" &amp; T$1 &amp; """", ""), IF(U174&lt;&gt;"", """" &amp; U$1 &amp; """", ""),
    IF(X174&lt;&gt;"", """" &amp; X174 &amp; """", ""), IF(V174&lt;&gt;"", """" &amp; V174 &amp; """", ""), IF(W174&lt;&gt;"", """" &amp; W174 &amp; """", ""),
    IF(Y174&lt;&gt;"", """" &amp; Y174 &amp; """", ""),
    IF(Z174&lt;&gt;"", """" &amp; Z174 &amp; """", "")
) &amp; "]"</f>
        <v>["ENA", "MIGS-VI", "BV-BRC", "ENA ERC32", "ENA ERC33", "IMG/VR", "PHD", "PhiSpy", "GTDB", "Taxonomy", "ENA Sample", "VJDB Sample", "Identifiers", "NCBI Taxonomy"]</v>
      </c>
      <c r="AB174" s="49" t="s">
        <v>347</v>
      </c>
      <c r="AC174" s="48" t="s">
        <v>1215</v>
      </c>
      <c r="AD174" s="49"/>
      <c r="AE174" s="49"/>
      <c r="AF174" s="49"/>
      <c r="AG174" s="49"/>
      <c r="AH174" s="49"/>
      <c r="AI174" s="49"/>
      <c r="AJ174" s="49" t="s">
        <v>1216</v>
      </c>
      <c r="AK174" s="49" t="s">
        <v>698</v>
      </c>
      <c r="AL174" s="49" t="s">
        <v>1212</v>
      </c>
      <c r="AM174" s="49" t="s">
        <v>1060</v>
      </c>
      <c r="AN174" s="49"/>
      <c r="AO174" s="49"/>
      <c r="AP174" s="49" t="s">
        <v>1217</v>
      </c>
      <c r="AQ174" s="49"/>
      <c r="AR174" s="49"/>
      <c r="AS174" s="49" t="s">
        <v>1217</v>
      </c>
      <c r="AT174" s="49"/>
      <c r="AU174" s="49" t="s">
        <v>151</v>
      </c>
      <c r="AV174" s="49" t="s">
        <v>130</v>
      </c>
      <c r="AW174" s="49" t="s">
        <v>130</v>
      </c>
      <c r="AX174" s="54" t="s">
        <v>1218</v>
      </c>
      <c r="AY174" s="49" t="s">
        <v>1182</v>
      </c>
      <c r="AZ174" s="48" t="s">
        <v>182</v>
      </c>
      <c r="BA174" s="48" t="s">
        <v>119</v>
      </c>
      <c r="BB174" s="49"/>
      <c r="BC174" s="49" t="s">
        <v>73</v>
      </c>
      <c r="BD174" s="49" t="s">
        <v>108</v>
      </c>
      <c r="BE174" s="48" t="s">
        <v>60</v>
      </c>
    </row>
    <row r="175" spans="1:185" ht="34.5" customHeight="1">
      <c r="A175" s="98" t="s">
        <v>1219</v>
      </c>
      <c r="B175" s="50" t="str">
        <f>LOWER(
  IF(
    RIGHT(
      SUBSTITUTE(SUBSTITUTE(SUBSTITUTE(SUBSTITUTE(SUBSTITUTE(SUBSTITUTE(SUBSTITUTE(C175,"(","_"),")","_"),"/","_"),":","_"),"-","_")," ","_"),"__","_"),
      1
    )="_",
    LEFT(
      SUBSTITUTE(SUBSTITUTE(SUBSTITUTE(SUBSTITUTE(SUBSTITUTE(SUBSTITUTE(SUBSTITUTE(C175,"(","_"),")","_"),"/","_"),":","_"),"-","_")," ","_"),"__","_"),
      LEN(
        SUBSTITUTE(SUBSTITUTE(SUBSTITUTE(SUBSTITUTE(SUBSTITUTE(SUBSTITUTE(SUBSTITUTE(C175,"(","_"),")","_"),"/","_"),":","_"),"-","_")," ","_"),"__","_")
      )-1
    ),
    SUBSTITUTE(SUBSTITUTE(SUBSTITUTE(SUBSTITUTE(SUBSTITUTE(SUBSTITUTE(SUBSTITUTE(C175,"(","_"),")","_"),"/","_"),":","_"),"-","_")," ","_"),"__","_")
  )
)</f>
        <v>average_depth</v>
      </c>
      <c r="C175" s="48" t="s">
        <v>1220</v>
      </c>
      <c r="D175" s="50" t="s">
        <v>1221</v>
      </c>
      <c r="E175" s="49" t="s">
        <v>92</v>
      </c>
      <c r="F175" s="49" t="s">
        <v>795</v>
      </c>
      <c r="G175" s="49" t="s">
        <v>1222</v>
      </c>
      <c r="H175" s="49"/>
      <c r="I175" s="49" t="s">
        <v>1223</v>
      </c>
      <c r="J175" s="49"/>
      <c r="K175" s="49"/>
      <c r="L175" s="49"/>
      <c r="M175" s="49"/>
      <c r="N175" s="49"/>
      <c r="O175" s="49" t="s">
        <v>1224</v>
      </c>
      <c r="P175" s="49"/>
      <c r="Q175" s="49"/>
      <c r="R175" s="49"/>
      <c r="S175" s="49"/>
      <c r="T175" s="49"/>
      <c r="U175" s="49"/>
      <c r="V175" s="50"/>
      <c r="W175" s="50"/>
      <c r="X175" s="48" t="s">
        <v>288</v>
      </c>
      <c r="Y175" s="48" t="s">
        <v>69</v>
      </c>
      <c r="Z175" s="48" t="s">
        <v>93</v>
      </c>
      <c r="AA175" s="49" t="str">
        <f>"[" &amp; _xlfn.TEXTJOIN(", ", TRUE,
    IF(I175&lt;&gt;"", """" &amp; I$1 &amp; """", ""),
    IF(J175&lt;&gt;"", """" &amp; J$1 &amp; """", ""),
    IF(K175&lt;&gt;"", """" &amp; K$1 &amp; """", ""),
    IF(L175&lt;&gt;"", """" &amp; L$1 &amp; """", ""),
    IF(M175&lt;&gt;"", """" &amp; M$1 &amp; """", ""),    IF(N175&lt;&gt;"", """" &amp; N$1 &amp; """", ""),    IF(O175&lt;&gt;"", """" &amp; O$1 &amp; """", ""),     IF(P175&lt;&gt;"", """" &amp; P$1 &amp; """", ""),     IF(Q175&lt;&gt;"", """" &amp; Q$1 &amp; """", ""), IF(R175&lt;&gt;"", """" &amp; R$1 &amp; """", ""), IF(S175&lt;&gt;"", """" &amp; S$1 &amp; """", ""), IF(T175&lt;&gt;"", """" &amp; T$1 &amp; """", ""), IF(U175&lt;&gt;"", """" &amp; U$1 &amp; """", ""),
    IF(X175&lt;&gt;"", """" &amp; X175 &amp; """", ""), IF(V175&lt;&gt;"", """" &amp; V175 &amp; """", ""), IF(W175&lt;&gt;"", """" &amp; W175 &amp; """", ""),
    IF(Y175&lt;&gt;"", """" &amp; Y175 &amp; """", ""),
    IF(Z175&lt;&gt;"", """" &amp; Z175 &amp; """", "")
) &amp; "]"</f>
        <v>["ENA", "BV-BRC", "Analysis", "Sequence", "Workflows"]</v>
      </c>
      <c r="AB175" s="49" t="s">
        <v>347</v>
      </c>
      <c r="AC175" s="48"/>
      <c r="AD175" s="49"/>
      <c r="AE175" s="49" t="s">
        <v>82</v>
      </c>
      <c r="AF175" s="49"/>
      <c r="AG175" s="49"/>
      <c r="AH175" s="49"/>
      <c r="AI175" s="49"/>
      <c r="AJ175" s="49" t="s">
        <v>887</v>
      </c>
      <c r="AK175" s="49"/>
      <c r="AL175" s="49" t="s">
        <v>1225</v>
      </c>
      <c r="AM175" s="49" t="s">
        <v>351</v>
      </c>
      <c r="AN175" s="49"/>
      <c r="AO175" s="49" t="s">
        <v>1226</v>
      </c>
      <c r="AP175" s="49"/>
      <c r="AQ175" s="49"/>
      <c r="AR175" s="49"/>
      <c r="AS175" s="49"/>
      <c r="AT175" s="49"/>
      <c r="AU175" s="49"/>
      <c r="AV175" s="49" t="s">
        <v>130</v>
      </c>
      <c r="AW175" s="49" t="s">
        <v>130</v>
      </c>
      <c r="AX175" s="54" t="s">
        <v>1227</v>
      </c>
      <c r="AY175" s="49" t="s">
        <v>1228</v>
      </c>
      <c r="AZ175" s="48" t="s">
        <v>64</v>
      </c>
      <c r="BA175" s="48" t="s">
        <v>119</v>
      </c>
      <c r="BB175" s="49"/>
      <c r="BC175" s="49" t="s">
        <v>73</v>
      </c>
      <c r="BD175" s="49" t="s">
        <v>94</v>
      </c>
      <c r="BE175" s="49"/>
    </row>
    <row r="176" spans="1:185" ht="34.5" customHeight="1">
      <c r="A176" s="98" t="s">
        <v>1229</v>
      </c>
      <c r="B176" s="50" t="str">
        <f>LOWER(
  IF(
    RIGHT(
      SUBSTITUTE(SUBSTITUTE(SUBSTITUTE(SUBSTITUTE(SUBSTITUTE(SUBSTITUTE(SUBSTITUTE(C176,"(","_"),")","_"),"/","_"),":","_"),"-","_")," ","_"),"__","_"),
      1
    )="_",
    LEFT(
      SUBSTITUTE(SUBSTITUTE(SUBSTITUTE(SUBSTITUTE(SUBSTITUTE(SUBSTITUTE(SUBSTITUTE(C176,"(","_"),")","_"),"/","_"),":","_"),"-","_")," ","_"),"__","_"),
      LEN(
        SUBSTITUTE(SUBSTITUTE(SUBSTITUTE(SUBSTITUTE(SUBSTITUTE(SUBSTITUTE(SUBSTITUTE(C176,"(","_"),")","_"),"/","_"),":","_"),"-","_")," ","_"),"__","_")
      )-1
    ),
    SUBSTITUTE(SUBSTITUTE(SUBSTITUTE(SUBSTITUTE(SUBSTITUTE(SUBSTITUTE(SUBSTITUTE(C176,"(","_"),")","_"),"/","_"),":","_"),"-","_")," ","_"),"__","_")
  )
)</f>
        <v>gc_content</v>
      </c>
      <c r="C176" s="48" t="s">
        <v>1230</v>
      </c>
      <c r="D176" s="50" t="s">
        <v>1231</v>
      </c>
      <c r="E176" s="49" t="s">
        <v>92</v>
      </c>
      <c r="F176" s="49" t="s">
        <v>795</v>
      </c>
      <c r="G176" s="49" t="s">
        <v>1232</v>
      </c>
      <c r="H176" s="49" t="s">
        <v>1232</v>
      </c>
      <c r="I176" s="49"/>
      <c r="J176" s="49"/>
      <c r="K176" s="49"/>
      <c r="L176" s="49"/>
      <c r="M176" s="49"/>
      <c r="N176" s="49"/>
      <c r="O176" s="49" t="s">
        <v>1230</v>
      </c>
      <c r="P176" s="49"/>
      <c r="Q176" s="49"/>
      <c r="R176" s="49"/>
      <c r="S176" s="49"/>
      <c r="T176" s="49"/>
      <c r="U176" s="49"/>
      <c r="V176" s="50"/>
      <c r="W176" s="50"/>
      <c r="X176" s="48" t="s">
        <v>288</v>
      </c>
      <c r="Y176" s="48" t="s">
        <v>69</v>
      </c>
      <c r="Z176" s="48" t="s">
        <v>93</v>
      </c>
      <c r="AA176" s="49" t="str">
        <f>"[" &amp; _xlfn.TEXTJOIN(", ", TRUE,
    IF(I176&lt;&gt;"", """" &amp; I$1 &amp; """", ""),
    IF(J176&lt;&gt;"", """" &amp; J$1 &amp; """", ""),
    IF(K176&lt;&gt;"", """" &amp; K$1 &amp; """", ""),
    IF(L176&lt;&gt;"", """" &amp; L$1 &amp; """", ""),
    IF(M176&lt;&gt;"", """" &amp; M$1 &amp; """", ""),    IF(N176&lt;&gt;"", """" &amp; N$1 &amp; """", ""),    IF(O176&lt;&gt;"", """" &amp; O$1 &amp; """", ""),     IF(P176&lt;&gt;"", """" &amp; P$1 &amp; """", ""),     IF(Q176&lt;&gt;"", """" &amp; Q$1 &amp; """", ""), IF(R176&lt;&gt;"", """" &amp; R$1 &amp; """", ""), IF(S176&lt;&gt;"", """" &amp; S$1 &amp; """", ""), IF(T176&lt;&gt;"", """" &amp; T$1 &amp; """", ""), IF(U176&lt;&gt;"", """" &amp; U$1 &amp; """", ""),
    IF(X176&lt;&gt;"", """" &amp; X176 &amp; """", ""), IF(V176&lt;&gt;"", """" &amp; V176 &amp; """", ""), IF(W176&lt;&gt;"", """" &amp; W176 &amp; """", ""),
    IF(Y176&lt;&gt;"", """" &amp; Y176 &amp; """", ""),
    IF(Z176&lt;&gt;"", """" &amp; Z176 &amp; """", "")
) &amp; "]"</f>
        <v>["BV-BRC", "Analysis", "Sequence", "Workflows"]</v>
      </c>
      <c r="AB176" s="49" t="s">
        <v>347</v>
      </c>
      <c r="AC176" s="48"/>
      <c r="AD176" s="49"/>
      <c r="AE176" s="49"/>
      <c r="AF176" s="49"/>
      <c r="AG176" s="49"/>
      <c r="AH176" s="49"/>
      <c r="AI176" s="49"/>
      <c r="AJ176" s="49" t="s">
        <v>1058</v>
      </c>
      <c r="AK176" s="49" t="s">
        <v>1058</v>
      </c>
      <c r="AL176" s="49" t="s">
        <v>1233</v>
      </c>
      <c r="AM176" s="49" t="s">
        <v>92</v>
      </c>
      <c r="AN176" s="49"/>
      <c r="AO176" s="49"/>
      <c r="AP176" s="49"/>
      <c r="AQ176" s="49"/>
      <c r="AR176" s="49"/>
      <c r="AS176" s="49"/>
      <c r="AT176" s="49"/>
      <c r="AU176" s="49"/>
      <c r="AV176" s="49"/>
      <c r="AW176" s="49"/>
      <c r="AX176" s="54" t="s">
        <v>1234</v>
      </c>
      <c r="AY176" s="49" t="s">
        <v>1235</v>
      </c>
      <c r="AZ176" s="48" t="s">
        <v>64</v>
      </c>
      <c r="BA176" s="48" t="s">
        <v>72</v>
      </c>
      <c r="BB176" s="49"/>
      <c r="BC176" s="49" t="s">
        <v>73</v>
      </c>
      <c r="BD176" s="49" t="s">
        <v>94</v>
      </c>
      <c r="BE176" s="49"/>
    </row>
    <row r="177" spans="1:186" ht="34.5" customHeight="1">
      <c r="A177" s="98" t="s">
        <v>1236</v>
      </c>
      <c r="B177" s="50" t="str">
        <f>LOWER(
  IF(
    RIGHT(
      SUBSTITUTE(SUBSTITUTE(SUBSTITUTE(SUBSTITUTE(SUBSTITUTE(SUBSTITUTE(SUBSTITUTE(C177,"(","_"),")","_"),"/","_"),":","_"),"-","_")," ","_"),"__","_"),
      1
    )="_",
    LEFT(
      SUBSTITUTE(SUBSTITUTE(SUBSTITUTE(SUBSTITUTE(SUBSTITUTE(SUBSTITUTE(SUBSTITUTE(C177,"(","_"),")","_"),"/","_"),":","_"),"-","_")," ","_"),"__","_"),
      LEN(
        SUBSTITUTE(SUBSTITUTE(SUBSTITUTE(SUBSTITUTE(SUBSTITUTE(SUBSTITUTE(SUBSTITUTE(C177,"(","_"),")","_"),"/","_"),":","_"),"-","_")," ","_"),"__","_")
      )-1
    ),
    SUBSTITUTE(SUBSTITUTE(SUBSTITUTE(SUBSTITUTE(SUBSTITUTE(SUBSTITUTE(SUBSTITUTE(C177,"(","_"),")","_"),"/","_"),":","_"),"-","_")," ","_"),"__","_")
  )
)</f>
        <v>sequencing_center</v>
      </c>
      <c r="C177" s="48" t="s">
        <v>1237</v>
      </c>
      <c r="D177" s="50" t="s">
        <v>1238</v>
      </c>
      <c r="E177" s="49" t="s">
        <v>98</v>
      </c>
      <c r="F177" s="49" t="s">
        <v>795</v>
      </c>
      <c r="G177" s="49" t="s">
        <v>1239</v>
      </c>
      <c r="H177" s="49" t="s">
        <v>1239</v>
      </c>
      <c r="I177" s="49"/>
      <c r="J177" s="49"/>
      <c r="K177" s="49"/>
      <c r="L177" s="49"/>
      <c r="M177" s="49"/>
      <c r="N177" s="49"/>
      <c r="O177" s="49" t="s">
        <v>1237</v>
      </c>
      <c r="P177" s="49"/>
      <c r="Q177" s="49"/>
      <c r="R177" s="49"/>
      <c r="S177" s="49"/>
      <c r="T177" s="49"/>
      <c r="U177" s="49"/>
      <c r="V177" s="50"/>
      <c r="W177" s="50"/>
      <c r="X177" s="48" t="s">
        <v>116</v>
      </c>
      <c r="Y177" s="48" t="s">
        <v>69</v>
      </c>
      <c r="Z177" s="48" t="s">
        <v>93</v>
      </c>
      <c r="AA177" s="49" t="str">
        <f>"[" &amp; _xlfn.TEXTJOIN(", ", TRUE,
    IF(I177&lt;&gt;"", """" &amp; I$1 &amp; """", ""),
    IF(J177&lt;&gt;"", """" &amp; J$1 &amp; """", ""),
    IF(K177&lt;&gt;"", """" &amp; K$1 &amp; """", ""),
    IF(L177&lt;&gt;"", """" &amp; L$1 &amp; """", ""),
    IF(M177&lt;&gt;"", """" &amp; M$1 &amp; """", ""),    IF(N177&lt;&gt;"", """" &amp; N$1 &amp; """", ""),    IF(O177&lt;&gt;"", """" &amp; O$1 &amp; """", ""),     IF(P177&lt;&gt;"", """" &amp; P$1 &amp; """", ""),     IF(Q177&lt;&gt;"", """" &amp; Q$1 &amp; """", ""), IF(R177&lt;&gt;"", """" &amp; R$1 &amp; """", ""), IF(S177&lt;&gt;"", """" &amp; S$1 &amp; """", ""), IF(T177&lt;&gt;"", """" &amp; T$1 &amp; """", ""), IF(U177&lt;&gt;"", """" &amp; U$1 &amp; """", ""),
    IF(X177&lt;&gt;"", """" &amp; X177 &amp; """", ""), IF(V177&lt;&gt;"", """" &amp; V177 &amp; """", ""), IF(W177&lt;&gt;"", """" &amp; W177 &amp; """", ""),
    IF(Y177&lt;&gt;"", """" &amp; Y177 &amp; """", ""),
    IF(Z177&lt;&gt;"", """" &amp; Z177 &amp; """", "")
) &amp; "]"</f>
        <v>["BV-BRC", "Organizational", "Sequence", "Workflows"]</v>
      </c>
      <c r="AB177" s="49" t="s">
        <v>347</v>
      </c>
      <c r="AC177" s="48"/>
      <c r="AD177" s="49"/>
      <c r="AE177" s="49"/>
      <c r="AF177" s="49"/>
      <c r="AG177" s="49"/>
      <c r="AH177" s="49"/>
      <c r="AI177" s="49"/>
      <c r="AJ177" s="49" t="s">
        <v>887</v>
      </c>
      <c r="AK177" s="49"/>
      <c r="AL177" s="49" t="s">
        <v>1240</v>
      </c>
      <c r="AM177" s="49" t="s">
        <v>351</v>
      </c>
      <c r="AN177" s="49"/>
      <c r="AO177" s="49"/>
      <c r="AP177" s="49"/>
      <c r="AQ177" s="49"/>
      <c r="AR177" s="49"/>
      <c r="AS177" s="49"/>
      <c r="AT177" s="49"/>
      <c r="AU177" s="49"/>
      <c r="AV177" s="49"/>
      <c r="AW177" s="49"/>
      <c r="AX177" s="54" t="s">
        <v>1241</v>
      </c>
      <c r="AY177" s="49" t="s">
        <v>131</v>
      </c>
      <c r="AZ177" s="48" t="s">
        <v>64</v>
      </c>
      <c r="BA177" s="48" t="s">
        <v>72</v>
      </c>
      <c r="BB177" s="49"/>
      <c r="BC177" s="49" t="s">
        <v>73</v>
      </c>
      <c r="BD177" s="49" t="s">
        <v>74</v>
      </c>
      <c r="BE177" s="49"/>
    </row>
    <row r="178" spans="1:186" ht="34.5" customHeight="1">
      <c r="A178" s="98" t="s">
        <v>1242</v>
      </c>
      <c r="B178" s="50" t="str">
        <f>LOWER(
  IF(
    RIGHT(
      SUBSTITUTE(SUBSTITUTE(SUBSTITUTE(SUBSTITUTE(SUBSTITUTE(SUBSTITUTE(SUBSTITUTE(C178,"(","_"),")","_"),"/","_"),":","_"),"-","_")," ","_"),"__","_"),
      1
    )="_",
    LEFT(
      SUBSTITUTE(SUBSTITUTE(SUBSTITUTE(SUBSTITUTE(SUBSTITUTE(SUBSTITUTE(SUBSTITUTE(C178,"(","_"),")","_"),"/","_"),":","_"),"-","_")," ","_"),"__","_"),
      LEN(
        SUBSTITUTE(SUBSTITUTE(SUBSTITUTE(SUBSTITUTE(SUBSTITUTE(SUBSTITUTE(SUBSTITUTE(C178,"(","_"),")","_"),"/","_"),":","_"),"-","_")," ","_"),"__","_")
      )-1
    ),
    SUBSTITUTE(SUBSTITUTE(SUBSTITUTE(SUBSTITUTE(SUBSTITUTE(SUBSTITUTE(SUBSTITUTE(C178,"(","_"),")","_"),"/","_"),":","_"),"-","_")," ","_"),"__","_")
  )
)</f>
        <v>platform</v>
      </c>
      <c r="C178" s="48" t="s">
        <v>1243</v>
      </c>
      <c r="D178" s="50" t="s">
        <v>1244</v>
      </c>
      <c r="E178" s="49" t="s">
        <v>64</v>
      </c>
      <c r="F178" s="49" t="s">
        <v>795</v>
      </c>
      <c r="G178" s="49" t="s">
        <v>1245</v>
      </c>
      <c r="H178" s="49"/>
      <c r="I178" s="49" t="s">
        <v>1246</v>
      </c>
      <c r="J178" s="49" t="s">
        <v>1247</v>
      </c>
      <c r="K178" s="49"/>
      <c r="L178" s="49"/>
      <c r="M178" s="49"/>
      <c r="N178" s="49"/>
      <c r="O178" s="49" t="s">
        <v>1248</v>
      </c>
      <c r="P178" s="49" t="s">
        <v>1249</v>
      </c>
      <c r="Q178" s="49" t="s">
        <v>1249</v>
      </c>
      <c r="R178" s="49"/>
      <c r="S178" s="49"/>
      <c r="T178" s="49"/>
      <c r="U178" s="49"/>
      <c r="V178" s="50" t="s">
        <v>390</v>
      </c>
      <c r="W178" s="50" t="s">
        <v>391</v>
      </c>
      <c r="X178" s="48" t="s">
        <v>288</v>
      </c>
      <c r="Y178" s="48" t="s">
        <v>69</v>
      </c>
      <c r="Z178" s="48" t="s">
        <v>93</v>
      </c>
      <c r="AA178" s="49" t="str">
        <f>"[" &amp; _xlfn.TEXTJOIN(", ", TRUE,
    IF(I178&lt;&gt;"", """" &amp; I$1 &amp; """", ""),
    IF(J178&lt;&gt;"", """" &amp; J$1 &amp; """", ""),
    IF(K178&lt;&gt;"", """" &amp; K$1 &amp; """", ""),
    IF(L178&lt;&gt;"", """" &amp; L$1 &amp; """", ""),
    IF(M178&lt;&gt;"", """" &amp; M$1 &amp; """", ""),    IF(N178&lt;&gt;"", """" &amp; N$1 &amp; """", ""),    IF(O178&lt;&gt;"", """" &amp; O$1 &amp; """", ""),     IF(P178&lt;&gt;"", """" &amp; P$1 &amp; """", ""),     IF(Q178&lt;&gt;"", """" &amp; Q$1 &amp; """", ""), IF(R178&lt;&gt;"", """" &amp; R$1 &amp; """", ""), IF(S178&lt;&gt;"", """" &amp; S$1 &amp; """", ""), IF(T178&lt;&gt;"", """" &amp; T$1 &amp; """", ""), IF(U178&lt;&gt;"", """" &amp; U$1 &amp; """", ""),
    IF(X178&lt;&gt;"", """" &amp; X178 &amp; """", ""), IF(V178&lt;&gt;"", """" &amp; V178 &amp; """", ""), IF(W178&lt;&gt;"", """" &amp; W178 &amp; """", ""),
    IF(Y178&lt;&gt;"", """" &amp; Y178 &amp; """", ""),
    IF(Z178&lt;&gt;"", """" &amp; Z178 &amp; """", "")
) &amp; "]"</f>
        <v>["ENA", "RKI", "BV-BRC", "ENA ERC32", "ENA ERC33", "Analysis", "ENA Experiment", "VJDB Experiment", "Sequence", "Workflows"]</v>
      </c>
      <c r="AB178" s="49" t="s">
        <v>347</v>
      </c>
      <c r="AC178" s="48"/>
      <c r="AD178" s="49"/>
      <c r="AE178" s="49" t="s">
        <v>82</v>
      </c>
      <c r="AF178" s="49"/>
      <c r="AG178" s="49"/>
      <c r="AH178" s="49"/>
      <c r="AI178" s="49"/>
      <c r="AJ178" s="49" t="s">
        <v>887</v>
      </c>
      <c r="AK178" s="49"/>
      <c r="AL178" s="49" t="s">
        <v>1245</v>
      </c>
      <c r="AM178" s="49" t="s">
        <v>351</v>
      </c>
      <c r="AN178" s="49"/>
      <c r="AO178" s="49"/>
      <c r="AP178" s="49" t="s">
        <v>1250</v>
      </c>
      <c r="AQ178" s="49"/>
      <c r="AR178" s="49"/>
      <c r="AS178" s="49" t="s">
        <v>1250</v>
      </c>
      <c r="AT178" s="49"/>
      <c r="AU178" s="49" t="s">
        <v>139</v>
      </c>
      <c r="AV178" s="49" t="s">
        <v>130</v>
      </c>
      <c r="AW178" s="49" t="s">
        <v>130</v>
      </c>
      <c r="AX178" s="54" t="s">
        <v>1251</v>
      </c>
      <c r="AY178" s="49" t="s">
        <v>141</v>
      </c>
      <c r="AZ178" s="48" t="s">
        <v>106</v>
      </c>
      <c r="BA178" s="48" t="s">
        <v>107</v>
      </c>
      <c r="BB178" s="49"/>
      <c r="BC178" s="49" t="s">
        <v>73</v>
      </c>
      <c r="BD178" s="49" t="s">
        <v>142</v>
      </c>
      <c r="BE178" s="49"/>
    </row>
    <row r="179" spans="1:186" ht="34.5" customHeight="1">
      <c r="A179" s="98" t="s">
        <v>1252</v>
      </c>
      <c r="B179" s="50" t="str">
        <f>LOWER(
  IF(
    RIGHT(
      SUBSTITUTE(SUBSTITUTE(SUBSTITUTE(SUBSTITUTE(SUBSTITUTE(SUBSTITUTE(SUBSTITUTE(C179,"(","_"),")","_"),"/","_"),":","_"),"-","_")," ","_"),"__","_"),
      1
    )="_",
    LEFT(
      SUBSTITUTE(SUBSTITUTE(SUBSTITUTE(SUBSTITUTE(SUBSTITUTE(SUBSTITUTE(SUBSTITUTE(C179,"(","_"),")","_"),"/","_"),":","_"),"-","_")," ","_"),"__","_"),
      LEN(
        SUBSTITUTE(SUBSTITUTE(SUBSTITUTE(SUBSTITUTE(SUBSTITUTE(SUBSTITUTE(SUBSTITUTE(C179,"(","_"),")","_"),"/","_"),":","_"),"-","_")," ","_"),"__","_")
      )-1
    ),
    SUBSTITUTE(SUBSTITUTE(SUBSTITUTE(SUBSTITUTE(SUBSTITUTE(SUBSTITUTE(SUBSTITUTE(C179,"(","_"),")","_"),"/","_"),":","_"),"-","_")," ","_"),"__","_")
  )
)</f>
        <v>sequence_source</v>
      </c>
      <c r="C179" s="48" t="s">
        <v>1253</v>
      </c>
      <c r="D179" s="50" t="s">
        <v>1254</v>
      </c>
      <c r="E179" s="49" t="s">
        <v>98</v>
      </c>
      <c r="F179" s="49" t="s">
        <v>795</v>
      </c>
      <c r="G179" s="49" t="s">
        <v>1255</v>
      </c>
      <c r="H179" s="49" t="s">
        <v>1256</v>
      </c>
      <c r="I179" s="49"/>
      <c r="J179" s="49"/>
      <c r="K179" s="49"/>
      <c r="L179" s="49"/>
      <c r="M179" s="49"/>
      <c r="N179" s="49"/>
      <c r="O179" s="49"/>
      <c r="P179" s="49"/>
      <c r="Q179" s="49"/>
      <c r="R179" s="49"/>
      <c r="S179" s="49"/>
      <c r="T179" s="49"/>
      <c r="U179" s="49"/>
      <c r="V179" s="50"/>
      <c r="W179" s="50"/>
      <c r="X179" s="48" t="s">
        <v>116</v>
      </c>
      <c r="Y179" s="48" t="s">
        <v>736</v>
      </c>
      <c r="Z179" s="48"/>
      <c r="AA179" s="49" t="str">
        <f>"[" &amp; _xlfn.TEXTJOIN(", ", TRUE,
    IF(I179&lt;&gt;"", """" &amp; I$1 &amp; """", ""),
    IF(J179&lt;&gt;"", """" &amp; J$1 &amp; """", ""),
    IF(K179&lt;&gt;"", """" &amp; K$1 &amp; """", ""),
    IF(L179&lt;&gt;"", """" &amp; L$1 &amp; """", ""),
    IF(M179&lt;&gt;"", """" &amp; M$1 &amp; """", ""),    IF(N179&lt;&gt;"", """" &amp; N$1 &amp; """", ""),    IF(O179&lt;&gt;"", """" &amp; O$1 &amp; """", ""),     IF(P179&lt;&gt;"", """" &amp; P$1 &amp; """", ""),     IF(Q179&lt;&gt;"", """" &amp; Q$1 &amp; """", ""), IF(R179&lt;&gt;"", """" &amp; R$1 &amp; """", ""), IF(S179&lt;&gt;"", """" &amp; S$1 &amp; """", ""), IF(T179&lt;&gt;"", """" &amp; T$1 &amp; """", ""), IF(U179&lt;&gt;"", """" &amp; U$1 &amp; """", ""),
    IF(X179&lt;&gt;"", """" &amp; X179 &amp; """", ""), IF(V179&lt;&gt;"", """" &amp; V179 &amp; """", ""), IF(W179&lt;&gt;"", """" &amp; W179 &amp; """", ""),
    IF(Y179&lt;&gt;"", """" &amp; Y179 &amp; """", ""),
    IF(Z179&lt;&gt;"", """" &amp; Z179 &amp; """", "")
) &amp; "]"</f>
        <v>["Organizational", "Source"]</v>
      </c>
      <c r="AB179" s="49" t="s">
        <v>18</v>
      </c>
      <c r="AC179" s="48" t="s">
        <v>196</v>
      </c>
      <c r="AD179" s="49" t="s">
        <v>1257</v>
      </c>
      <c r="AE179" s="49"/>
      <c r="AF179" s="49"/>
      <c r="AG179" s="49"/>
      <c r="AH179" s="49"/>
      <c r="AI179" s="49"/>
      <c r="AJ179" s="49"/>
      <c r="AK179" s="49"/>
      <c r="AL179" s="49"/>
      <c r="AM179" s="49"/>
      <c r="AN179" s="49"/>
      <c r="AO179" s="49"/>
      <c r="AP179" s="49"/>
      <c r="AQ179" s="49"/>
      <c r="AR179" s="49"/>
      <c r="AS179" s="49"/>
      <c r="AT179" s="49"/>
      <c r="AU179" s="49"/>
      <c r="AV179" s="49"/>
      <c r="AW179" s="49"/>
      <c r="AX179" s="54"/>
      <c r="AY179" s="49"/>
      <c r="AZ179" s="48" t="s">
        <v>106</v>
      </c>
      <c r="BA179" s="48" t="s">
        <v>107</v>
      </c>
      <c r="BB179" s="49"/>
      <c r="BC179" s="49" t="s">
        <v>73</v>
      </c>
      <c r="BD179" s="49" t="s">
        <v>142</v>
      </c>
      <c r="BE179" s="49"/>
    </row>
    <row r="180" spans="1:186" s="71" customFormat="1" ht="34.5" customHeight="1">
      <c r="A180" s="98" t="s">
        <v>1258</v>
      </c>
      <c r="B180" s="50" t="str">
        <f>LOWER(
  IF(
    RIGHT(
      SUBSTITUTE(SUBSTITUTE(SUBSTITUTE(SUBSTITUTE(SUBSTITUTE(SUBSTITUTE(SUBSTITUTE(C180,"(","_"),")","_"),"/","_"),":","_"),"-","_")," ","_"),"__","_"),
      1
    )="_",
    LEFT(
      SUBSTITUTE(SUBSTITUTE(SUBSTITUTE(SUBSTITUTE(SUBSTITUTE(SUBSTITUTE(SUBSTITUTE(C180,"(","_"),")","_"),"/","_"),":","_"),"-","_")," ","_"),"__","_"),
      LEN(
        SUBSTITUTE(SUBSTITUTE(SUBSTITUTE(SUBSTITUTE(SUBSTITUTE(SUBSTITUTE(SUBSTITUTE(C180,"(","_"),")","_"),"/","_"),":","_"),"-","_")," ","_"),"__","_")
      )-1
    ),
    SUBSTITUTE(SUBSTITUTE(SUBSTITUTE(SUBSTITUTE(SUBSTITUTE(SUBSTITUTE(SUBSTITUTE(C180,"(","_"),")","_"),"/","_"),":","_"),"-","_")," ","_"),"__","_")
  )
)</f>
        <v>submitter_country</v>
      </c>
      <c r="C180" s="48" t="s">
        <v>1259</v>
      </c>
      <c r="D180" s="50" t="s">
        <v>1260</v>
      </c>
      <c r="E180" s="49" t="s">
        <v>64</v>
      </c>
      <c r="F180" s="49" t="s">
        <v>795</v>
      </c>
      <c r="G180" s="49" t="s">
        <v>1261</v>
      </c>
      <c r="H180" s="49"/>
      <c r="I180" s="49"/>
      <c r="J180" s="49"/>
      <c r="K180" s="49"/>
      <c r="L180" s="49"/>
      <c r="M180" s="49"/>
      <c r="N180" s="49" t="s">
        <v>1262</v>
      </c>
      <c r="O180" s="49"/>
      <c r="P180" s="49"/>
      <c r="Q180" s="49"/>
      <c r="R180" s="49"/>
      <c r="S180" s="49"/>
      <c r="T180" s="49"/>
      <c r="U180" s="49"/>
      <c r="V180" s="50"/>
      <c r="W180" s="50" t="s">
        <v>619</v>
      </c>
      <c r="X180" s="48" t="s">
        <v>68</v>
      </c>
      <c r="Y180" s="48" t="s">
        <v>1099</v>
      </c>
      <c r="Z180" s="48"/>
      <c r="AA180" s="49" t="str">
        <f>"[" &amp; _xlfn.TEXTJOIN(", ", TRUE,
    IF(I180&lt;&gt;"", """" &amp; I$1 &amp; """", ""),
    IF(J180&lt;&gt;"", """" &amp; J$1 &amp; """", ""),
    IF(K180&lt;&gt;"", """" &amp; K$1 &amp; """", ""),
    IF(L180&lt;&gt;"", """" &amp; L$1 &amp; """", ""),
    IF(M180&lt;&gt;"", """" &amp; M$1 &amp; """", ""),    IF(N180&lt;&gt;"", """" &amp; N$1 &amp; """", ""),    IF(O180&lt;&gt;"", """" &amp; O$1 &amp; """", ""),     IF(P180&lt;&gt;"", """" &amp; P$1 &amp; """", ""),     IF(Q180&lt;&gt;"", """" &amp; Q$1 &amp; """", ""), IF(R180&lt;&gt;"", """" &amp; R$1 &amp; """", ""), IF(S180&lt;&gt;"", """" &amp; S$1 &amp; """", ""), IF(T180&lt;&gt;"", """" &amp; T$1 &amp; """", ""), IF(U180&lt;&gt;"", """" &amp; U$1 &amp; """", ""),
    IF(X180&lt;&gt;"", """" &amp; X180 &amp; """", ""), IF(V180&lt;&gt;"", """" &amp; V180 &amp; """", ""), IF(W180&lt;&gt;"", """" &amp; W180 &amp; """", ""),
    IF(Y180&lt;&gt;"", """" &amp; Y180 &amp; """", ""),
    IF(Z180&lt;&gt;"", """" &amp; Z180 &amp; """", "")
) &amp; "]"</f>
        <v>["NCBI Virus", "Sample", "VJDB Study", "Submission"]</v>
      </c>
      <c r="AB180" s="49" t="s">
        <v>8</v>
      </c>
      <c r="AC180" s="48"/>
      <c r="AD180" s="49"/>
      <c r="AE180" s="49"/>
      <c r="AF180" s="49"/>
      <c r="AG180" s="49"/>
      <c r="AH180" s="49"/>
      <c r="AI180" s="49"/>
      <c r="AJ180" s="49"/>
      <c r="AK180" s="49"/>
      <c r="AL180" s="49"/>
      <c r="AM180" s="49"/>
      <c r="AN180" s="49"/>
      <c r="AO180" s="49"/>
      <c r="AP180" s="49"/>
      <c r="AQ180" s="49"/>
      <c r="AR180" s="49"/>
      <c r="AS180" s="49"/>
      <c r="AT180" s="49"/>
      <c r="AU180" s="49"/>
      <c r="AV180" s="49"/>
      <c r="AW180" s="49" t="s">
        <v>130</v>
      </c>
      <c r="AX180" s="54" t="s">
        <v>1009</v>
      </c>
      <c r="AY180" s="49" t="s">
        <v>1010</v>
      </c>
      <c r="AZ180" s="48" t="s">
        <v>106</v>
      </c>
      <c r="BA180" s="48" t="s">
        <v>107</v>
      </c>
      <c r="BB180" s="49"/>
      <c r="BC180" s="49" t="s">
        <v>73</v>
      </c>
      <c r="BD180" s="49" t="s">
        <v>142</v>
      </c>
      <c r="BE180" s="49"/>
      <c r="BF180" s="45"/>
      <c r="BG180" s="45"/>
      <c r="BH180" s="45"/>
      <c r="BI180" s="45"/>
      <c r="BJ180" s="45"/>
      <c r="BK180" s="45"/>
      <c r="BL180" s="45"/>
      <c r="BM180" s="45"/>
      <c r="BN180" s="45"/>
      <c r="BO180" s="45"/>
      <c r="BP180" s="45"/>
      <c r="BQ180" s="45"/>
      <c r="BR180" s="45"/>
      <c r="BS180" s="45"/>
      <c r="BT180" s="45"/>
      <c r="BU180" s="45"/>
      <c r="BV180" s="45"/>
      <c r="BW180" s="45"/>
      <c r="BX180" s="45"/>
      <c r="BY180" s="45"/>
      <c r="BZ180" s="45"/>
      <c r="CA180" s="45"/>
      <c r="CB180" s="45"/>
      <c r="CC180" s="45"/>
      <c r="CD180" s="45"/>
      <c r="CE180" s="45"/>
      <c r="CF180" s="45"/>
      <c r="CG180" s="45"/>
      <c r="CH180" s="45"/>
      <c r="CI180" s="45"/>
      <c r="CJ180" s="45"/>
      <c r="CK180" s="45"/>
      <c r="CL180" s="45"/>
      <c r="CM180" s="45"/>
      <c r="CN180" s="45"/>
      <c r="CO180" s="45"/>
      <c r="CP180" s="45"/>
      <c r="CQ180" s="45"/>
      <c r="CR180" s="45"/>
      <c r="CS180" s="45"/>
      <c r="CT180" s="45"/>
      <c r="CU180" s="45"/>
      <c r="CV180" s="45"/>
      <c r="CW180" s="45"/>
      <c r="CX180" s="45"/>
      <c r="CY180" s="45"/>
      <c r="CZ180" s="45"/>
      <c r="DA180" s="45"/>
      <c r="DB180" s="45"/>
      <c r="DC180" s="45"/>
      <c r="DD180" s="45"/>
      <c r="DE180" s="45"/>
      <c r="DF180" s="45"/>
      <c r="DG180" s="45"/>
      <c r="DH180" s="45"/>
      <c r="DI180" s="45"/>
      <c r="DJ180" s="45"/>
      <c r="DK180" s="45"/>
      <c r="DL180" s="45"/>
      <c r="DM180" s="45"/>
      <c r="DN180" s="45"/>
      <c r="DO180" s="45"/>
      <c r="DP180" s="45"/>
      <c r="DQ180" s="45"/>
      <c r="DR180" s="45"/>
      <c r="DS180" s="45"/>
      <c r="DT180" s="45"/>
      <c r="DU180" s="45"/>
      <c r="DV180" s="45"/>
      <c r="DW180" s="45"/>
      <c r="DX180" s="45"/>
      <c r="DY180" s="45"/>
      <c r="DZ180" s="45"/>
      <c r="EA180" s="45"/>
      <c r="EB180" s="45"/>
      <c r="EC180" s="45"/>
      <c r="ED180" s="45"/>
      <c r="EE180" s="45"/>
      <c r="EF180" s="45"/>
      <c r="EG180" s="45"/>
      <c r="EH180" s="45"/>
      <c r="EI180" s="45"/>
      <c r="EJ180" s="45"/>
      <c r="EK180" s="45"/>
      <c r="EL180" s="45"/>
      <c r="EM180" s="45"/>
      <c r="EN180" s="45"/>
      <c r="EO180" s="45"/>
      <c r="EP180" s="45"/>
      <c r="EQ180" s="45"/>
      <c r="ER180" s="45"/>
      <c r="ES180" s="45"/>
      <c r="ET180" s="45"/>
      <c r="EU180" s="45"/>
      <c r="EV180" s="45"/>
      <c r="EW180" s="45"/>
      <c r="EX180" s="45"/>
      <c r="EY180" s="45"/>
      <c r="EZ180" s="45"/>
      <c r="FA180" s="45"/>
      <c r="FB180" s="45"/>
      <c r="FC180" s="45"/>
      <c r="FD180" s="45"/>
      <c r="FE180" s="45"/>
      <c r="FF180" s="45"/>
      <c r="FG180" s="45"/>
      <c r="FH180" s="45"/>
      <c r="FI180" s="45"/>
      <c r="FJ180" s="45"/>
      <c r="FK180" s="45"/>
      <c r="FL180" s="45"/>
      <c r="FM180" s="45"/>
      <c r="FN180" s="45"/>
      <c r="FO180" s="45"/>
      <c r="FP180" s="45"/>
      <c r="FQ180" s="45"/>
      <c r="FR180" s="45"/>
      <c r="FS180" s="45"/>
      <c r="FT180" s="45"/>
      <c r="FU180" s="45"/>
      <c r="FV180" s="45"/>
      <c r="FW180" s="45"/>
      <c r="FX180" s="45"/>
      <c r="FY180" s="45"/>
      <c r="FZ180" s="45"/>
      <c r="GA180" s="45"/>
      <c r="GB180" s="45"/>
      <c r="GC180" s="45"/>
      <c r="GD180" s="45"/>
    </row>
    <row r="181" spans="1:186" ht="34.5" customHeight="1">
      <c r="A181" s="98" t="s">
        <v>1263</v>
      </c>
      <c r="B181" s="50" t="str">
        <f>LOWER(
  IF(
    RIGHT(
      SUBSTITUTE(SUBSTITUTE(SUBSTITUTE(SUBSTITUTE(SUBSTITUTE(SUBSTITUTE(SUBSTITUTE(C181,"(","_"),")","_"),"/","_"),":","_"),"-","_")," ","_"),"__","_"),
      1
    )="_",
    LEFT(
      SUBSTITUTE(SUBSTITUTE(SUBSTITUTE(SUBSTITUTE(SUBSTITUTE(SUBSTITUTE(SUBSTITUTE(C181,"(","_"),")","_"),"/","_"),":","_"),"-","_")," ","_"),"__","_"),
      LEN(
        SUBSTITUTE(SUBSTITUTE(SUBSTITUTE(SUBSTITUTE(SUBSTITUTE(SUBSTITUTE(SUBSTITUTE(C181,"(","_"),")","_"),"/","_"),":","_"),"-","_")," ","_"),"__","_")
      )-1
    ),
    SUBSTITUTE(SUBSTITUTE(SUBSTITUTE(SUBSTITUTE(SUBSTITUTE(SUBSTITUTE(SUBSTITUTE(C181,"(","_"),")","_"),"/","_"),":","_"),"-","_")," ","_"),"__","_")
  )
)</f>
        <v>submitter_region</v>
      </c>
      <c r="C181" s="48" t="s">
        <v>1264</v>
      </c>
      <c r="D181" s="50" t="s">
        <v>1265</v>
      </c>
      <c r="E181" s="49" t="s">
        <v>64</v>
      </c>
      <c r="F181" s="49" t="s">
        <v>795</v>
      </c>
      <c r="G181" s="49"/>
      <c r="H181" s="49"/>
      <c r="I181" s="49"/>
      <c r="J181" s="49"/>
      <c r="K181" s="49"/>
      <c r="L181" s="49"/>
      <c r="M181" s="49"/>
      <c r="N181" s="49"/>
      <c r="O181" s="49"/>
      <c r="P181" s="49"/>
      <c r="Q181" s="49"/>
      <c r="R181" s="49"/>
      <c r="S181" s="49"/>
      <c r="T181" s="49"/>
      <c r="U181" s="49"/>
      <c r="V181" s="50"/>
      <c r="W181" s="50"/>
      <c r="X181" s="48" t="s">
        <v>68</v>
      </c>
      <c r="Y181" s="48" t="s">
        <v>1099</v>
      </c>
      <c r="Z181" s="48"/>
      <c r="AA181" s="49" t="str">
        <f>"[" &amp; _xlfn.TEXTJOIN(", ", TRUE,
    IF(I181&lt;&gt;"", """" &amp; I$1 &amp; """", ""),
    IF(J181&lt;&gt;"", """" &amp; J$1 &amp; """", ""),
    IF(K181&lt;&gt;"", """" &amp; K$1 &amp; """", ""),
    IF(L181&lt;&gt;"", """" &amp; L$1 &amp; """", ""),
    IF(M181&lt;&gt;"", """" &amp; M$1 &amp; """", ""),    IF(N181&lt;&gt;"", """" &amp; N$1 &amp; """", ""),    IF(O181&lt;&gt;"", """" &amp; O$1 &amp; """", ""),     IF(P181&lt;&gt;"", """" &amp; P$1 &amp; """", ""),     IF(Q181&lt;&gt;"", """" &amp; Q$1 &amp; """", ""), IF(R181&lt;&gt;"", """" &amp; R$1 &amp; """", ""), IF(S181&lt;&gt;"", """" &amp; S$1 &amp; """", ""), IF(T181&lt;&gt;"", """" &amp; T$1 &amp; """", ""), IF(U181&lt;&gt;"", """" &amp; U$1 &amp; """", ""),
    IF(X181&lt;&gt;"", """" &amp; X181 &amp; """", ""), IF(V181&lt;&gt;"", """" &amp; V181 &amp; """", ""), IF(W181&lt;&gt;"", """" &amp; W181 &amp; """", ""),
    IF(Y181&lt;&gt;"", """" &amp; Y181 &amp; """", ""),
    IF(Z181&lt;&gt;"", """" &amp; Z181 &amp; """", "")
) &amp; "]"</f>
        <v>["Sample", "Submission"]</v>
      </c>
      <c r="AB181" s="49" t="s">
        <v>8</v>
      </c>
      <c r="AC181" s="48" t="s">
        <v>196</v>
      </c>
      <c r="AD181" s="49" t="s">
        <v>1266</v>
      </c>
      <c r="AE181" s="49"/>
      <c r="AF181" s="49"/>
      <c r="AG181" s="49"/>
      <c r="AH181" s="49"/>
      <c r="AI181" s="49" t="s">
        <v>1101</v>
      </c>
      <c r="AJ181" s="49"/>
      <c r="AK181" s="49"/>
      <c r="AL181" s="49"/>
      <c r="AM181" s="49"/>
      <c r="AN181" s="49"/>
      <c r="AO181" s="49"/>
      <c r="AP181" s="49"/>
      <c r="AQ181" s="49"/>
      <c r="AR181" s="49"/>
      <c r="AS181" s="49"/>
      <c r="AT181" s="49"/>
      <c r="AU181" s="49"/>
      <c r="AV181" s="49"/>
      <c r="AW181" s="49"/>
      <c r="AX181" s="54"/>
      <c r="AY181" s="49"/>
      <c r="AZ181" s="48" t="s">
        <v>106</v>
      </c>
      <c r="BA181" s="48" t="s">
        <v>107</v>
      </c>
      <c r="BB181" s="49"/>
      <c r="BC181" s="49" t="s">
        <v>73</v>
      </c>
      <c r="BD181" s="49" t="s">
        <v>142</v>
      </c>
      <c r="BE181" s="49"/>
    </row>
    <row r="182" spans="1:186" ht="34.5" customHeight="1">
      <c r="A182" s="98" t="s">
        <v>1267</v>
      </c>
      <c r="B182" s="50" t="str">
        <f>LOWER(
  IF(
    RIGHT(
      SUBSTITUTE(SUBSTITUTE(SUBSTITUTE(SUBSTITUTE(SUBSTITUTE(SUBSTITUTE(SUBSTITUTE(C182,"(","_"),")","_"),"/","_"),":","_"),"-","_")," ","_"),"__","_"),
      1
    )="_",
    LEFT(
      SUBSTITUTE(SUBSTITUTE(SUBSTITUTE(SUBSTITUTE(SUBSTITUTE(SUBSTITUTE(SUBSTITUTE(C182,"(","_"),")","_"),"/","_"),":","_"),"-","_")," ","_"),"__","_"),
      LEN(
        SUBSTITUTE(SUBSTITUTE(SUBSTITUTE(SUBSTITUTE(SUBSTITUTE(SUBSTITUTE(SUBSTITUTE(C182,"(","_"),")","_"),"/","_"),":","_"),"-","_")," ","_"),"__","_")
      )-1
    ),
    SUBSTITUTE(SUBSTITUTE(SUBSTITUTE(SUBSTITUTE(SUBSTITUTE(SUBSTITUTE(SUBSTITUTE(C182,"(","_"),")","_"),"/","_"),":","_"),"-","_")," ","_"),"__","_")
  )
)</f>
        <v>virjendb_accession</v>
      </c>
      <c r="C182" s="48" t="s">
        <v>1268</v>
      </c>
      <c r="D182" s="50" t="s">
        <v>1269</v>
      </c>
      <c r="E182" s="49" t="s">
        <v>98</v>
      </c>
      <c r="F182" s="49" t="s">
        <v>795</v>
      </c>
      <c r="G182" s="49" t="s">
        <v>1270</v>
      </c>
      <c r="H182" s="49" t="s">
        <v>1271</v>
      </c>
      <c r="I182" s="49"/>
      <c r="J182" s="49"/>
      <c r="K182" s="49"/>
      <c r="L182" s="49"/>
      <c r="M182" s="49"/>
      <c r="N182" s="49"/>
      <c r="O182" s="49"/>
      <c r="P182" s="49"/>
      <c r="Q182" s="49"/>
      <c r="R182" s="49"/>
      <c r="S182" s="49"/>
      <c r="T182" s="49"/>
      <c r="U182" s="49"/>
      <c r="V182" s="50"/>
      <c r="W182" s="50"/>
      <c r="X182" s="48" t="s">
        <v>116</v>
      </c>
      <c r="Y182" s="48" t="s">
        <v>736</v>
      </c>
      <c r="Z182" s="48" t="s">
        <v>117</v>
      </c>
      <c r="AA182" s="49" t="str">
        <f>"[" &amp; _xlfn.TEXTJOIN(", ", TRUE,
    IF(I182&lt;&gt;"", """" &amp; I$1 &amp; """", ""),
    IF(J182&lt;&gt;"", """" &amp; J$1 &amp; """", ""),
    IF(K182&lt;&gt;"", """" &amp; K$1 &amp; """", ""),
    IF(L182&lt;&gt;"", """" &amp; L$1 &amp; """", ""),
    IF(M182&lt;&gt;"", """" &amp; M$1 &amp; """", ""),    IF(N182&lt;&gt;"", """" &amp; N$1 &amp; """", ""),    IF(O182&lt;&gt;"", """" &amp; O$1 &amp; """", ""),     IF(P182&lt;&gt;"", """" &amp; P$1 &amp; """", ""),     IF(Q182&lt;&gt;"", """" &amp; Q$1 &amp; """", ""), IF(R182&lt;&gt;"", """" &amp; R$1 &amp; """", ""), IF(S182&lt;&gt;"", """" &amp; S$1 &amp; """", ""), IF(T182&lt;&gt;"", """" &amp; T$1 &amp; """", ""), IF(U182&lt;&gt;"", """" &amp; U$1 &amp; """", ""),
    IF(X182&lt;&gt;"", """" &amp; X182 &amp; """", ""), IF(V182&lt;&gt;"", """" &amp; V182 &amp; """", ""), IF(W182&lt;&gt;"", """" &amp; W182 &amp; """", ""),
    IF(Y182&lt;&gt;"", """" &amp; Y182 &amp; """", ""),
    IF(Z182&lt;&gt;"", """" &amp; Z182 &amp; """", "")
) &amp; "]"</f>
        <v>["Organizational", "Source", "Identifiers"]</v>
      </c>
      <c r="AB182" s="49" t="s">
        <v>18</v>
      </c>
      <c r="AC182" s="48"/>
      <c r="AD182" s="49"/>
      <c r="AE182" s="49"/>
      <c r="AF182" s="49"/>
      <c r="AG182" s="49"/>
      <c r="AH182" s="49"/>
      <c r="AI182" s="49"/>
      <c r="AJ182" s="49"/>
      <c r="AK182" s="49"/>
      <c r="AL182" s="49"/>
      <c r="AM182" s="49"/>
      <c r="AN182" s="49"/>
      <c r="AO182" s="49"/>
      <c r="AP182" s="49"/>
      <c r="AQ182" s="49"/>
      <c r="AR182" s="49"/>
      <c r="AS182" s="49"/>
      <c r="AT182" s="49"/>
      <c r="AU182" s="49"/>
      <c r="AV182" s="49"/>
      <c r="AW182" s="49"/>
      <c r="AX182" s="54" t="s">
        <v>1272</v>
      </c>
      <c r="AY182" s="49" t="s">
        <v>518</v>
      </c>
      <c r="AZ182" s="48" t="s">
        <v>64</v>
      </c>
      <c r="BA182" s="48" t="s">
        <v>119</v>
      </c>
      <c r="BB182" s="49"/>
      <c r="BC182" s="49" t="s">
        <v>952</v>
      </c>
      <c r="BD182" s="49" t="s">
        <v>108</v>
      </c>
      <c r="BE182" s="48" t="s">
        <v>60</v>
      </c>
    </row>
    <row r="183" spans="1:186" ht="34.5" customHeight="1">
      <c r="A183" s="98" t="s">
        <v>1273</v>
      </c>
      <c r="B183" s="50" t="str">
        <f>LOWER(
  IF(
    RIGHT(
      SUBSTITUTE(SUBSTITUTE(SUBSTITUTE(SUBSTITUTE(SUBSTITUTE(SUBSTITUTE(SUBSTITUTE(C183,"(","_"),")","_"),"/","_"),":","_"),"-","_")," ","_"),"__","_"),
      1
    )="_",
    LEFT(
      SUBSTITUTE(SUBSTITUTE(SUBSTITUTE(SUBSTITUTE(SUBSTITUTE(SUBSTITUTE(SUBSTITUTE(C183,"(","_"),")","_"),"/","_"),":","_"),"-","_")," ","_"),"__","_"),
      LEN(
        SUBSTITUTE(SUBSTITUTE(SUBSTITUTE(SUBSTITUTE(SUBSTITUTE(SUBSTITUTE(SUBSTITUTE(C183,"(","_"),")","_"),"/","_"),":","_"),"-","_")," ","_"),"__","_")
      )-1
    ),
    SUBSTITUTE(SUBSTITUTE(SUBSTITUTE(SUBSTITUTE(SUBSTITUTE(SUBSTITUTE(SUBSTITUTE(C183,"(","_"),")","_"),"/","_"),":","_"),"-","_")," ","_"),"__","_")
  )
)</f>
        <v>virjendb_metadata_version</v>
      </c>
      <c r="C183" s="48" t="s">
        <v>1274</v>
      </c>
      <c r="D183" s="50" t="s">
        <v>1275</v>
      </c>
      <c r="E183" s="49" t="s">
        <v>334</v>
      </c>
      <c r="F183" s="49" t="s">
        <v>795</v>
      </c>
      <c r="G183" s="49"/>
      <c r="H183" s="49"/>
      <c r="I183" s="49"/>
      <c r="J183" s="49"/>
      <c r="K183" s="49"/>
      <c r="L183" s="49"/>
      <c r="M183" s="49"/>
      <c r="N183" s="49"/>
      <c r="O183" s="49"/>
      <c r="P183" s="49"/>
      <c r="Q183" s="49"/>
      <c r="R183" s="49"/>
      <c r="S183" s="49"/>
      <c r="T183" s="49"/>
      <c r="U183" s="49"/>
      <c r="V183" s="50"/>
      <c r="W183" s="50"/>
      <c r="X183" s="48" t="s">
        <v>116</v>
      </c>
      <c r="Y183" s="48" t="s">
        <v>736</v>
      </c>
      <c r="Z183" s="48"/>
      <c r="AA183" s="49" t="str">
        <f>"[" &amp; _xlfn.TEXTJOIN(", ", TRUE,
    IF(I183&lt;&gt;"", """" &amp; I$1 &amp; """", ""),
    IF(J183&lt;&gt;"", """" &amp; J$1 &amp; """", ""),
    IF(K183&lt;&gt;"", """" &amp; K$1 &amp; """", ""),
    IF(L183&lt;&gt;"", """" &amp; L$1 &amp; """", ""),
    IF(M183&lt;&gt;"", """" &amp; M$1 &amp; """", ""),    IF(N183&lt;&gt;"", """" &amp; N$1 &amp; """", ""),    IF(O183&lt;&gt;"", """" &amp; O$1 &amp; """", ""),     IF(P183&lt;&gt;"", """" &amp; P$1 &amp; """", ""),     IF(Q183&lt;&gt;"", """" &amp; Q$1 &amp; """", ""), IF(R183&lt;&gt;"", """" &amp; R$1 &amp; """", ""), IF(S183&lt;&gt;"", """" &amp; S$1 &amp; """", ""), IF(T183&lt;&gt;"", """" &amp; T$1 &amp; """", ""), IF(U183&lt;&gt;"", """" &amp; U$1 &amp; """", ""),
    IF(X183&lt;&gt;"", """" &amp; X183 &amp; """", ""), IF(V183&lt;&gt;"", """" &amp; V183 &amp; """", ""), IF(W183&lt;&gt;"", """" &amp; W183 &amp; """", ""),
    IF(Y183&lt;&gt;"", """" &amp; Y183 &amp; """", ""),
    IF(Z183&lt;&gt;"", """" &amp; Z183 &amp; """", "")
) &amp; "]"</f>
        <v>["Organizational", "Source"]</v>
      </c>
      <c r="AB183" s="49" t="s">
        <v>18</v>
      </c>
      <c r="AC183" s="48"/>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8" t="s">
        <v>64</v>
      </c>
      <c r="BA183" s="48" t="s">
        <v>72</v>
      </c>
      <c r="BB183" s="49"/>
      <c r="BC183" s="49" t="s">
        <v>73</v>
      </c>
      <c r="BD183" s="49" t="s">
        <v>108</v>
      </c>
      <c r="BE183" s="49"/>
    </row>
    <row r="184" spans="1:186" ht="34.5" customHeight="1">
      <c r="A184" s="99" t="s">
        <v>1276</v>
      </c>
      <c r="B184" s="50" t="str">
        <f>LOWER(
  IF(
    RIGHT(
      SUBSTITUTE(SUBSTITUTE(SUBSTITUTE(SUBSTITUTE(SUBSTITUTE(SUBSTITUTE(SUBSTITUTE(C184,"(","_"),")","_"),"/","_"),":","_"),"-","_")," ","_"),"__","_"),
      1
    )="_",
    LEFT(
      SUBSTITUTE(SUBSTITUTE(SUBSTITUTE(SUBSTITUTE(SUBSTITUTE(SUBSTITUTE(SUBSTITUTE(C184,"(","_"),")","_"),"/","_"),":","_"),"-","_")," ","_"),"__","_"),
      LEN(
        SUBSTITUTE(SUBSTITUTE(SUBSTITUTE(SUBSTITUTE(SUBSTITUTE(SUBSTITUTE(SUBSTITUTE(C184,"(","_"),")","_"),"/","_"),":","_"),"-","_")," ","_"),"__","_")
      )-1
    ),
    SUBSTITUTE(SUBSTITUTE(SUBSTITUTE(SUBSTITUTE(SUBSTITUTE(SUBSTITUTE(SUBSTITUTE(C184,"(","_"),")","_"),"/","_"),":","_"),"-","_")," ","_"),"__","_")
  )
)</f>
        <v>strain</v>
      </c>
      <c r="C184" s="49" t="s">
        <v>1277</v>
      </c>
      <c r="D184" s="50" t="s">
        <v>1278</v>
      </c>
      <c r="E184" s="49" t="s">
        <v>64</v>
      </c>
      <c r="F184" s="49" t="s">
        <v>795</v>
      </c>
      <c r="G184" s="49"/>
      <c r="H184" s="49"/>
      <c r="I184" s="49"/>
      <c r="J184" s="49"/>
      <c r="K184" s="49"/>
      <c r="L184" s="49"/>
      <c r="M184" s="49"/>
      <c r="N184" s="49"/>
      <c r="O184" s="49" t="s">
        <v>1277</v>
      </c>
      <c r="P184" s="49" t="s">
        <v>1279</v>
      </c>
      <c r="Q184" s="49" t="s">
        <v>1279</v>
      </c>
      <c r="R184" s="49"/>
      <c r="S184" s="49"/>
      <c r="T184" s="49"/>
      <c r="U184" s="49"/>
      <c r="V184" s="50" t="s">
        <v>125</v>
      </c>
      <c r="W184" s="50" t="s">
        <v>126</v>
      </c>
      <c r="X184" s="48" t="s">
        <v>68</v>
      </c>
      <c r="Y184" s="48" t="s">
        <v>323</v>
      </c>
      <c r="Z184" s="48"/>
      <c r="AA184" s="49" t="str">
        <f>"[" &amp; _xlfn.TEXTJOIN(", ", TRUE,
    IF(I184&lt;&gt;"", """" &amp; I$1 &amp; """", ""),
    IF(J184&lt;&gt;"", """" &amp; J$1 &amp; """", ""),
    IF(K184&lt;&gt;"", """" &amp; K$1 &amp; """", ""),
    IF(L184&lt;&gt;"", """" &amp; L$1 &amp; """", ""),
    IF(M184&lt;&gt;"", """" &amp; M$1 &amp; """", ""),    IF(N184&lt;&gt;"", """" &amp; N$1 &amp; """", ""),    IF(O184&lt;&gt;"", """" &amp; O$1 &amp; """", ""),     IF(P184&lt;&gt;"", """" &amp; P$1 &amp; """", ""),     IF(Q184&lt;&gt;"", """" &amp; Q$1 &amp; """", ""), IF(R184&lt;&gt;"", """" &amp; R$1 &amp; """", ""), IF(S184&lt;&gt;"", """" &amp; S$1 &amp; """", ""), IF(T184&lt;&gt;"", """" &amp; T$1 &amp; """", ""), IF(U184&lt;&gt;"", """" &amp; U$1 &amp; """", ""),
    IF(X184&lt;&gt;"", """" &amp; X184 &amp; """", ""), IF(V184&lt;&gt;"", """" &amp; V184 &amp; """", ""), IF(W184&lt;&gt;"", """" &amp; W184 &amp; """", ""),
    IF(Y184&lt;&gt;"", """" &amp; Y184 &amp; """", ""),
    IF(Z184&lt;&gt;"", """" &amp; Z184 &amp; """", "")
) &amp; "]"</f>
        <v>["BV-BRC", "ENA ERC32", "ENA ERC33", "Sample", "ENA Sample", "VJDB Sample", "Virus Info"]</v>
      </c>
      <c r="AB184" s="49" t="s">
        <v>347</v>
      </c>
      <c r="AC184" s="49" t="s">
        <v>196</v>
      </c>
      <c r="AD184" s="49"/>
      <c r="AE184" s="49"/>
      <c r="AF184" s="49"/>
      <c r="AG184" s="49"/>
      <c r="AH184" s="49"/>
      <c r="AI184" s="49"/>
      <c r="AJ184" s="49"/>
      <c r="AK184" s="49"/>
      <c r="AL184" s="49" t="s">
        <v>1279</v>
      </c>
      <c r="AM184" s="49"/>
      <c r="AN184" s="49"/>
      <c r="AO184" s="49"/>
      <c r="AP184" s="49" t="s">
        <v>1280</v>
      </c>
      <c r="AQ184" s="49"/>
      <c r="AR184" s="49"/>
      <c r="AS184" s="49" t="s">
        <v>1280</v>
      </c>
      <c r="AT184" s="49"/>
      <c r="AU184" s="49" t="s">
        <v>151</v>
      </c>
      <c r="AV184" s="49" t="s">
        <v>227</v>
      </c>
      <c r="AW184" s="49" t="s">
        <v>227</v>
      </c>
      <c r="AX184" s="54"/>
      <c r="AY184" s="49" t="s">
        <v>131</v>
      </c>
      <c r="AZ184" s="48" t="s">
        <v>64</v>
      </c>
      <c r="BA184" s="48" t="s">
        <v>72</v>
      </c>
      <c r="BB184" s="49"/>
      <c r="BC184" s="49" t="s">
        <v>73</v>
      </c>
      <c r="BD184" s="49" t="s">
        <v>499</v>
      </c>
      <c r="BE184" s="49"/>
    </row>
    <row r="185" spans="1:186" ht="34.5" customHeight="1">
      <c r="A185" s="99" t="s">
        <v>1281</v>
      </c>
      <c r="B185" s="50" t="str">
        <f>LOWER(
  IF(
    RIGHT(
      SUBSTITUTE(SUBSTITUTE(SUBSTITUTE(SUBSTITUTE(SUBSTITUTE(SUBSTITUTE(SUBSTITUTE(C185,"(","_"),")","_"),"/","_"),":","_"),"-","_")," ","_"),"__","_"),
      1
    )="_",
    LEFT(
      SUBSTITUTE(SUBSTITUTE(SUBSTITUTE(SUBSTITUTE(SUBSTITUTE(SUBSTITUTE(SUBSTITUTE(C185,"(","_"),")","_"),"/","_"),":","_"),"-","_")," ","_"),"__","_"),
      LEN(
        SUBSTITUTE(SUBSTITUTE(SUBSTITUTE(SUBSTITUTE(SUBSTITUTE(SUBSTITUTE(SUBSTITUTE(C185,"(","_"),")","_"),"/","_"),":","_"),"-","_")," ","_"),"__","_")
      )-1
    ),
    SUBSTITUTE(SUBSTITUTE(SUBSTITUTE(SUBSTITUTE(SUBSTITUTE(SUBSTITUTE(SUBSTITUTE(C185,"(","_"),")","_"),"/","_"),":","_"),"-","_")," ","_"),"__","_")
  )
)</f>
        <v>ictv_realm</v>
      </c>
      <c r="C185" s="49" t="s">
        <v>1282</v>
      </c>
      <c r="D185" s="50" t="s">
        <v>1283</v>
      </c>
      <c r="E185" s="49" t="s">
        <v>64</v>
      </c>
      <c r="F185" s="49" t="s">
        <v>795</v>
      </c>
      <c r="G185" s="49"/>
      <c r="H185" s="49"/>
      <c r="I185" s="49"/>
      <c r="J185" s="49"/>
      <c r="K185" s="49"/>
      <c r="L185" s="49"/>
      <c r="M185" s="49"/>
      <c r="N185" s="49"/>
      <c r="O185" s="49"/>
      <c r="P185" s="49"/>
      <c r="Q185" s="49"/>
      <c r="R185" s="73" t="s">
        <v>1284</v>
      </c>
      <c r="S185" s="73" t="s">
        <v>1284</v>
      </c>
      <c r="T185" s="73" t="s">
        <v>1284</v>
      </c>
      <c r="U185" s="49"/>
      <c r="V185" s="49"/>
      <c r="W185" s="49"/>
      <c r="X185" s="48" t="s">
        <v>698</v>
      </c>
      <c r="Y185" s="48" t="s">
        <v>699</v>
      </c>
      <c r="Z185" s="48" t="s">
        <v>324</v>
      </c>
      <c r="AA185" s="49" t="str">
        <f>"[" &amp; _xlfn.TEXTJOIN(", ", TRUE,
    IF(I185&lt;&gt;"", """" &amp; I$1 &amp; """", ""),
    IF(J185&lt;&gt;"", """" &amp; J$1 &amp; """", ""),
    IF(K185&lt;&gt;"", """" &amp; K$1 &amp; """", ""),
    IF(L185&lt;&gt;"", """" &amp; L$1 &amp; """", ""),
    IF(M185&lt;&gt;"", """" &amp; M$1 &amp; """", ""),    IF(N185&lt;&gt;"", """" &amp; N$1 &amp; """", ""),    IF(O185&lt;&gt;"", """" &amp; O$1 &amp; """", ""),     IF(P185&lt;&gt;"", """" &amp; P$1 &amp; """", ""),     IF(Q185&lt;&gt;"", """" &amp; Q$1 &amp; """", ""), IF(R185&lt;&gt;"", """" &amp; R$1 &amp; """", ""), IF(S185&lt;&gt;"", """" &amp; S$1 &amp; """", ""), IF(T185&lt;&gt;"", """" &amp; T$1 &amp; """", ""), IF(U185&lt;&gt;"", """" &amp; U$1 &amp; """", ""),
    IF(X185&lt;&gt;"", """" &amp; X185 &amp; """", ""), IF(V185&lt;&gt;"", """" &amp; V185 &amp; """", ""), IF(W185&lt;&gt;"", """" &amp; W185 &amp; """", ""),
    IF(Y185&lt;&gt;"", """" &amp; Y185 &amp; """", ""),
    IF(Z185&lt;&gt;"", """" &amp; Z185 &amp; """", "")
) &amp; "]"</f>
        <v>["IMG/VR", "PHD", "PhiSpy", "Taxonomy", "Virus Taxonomy", "ICTV Taxonomy"]</v>
      </c>
      <c r="AB185" s="49" t="s">
        <v>325</v>
      </c>
      <c r="AC185" s="49" t="s">
        <v>70</v>
      </c>
      <c r="AD185" s="49"/>
      <c r="AE185" s="49"/>
      <c r="AF185" s="49"/>
      <c r="AG185" s="49"/>
      <c r="AH185" s="49"/>
      <c r="AI185" s="49"/>
      <c r="AJ185" s="49"/>
      <c r="AK185" s="49"/>
      <c r="AL185" s="49"/>
      <c r="AM185" s="49"/>
      <c r="AN185" s="49"/>
      <c r="AO185" s="49"/>
      <c r="AP185" s="49"/>
      <c r="AQ185" s="49"/>
      <c r="AR185" s="49"/>
      <c r="AS185" s="49"/>
      <c r="AT185" s="49"/>
      <c r="AU185" s="49"/>
      <c r="AV185" s="49"/>
      <c r="AW185" s="49"/>
      <c r="AX185" s="54"/>
      <c r="AY185" s="49"/>
      <c r="AZ185" s="49"/>
      <c r="BA185" s="49"/>
      <c r="BB185" s="49" t="s">
        <v>1285</v>
      </c>
      <c r="BC185" s="49" t="s">
        <v>701</v>
      </c>
      <c r="BD185" s="49" t="s">
        <v>702</v>
      </c>
      <c r="BE185" s="48"/>
    </row>
    <row r="186" spans="1:186" ht="34.5" customHeight="1">
      <c r="A186" s="99" t="s">
        <v>1286</v>
      </c>
      <c r="B186" s="50" t="str">
        <f>LOWER(
  IF(
    RIGHT(
      SUBSTITUTE(SUBSTITUTE(SUBSTITUTE(SUBSTITUTE(SUBSTITUTE(SUBSTITUTE(SUBSTITUTE(C186,"(","_"),")","_"),"/","_"),":","_"),"-","_")," ","_"),"__","_"),
      1
    )="_",
    LEFT(
      SUBSTITUTE(SUBSTITUTE(SUBSTITUTE(SUBSTITUTE(SUBSTITUTE(SUBSTITUTE(SUBSTITUTE(C186,"(","_"),")","_"),"/","_"),":","_"),"-","_")," ","_"),"__","_"),
      LEN(
        SUBSTITUTE(SUBSTITUTE(SUBSTITUTE(SUBSTITUTE(SUBSTITUTE(SUBSTITUTE(SUBSTITUTE(C186,"(","_"),")","_"),"/","_"),":","_"),"-","_")," ","_"),"__","_")
      )-1
    ),
    SUBSTITUTE(SUBSTITUTE(SUBSTITUTE(SUBSTITUTE(SUBSTITUTE(SUBSTITUTE(SUBSTITUTE(C186,"(","_"),")","_"),"/","_"),":","_"),"-","_")," ","_"),"__","_")
  )
)</f>
        <v>ictv_kingdom</v>
      </c>
      <c r="C186" s="49" t="s">
        <v>1287</v>
      </c>
      <c r="D186" s="50" t="s">
        <v>1288</v>
      </c>
      <c r="E186" s="49" t="s">
        <v>64</v>
      </c>
      <c r="F186" s="49" t="s">
        <v>795</v>
      </c>
      <c r="G186" s="49"/>
      <c r="H186" s="49"/>
      <c r="I186" s="49"/>
      <c r="J186" s="49"/>
      <c r="K186" s="49"/>
      <c r="L186" s="49"/>
      <c r="M186" s="49"/>
      <c r="N186" s="49"/>
      <c r="O186" s="49"/>
      <c r="P186" s="49"/>
      <c r="Q186" s="49"/>
      <c r="R186" s="73" t="s">
        <v>1289</v>
      </c>
      <c r="S186" s="73" t="s">
        <v>1289</v>
      </c>
      <c r="T186" s="73" t="s">
        <v>1289</v>
      </c>
      <c r="U186" s="49"/>
      <c r="V186" s="49"/>
      <c r="W186" s="49"/>
      <c r="X186" s="48" t="s">
        <v>698</v>
      </c>
      <c r="Y186" s="48" t="s">
        <v>699</v>
      </c>
      <c r="Z186" s="48" t="s">
        <v>324</v>
      </c>
      <c r="AA186" s="49" t="str">
        <f>"[" &amp; _xlfn.TEXTJOIN(", ", TRUE,
    IF(I186&lt;&gt;"", """" &amp; I$1 &amp; """", ""),
    IF(J186&lt;&gt;"", """" &amp; J$1 &amp; """", ""),
    IF(K186&lt;&gt;"", """" &amp; K$1 &amp; """", ""),
    IF(L186&lt;&gt;"", """" &amp; L$1 &amp; """", ""),
    IF(M186&lt;&gt;"", """" &amp; M$1 &amp; """", ""),    IF(N186&lt;&gt;"", """" &amp; N$1 &amp; """", ""),    IF(O186&lt;&gt;"", """" &amp; O$1 &amp; """", ""),     IF(P186&lt;&gt;"", """" &amp; P$1 &amp; """", ""),     IF(Q186&lt;&gt;"", """" &amp; Q$1 &amp; """", ""), IF(R186&lt;&gt;"", """" &amp; R$1 &amp; """", ""), IF(S186&lt;&gt;"", """" &amp; S$1 &amp; """", ""), IF(T186&lt;&gt;"", """" &amp; T$1 &amp; """", ""), IF(U186&lt;&gt;"", """" &amp; U$1 &amp; """", ""),
    IF(X186&lt;&gt;"", """" &amp; X186 &amp; """", ""), IF(V186&lt;&gt;"", """" &amp; V186 &amp; """", ""), IF(W186&lt;&gt;"", """" &amp; W186 &amp; """", ""),
    IF(Y186&lt;&gt;"", """" &amp; Y186 &amp; """", ""),
    IF(Z186&lt;&gt;"", """" &amp; Z186 &amp; """", "")
) &amp; "]"</f>
        <v>["IMG/VR", "PHD", "PhiSpy", "Taxonomy", "Virus Taxonomy", "ICTV Taxonomy"]</v>
      </c>
      <c r="AB186" s="49" t="s">
        <v>325</v>
      </c>
      <c r="AC186" s="49" t="s">
        <v>70</v>
      </c>
      <c r="AD186" s="49"/>
      <c r="AE186" s="49"/>
      <c r="AF186" s="49"/>
      <c r="AG186" s="49"/>
      <c r="AH186" s="49"/>
      <c r="AI186" s="49"/>
      <c r="AJ186" s="49"/>
      <c r="AK186" s="49"/>
      <c r="AL186" s="49"/>
      <c r="AM186" s="49"/>
      <c r="AN186" s="49"/>
      <c r="AO186" s="49"/>
      <c r="AP186" s="49"/>
      <c r="AQ186" s="49"/>
      <c r="AR186" s="49"/>
      <c r="AS186" s="49"/>
      <c r="AT186" s="49"/>
      <c r="AU186" s="49"/>
      <c r="AV186" s="49"/>
      <c r="AW186" s="49"/>
      <c r="AX186" s="54"/>
      <c r="AY186" s="49"/>
      <c r="AZ186" s="49"/>
      <c r="BA186" s="49"/>
      <c r="BB186" s="49" t="s">
        <v>1290</v>
      </c>
      <c r="BC186" s="49" t="s">
        <v>701</v>
      </c>
      <c r="BD186" s="49" t="s">
        <v>702</v>
      </c>
      <c r="BE186" s="48"/>
    </row>
    <row r="187" spans="1:186" ht="34.5" customHeight="1">
      <c r="A187" s="99" t="s">
        <v>1291</v>
      </c>
      <c r="B187" s="50" t="str">
        <f>LOWER(
  IF(
    RIGHT(
      SUBSTITUTE(SUBSTITUTE(SUBSTITUTE(SUBSTITUTE(SUBSTITUTE(SUBSTITUTE(SUBSTITUTE(C187,"(","_"),")","_"),"/","_"),":","_"),"-","_")," ","_"),"__","_"),
      1
    )="_",
    LEFT(
      SUBSTITUTE(SUBSTITUTE(SUBSTITUTE(SUBSTITUTE(SUBSTITUTE(SUBSTITUTE(SUBSTITUTE(C187,"(","_"),")","_"),"/","_"),":","_"),"-","_")," ","_"),"__","_"),
      LEN(
        SUBSTITUTE(SUBSTITUTE(SUBSTITUTE(SUBSTITUTE(SUBSTITUTE(SUBSTITUTE(SUBSTITUTE(C187,"(","_"),")","_"),"/","_"),":","_"),"-","_")," ","_"),"__","_")
      )-1
    ),
    SUBSTITUTE(SUBSTITUTE(SUBSTITUTE(SUBSTITUTE(SUBSTITUTE(SUBSTITUTE(SUBSTITUTE(C187,"(","_"),")","_"),"/","_"),":","_"),"-","_")," ","_"),"__","_")
  )
)</f>
        <v>ictv_phylum</v>
      </c>
      <c r="C187" s="49" t="s">
        <v>1292</v>
      </c>
      <c r="D187" s="50" t="s">
        <v>1293</v>
      </c>
      <c r="E187" s="49" t="s">
        <v>64</v>
      </c>
      <c r="F187" s="49" t="s">
        <v>795</v>
      </c>
      <c r="G187" s="49"/>
      <c r="H187" s="49"/>
      <c r="I187" s="49"/>
      <c r="J187" s="49"/>
      <c r="K187" s="49"/>
      <c r="L187" s="49"/>
      <c r="M187" s="49"/>
      <c r="N187" s="49"/>
      <c r="O187" s="49"/>
      <c r="P187" s="49"/>
      <c r="Q187" s="49"/>
      <c r="R187" s="73" t="s">
        <v>1294</v>
      </c>
      <c r="S187" s="73" t="s">
        <v>1294</v>
      </c>
      <c r="T187" s="73" t="s">
        <v>1294</v>
      </c>
      <c r="U187" s="49"/>
      <c r="V187" s="49"/>
      <c r="W187" s="49"/>
      <c r="X187" s="48" t="s">
        <v>698</v>
      </c>
      <c r="Y187" s="48" t="s">
        <v>699</v>
      </c>
      <c r="Z187" s="48" t="s">
        <v>324</v>
      </c>
      <c r="AA187" s="49" t="str">
        <f>"[" &amp; _xlfn.TEXTJOIN(", ", TRUE,
    IF(I187&lt;&gt;"", """" &amp; I$1 &amp; """", ""),
    IF(J187&lt;&gt;"", """" &amp; J$1 &amp; """", ""),
    IF(K187&lt;&gt;"", """" &amp; K$1 &amp; """", ""),
    IF(L187&lt;&gt;"", """" &amp; L$1 &amp; """", ""),
    IF(M187&lt;&gt;"", """" &amp; M$1 &amp; """", ""),    IF(N187&lt;&gt;"", """" &amp; N$1 &amp; """", ""),    IF(O187&lt;&gt;"", """" &amp; O$1 &amp; """", ""),     IF(P187&lt;&gt;"", """" &amp; P$1 &amp; """", ""),     IF(Q187&lt;&gt;"", """" &amp; Q$1 &amp; """", ""), IF(R187&lt;&gt;"", """" &amp; R$1 &amp; """", ""), IF(S187&lt;&gt;"", """" &amp; S$1 &amp; """", ""), IF(T187&lt;&gt;"", """" &amp; T$1 &amp; """", ""), IF(U187&lt;&gt;"", """" &amp; U$1 &amp; """", ""),
    IF(X187&lt;&gt;"", """" &amp; X187 &amp; """", ""), IF(V187&lt;&gt;"", """" &amp; V187 &amp; """", ""), IF(W187&lt;&gt;"", """" &amp; W187 &amp; """", ""),
    IF(Y187&lt;&gt;"", """" &amp; Y187 &amp; """", ""),
    IF(Z187&lt;&gt;"", """" &amp; Z187 &amp; """", "")
) &amp; "]"</f>
        <v>["IMG/VR", "PHD", "PhiSpy", "Taxonomy", "Virus Taxonomy", "ICTV Taxonomy"]</v>
      </c>
      <c r="AB187" s="49" t="s">
        <v>325</v>
      </c>
      <c r="AC187" s="49" t="s">
        <v>70</v>
      </c>
      <c r="AD187" s="49"/>
      <c r="AE187" s="49"/>
      <c r="AF187" s="49"/>
      <c r="AG187" s="49"/>
      <c r="AH187" s="49"/>
      <c r="AI187" s="49"/>
      <c r="AJ187" s="49"/>
      <c r="AK187" s="49"/>
      <c r="AL187" s="49"/>
      <c r="AM187" s="49"/>
      <c r="AN187" s="49"/>
      <c r="AO187" s="49"/>
      <c r="AP187" s="49"/>
      <c r="AQ187" s="49"/>
      <c r="AR187" s="49"/>
      <c r="AS187" s="49"/>
      <c r="AT187" s="49"/>
      <c r="AU187" s="49"/>
      <c r="AV187" s="49"/>
      <c r="AW187" s="49"/>
      <c r="AX187" s="54"/>
      <c r="AY187" s="49"/>
      <c r="AZ187" s="49"/>
      <c r="BA187" s="49"/>
      <c r="BB187" s="49" t="s">
        <v>1295</v>
      </c>
      <c r="BC187" s="49" t="s">
        <v>701</v>
      </c>
      <c r="BD187" s="49" t="s">
        <v>702</v>
      </c>
      <c r="BE187" s="48"/>
    </row>
    <row r="188" spans="1:186" ht="34.5" customHeight="1">
      <c r="A188" s="99" t="s">
        <v>1296</v>
      </c>
      <c r="B188" s="50" t="str">
        <f>LOWER(
  IF(
    RIGHT(
      SUBSTITUTE(SUBSTITUTE(SUBSTITUTE(SUBSTITUTE(SUBSTITUTE(SUBSTITUTE(SUBSTITUTE(C188,"(","_"),")","_"),"/","_"),":","_"),"-","_")," ","_"),"__","_"),
      1
    )="_",
    LEFT(
      SUBSTITUTE(SUBSTITUTE(SUBSTITUTE(SUBSTITUTE(SUBSTITUTE(SUBSTITUTE(SUBSTITUTE(C188,"(","_"),")","_"),"/","_"),":","_"),"-","_")," ","_"),"__","_"),
      LEN(
        SUBSTITUTE(SUBSTITUTE(SUBSTITUTE(SUBSTITUTE(SUBSTITUTE(SUBSTITUTE(SUBSTITUTE(C188,"(","_"),")","_"),"/","_"),":","_"),"-","_")," ","_"),"__","_")
      )-1
    ),
    SUBSTITUTE(SUBSTITUTE(SUBSTITUTE(SUBSTITUTE(SUBSTITUTE(SUBSTITUTE(SUBSTITUTE(C188,"(","_"),")","_"),"/","_"),":","_"),"-","_")," ","_"),"__","_")
  )
)</f>
        <v>ictv_subphylum</v>
      </c>
      <c r="C188" s="49" t="s">
        <v>1297</v>
      </c>
      <c r="D188" s="50" t="s">
        <v>1298</v>
      </c>
      <c r="E188" s="49" t="s">
        <v>64</v>
      </c>
      <c r="F188" s="49" t="s">
        <v>795</v>
      </c>
      <c r="G188" s="49"/>
      <c r="H188" s="49"/>
      <c r="I188" s="49"/>
      <c r="J188" s="49"/>
      <c r="K188" s="49"/>
      <c r="L188" s="49"/>
      <c r="M188" s="49"/>
      <c r="N188" s="49"/>
      <c r="O188" s="49"/>
      <c r="P188" s="49"/>
      <c r="Q188" s="49"/>
      <c r="R188" s="49"/>
      <c r="S188" s="49" t="s">
        <v>1299</v>
      </c>
      <c r="T188" s="49"/>
      <c r="U188" s="49"/>
      <c r="V188" s="49"/>
      <c r="W188" s="49"/>
      <c r="X188" s="48" t="s">
        <v>698</v>
      </c>
      <c r="Y188" s="48" t="s">
        <v>699</v>
      </c>
      <c r="Z188" s="48" t="s">
        <v>324</v>
      </c>
      <c r="AA188" s="49" t="str">
        <f>"[" &amp; _xlfn.TEXTJOIN(", ", TRUE,
    IF(I188&lt;&gt;"", """" &amp; I$1 &amp; """", ""),
    IF(J188&lt;&gt;"", """" &amp; J$1 &amp; """", ""),
    IF(K188&lt;&gt;"", """" &amp; K$1 &amp; """", ""),
    IF(L188&lt;&gt;"", """" &amp; L$1 &amp; """", ""),
    IF(M188&lt;&gt;"", """" &amp; M$1 &amp; """", ""),    IF(N188&lt;&gt;"", """" &amp; N$1 &amp; """", ""),    IF(O188&lt;&gt;"", """" &amp; O$1 &amp; """", ""),     IF(P188&lt;&gt;"", """" &amp; P$1 &amp; """", ""),     IF(Q188&lt;&gt;"", """" &amp; Q$1 &amp; """", ""), IF(R188&lt;&gt;"", """" &amp; R$1 &amp; """", ""), IF(S188&lt;&gt;"", """" &amp; S$1 &amp; """", ""), IF(T188&lt;&gt;"", """" &amp; T$1 &amp; """", ""), IF(U188&lt;&gt;"", """" &amp; U$1 &amp; """", ""),
    IF(X188&lt;&gt;"", """" &amp; X188 &amp; """", ""), IF(V188&lt;&gt;"", """" &amp; V188 &amp; """", ""), IF(W188&lt;&gt;"", """" &amp; W188 &amp; """", ""),
    IF(Y188&lt;&gt;"", """" &amp; Y188 &amp; """", ""),
    IF(Z188&lt;&gt;"", """" &amp; Z188 &amp; """", "")
) &amp; "]"</f>
        <v>["PHD", "Taxonomy", "Virus Taxonomy", "ICTV Taxonomy"]</v>
      </c>
      <c r="AB188" s="49" t="s">
        <v>325</v>
      </c>
      <c r="AC188" s="49" t="s">
        <v>70</v>
      </c>
      <c r="AD188" s="49"/>
      <c r="AE188" s="49"/>
      <c r="AF188" s="49"/>
      <c r="AG188" s="49"/>
      <c r="AH188" s="49"/>
      <c r="AI188" s="49"/>
      <c r="AJ188" s="49"/>
      <c r="AK188" s="49"/>
      <c r="AL188" s="49"/>
      <c r="AM188" s="49"/>
      <c r="AN188" s="49"/>
      <c r="AO188" s="49"/>
      <c r="AP188" s="49"/>
      <c r="AQ188" s="49"/>
      <c r="AR188" s="49"/>
      <c r="AS188" s="49"/>
      <c r="AT188" s="49"/>
      <c r="AU188" s="49"/>
      <c r="AV188" s="49"/>
      <c r="AW188" s="49"/>
      <c r="AX188" s="54"/>
      <c r="AY188" s="49"/>
      <c r="AZ188" s="49"/>
      <c r="BA188" s="49"/>
      <c r="BB188" s="49" t="s">
        <v>1300</v>
      </c>
      <c r="BC188" s="49" t="s">
        <v>701</v>
      </c>
      <c r="BD188" s="49" t="s">
        <v>702</v>
      </c>
      <c r="BE188" s="48"/>
    </row>
    <row r="189" spans="1:186" ht="34.5" customHeight="1">
      <c r="A189" s="99" t="s">
        <v>1301</v>
      </c>
      <c r="B189" s="50" t="str">
        <f>LOWER(
  IF(
    RIGHT(
      SUBSTITUTE(SUBSTITUTE(SUBSTITUTE(SUBSTITUTE(SUBSTITUTE(SUBSTITUTE(SUBSTITUTE(C189,"(","_"),")","_"),"/","_"),":","_"),"-","_")," ","_"),"__","_"),
      1
    )="_",
    LEFT(
      SUBSTITUTE(SUBSTITUTE(SUBSTITUTE(SUBSTITUTE(SUBSTITUTE(SUBSTITUTE(SUBSTITUTE(C189,"(","_"),")","_"),"/","_"),":","_"),"-","_")," ","_"),"__","_"),
      LEN(
        SUBSTITUTE(SUBSTITUTE(SUBSTITUTE(SUBSTITUTE(SUBSTITUTE(SUBSTITUTE(SUBSTITUTE(C189,"(","_"),")","_"),"/","_"),":","_"),"-","_")," ","_"),"__","_")
      )-1
    ),
    SUBSTITUTE(SUBSTITUTE(SUBSTITUTE(SUBSTITUTE(SUBSTITUTE(SUBSTITUTE(SUBSTITUTE(C189,"(","_"),")","_"),"/","_"),":","_"),"-","_")," ","_"),"__","_")
  )
)</f>
        <v>ictv_class</v>
      </c>
      <c r="C189" s="49" t="s">
        <v>1302</v>
      </c>
      <c r="D189" s="50" t="s">
        <v>1303</v>
      </c>
      <c r="E189" s="49" t="s">
        <v>64</v>
      </c>
      <c r="F189" s="49" t="s">
        <v>795</v>
      </c>
      <c r="G189" s="49"/>
      <c r="H189" s="49"/>
      <c r="I189" s="49"/>
      <c r="J189" s="49"/>
      <c r="K189" s="49"/>
      <c r="L189" s="49"/>
      <c r="M189" s="49"/>
      <c r="N189" s="49"/>
      <c r="O189" s="49"/>
      <c r="P189" s="49"/>
      <c r="Q189" s="49"/>
      <c r="R189" s="73" t="s">
        <v>1304</v>
      </c>
      <c r="S189" s="73" t="s">
        <v>1304</v>
      </c>
      <c r="T189" s="73" t="s">
        <v>1304</v>
      </c>
      <c r="U189" s="49"/>
      <c r="V189" s="49"/>
      <c r="W189" s="49"/>
      <c r="X189" s="48" t="s">
        <v>698</v>
      </c>
      <c r="Y189" s="48" t="s">
        <v>699</v>
      </c>
      <c r="Z189" s="48" t="s">
        <v>324</v>
      </c>
      <c r="AA189" s="49" t="str">
        <f>"[" &amp; _xlfn.TEXTJOIN(", ", TRUE,
    IF(I189&lt;&gt;"", """" &amp; I$1 &amp; """", ""),
    IF(J189&lt;&gt;"", """" &amp; J$1 &amp; """", ""),
    IF(K189&lt;&gt;"", """" &amp; K$1 &amp; """", ""),
    IF(L189&lt;&gt;"", """" &amp; L$1 &amp; """", ""),
    IF(M189&lt;&gt;"", """" &amp; M$1 &amp; """", ""),    IF(N189&lt;&gt;"", """" &amp; N$1 &amp; """", ""),    IF(O189&lt;&gt;"", """" &amp; O$1 &amp; """", ""),     IF(P189&lt;&gt;"", """" &amp; P$1 &amp; """", ""),     IF(Q189&lt;&gt;"", """" &amp; Q$1 &amp; """", ""), IF(R189&lt;&gt;"", """" &amp; R$1 &amp; """", ""), IF(S189&lt;&gt;"", """" &amp; S$1 &amp; """", ""), IF(T189&lt;&gt;"", """" &amp; T$1 &amp; """", ""), IF(U189&lt;&gt;"", """" &amp; U$1 &amp; """", ""),
    IF(X189&lt;&gt;"", """" &amp; X189 &amp; """", ""), IF(V189&lt;&gt;"", """" &amp; V189 &amp; """", ""), IF(W189&lt;&gt;"", """" &amp; W189 &amp; """", ""),
    IF(Y189&lt;&gt;"", """" &amp; Y189 &amp; """", ""),
    IF(Z189&lt;&gt;"", """" &amp; Z189 &amp; """", "")
) &amp; "]"</f>
        <v>["IMG/VR", "PHD", "PhiSpy", "Taxonomy", "Virus Taxonomy", "ICTV Taxonomy"]</v>
      </c>
      <c r="AB189" s="49" t="s">
        <v>325</v>
      </c>
      <c r="AC189" s="49" t="s">
        <v>70</v>
      </c>
      <c r="AD189" s="49"/>
      <c r="AE189" s="49"/>
      <c r="AF189" s="49"/>
      <c r="AG189" s="49"/>
      <c r="AH189" s="49"/>
      <c r="AI189" s="49"/>
      <c r="AJ189" s="49"/>
      <c r="AK189" s="49"/>
      <c r="AL189" s="49"/>
      <c r="AM189" s="49"/>
      <c r="AN189" s="49"/>
      <c r="AO189" s="49"/>
      <c r="AP189" s="49"/>
      <c r="AQ189" s="49"/>
      <c r="AR189" s="49"/>
      <c r="AS189" s="49"/>
      <c r="AT189" s="49"/>
      <c r="AU189" s="49"/>
      <c r="AV189" s="49"/>
      <c r="AW189" s="49"/>
      <c r="AX189" s="54"/>
      <c r="AY189" s="49"/>
      <c r="AZ189" s="49"/>
      <c r="BA189" s="49"/>
      <c r="BB189" s="49" t="s">
        <v>1305</v>
      </c>
      <c r="BC189" s="49" t="s">
        <v>701</v>
      </c>
      <c r="BD189" s="49" t="s">
        <v>702</v>
      </c>
      <c r="BE189" s="48"/>
    </row>
    <row r="190" spans="1:186" ht="34.5" customHeight="1">
      <c r="A190" s="99" t="s">
        <v>1306</v>
      </c>
      <c r="B190" s="50" t="str">
        <f>LOWER(
  IF(
    RIGHT(
      SUBSTITUTE(SUBSTITUTE(SUBSTITUTE(SUBSTITUTE(SUBSTITUTE(SUBSTITUTE(SUBSTITUTE(C190,"(","_"),")","_"),"/","_"),":","_"),"-","_")," ","_"),"__","_"),
      1
    )="_",
    LEFT(
      SUBSTITUTE(SUBSTITUTE(SUBSTITUTE(SUBSTITUTE(SUBSTITUTE(SUBSTITUTE(SUBSTITUTE(C190,"(","_"),")","_"),"/","_"),":","_"),"-","_")," ","_"),"__","_"),
      LEN(
        SUBSTITUTE(SUBSTITUTE(SUBSTITUTE(SUBSTITUTE(SUBSTITUTE(SUBSTITUTE(SUBSTITUTE(C190,"(","_"),")","_"),"/","_"),":","_"),"-","_")," ","_"),"__","_")
      )-1
    ),
    SUBSTITUTE(SUBSTITUTE(SUBSTITUTE(SUBSTITUTE(SUBSTITUTE(SUBSTITUTE(SUBSTITUTE(C190,"(","_"),")","_"),"/","_"),":","_"),"-","_")," ","_"),"__","_")
  )
)</f>
        <v>ictv_order</v>
      </c>
      <c r="C190" s="49" t="s">
        <v>1307</v>
      </c>
      <c r="D190" s="50" t="s">
        <v>1308</v>
      </c>
      <c r="E190" s="49" t="s">
        <v>64</v>
      </c>
      <c r="F190" s="49" t="s">
        <v>795</v>
      </c>
      <c r="G190" s="49"/>
      <c r="H190" s="49"/>
      <c r="I190" s="49"/>
      <c r="J190" s="49"/>
      <c r="K190" s="49"/>
      <c r="L190" s="49"/>
      <c r="M190" s="49"/>
      <c r="N190" s="49"/>
      <c r="O190" s="49"/>
      <c r="P190" s="49"/>
      <c r="Q190" s="49"/>
      <c r="R190" s="73" t="s">
        <v>1309</v>
      </c>
      <c r="S190" s="73" t="s">
        <v>1309</v>
      </c>
      <c r="T190" s="73" t="s">
        <v>1309</v>
      </c>
      <c r="U190" s="49"/>
      <c r="V190" s="49"/>
      <c r="W190" s="49"/>
      <c r="X190" s="48" t="s">
        <v>698</v>
      </c>
      <c r="Y190" s="48" t="s">
        <v>699</v>
      </c>
      <c r="Z190" s="48" t="s">
        <v>324</v>
      </c>
      <c r="AA190" s="49" t="str">
        <f>"[" &amp; _xlfn.TEXTJOIN(", ", TRUE,
    IF(I190&lt;&gt;"", """" &amp; I$1 &amp; """", ""),
    IF(J190&lt;&gt;"", """" &amp; J$1 &amp; """", ""),
    IF(K190&lt;&gt;"", """" &amp; K$1 &amp; """", ""),
    IF(L190&lt;&gt;"", """" &amp; L$1 &amp; """", ""),
    IF(M190&lt;&gt;"", """" &amp; M$1 &amp; """", ""),    IF(N190&lt;&gt;"", """" &amp; N$1 &amp; """", ""),    IF(O190&lt;&gt;"", """" &amp; O$1 &amp; """", ""),     IF(P190&lt;&gt;"", """" &amp; P$1 &amp; """", ""),     IF(Q190&lt;&gt;"", """" &amp; Q$1 &amp; """", ""), IF(R190&lt;&gt;"", """" &amp; R$1 &amp; """", ""), IF(S190&lt;&gt;"", """" &amp; S$1 &amp; """", ""), IF(T190&lt;&gt;"", """" &amp; T$1 &amp; """", ""), IF(U190&lt;&gt;"", """" &amp; U$1 &amp; """", ""),
    IF(X190&lt;&gt;"", """" &amp; X190 &amp; """", ""), IF(V190&lt;&gt;"", """" &amp; V190 &amp; """", ""), IF(W190&lt;&gt;"", """" &amp; W190 &amp; """", ""),
    IF(Y190&lt;&gt;"", """" &amp; Y190 &amp; """", ""),
    IF(Z190&lt;&gt;"", """" &amp; Z190 &amp; """", "")
) &amp; "]"</f>
        <v>["IMG/VR", "PHD", "PhiSpy", "Taxonomy", "Virus Taxonomy", "ICTV Taxonomy"]</v>
      </c>
      <c r="AB190" s="49" t="s">
        <v>325</v>
      </c>
      <c r="AC190" s="49" t="s">
        <v>70</v>
      </c>
      <c r="AD190" s="49"/>
      <c r="AE190" s="49"/>
      <c r="AF190" s="49"/>
      <c r="AG190" s="49"/>
      <c r="AH190" s="49"/>
      <c r="AI190" s="49"/>
      <c r="AJ190" s="49"/>
      <c r="AK190" s="49"/>
      <c r="AL190" s="49"/>
      <c r="AM190" s="49"/>
      <c r="AN190" s="49"/>
      <c r="AO190" s="49"/>
      <c r="AP190" s="49"/>
      <c r="AQ190" s="49"/>
      <c r="AR190" s="49"/>
      <c r="AS190" s="49"/>
      <c r="AT190" s="49"/>
      <c r="AU190" s="49"/>
      <c r="AV190" s="49"/>
      <c r="AW190" s="49"/>
      <c r="AX190" s="54"/>
      <c r="AY190" s="49"/>
      <c r="AZ190" s="49"/>
      <c r="BA190" s="49"/>
      <c r="BB190" s="49" t="s">
        <v>1310</v>
      </c>
      <c r="BC190" s="49" t="s">
        <v>701</v>
      </c>
      <c r="BD190" s="49" t="s">
        <v>702</v>
      </c>
      <c r="BE190" s="48"/>
    </row>
    <row r="191" spans="1:186" ht="34.5" customHeight="1">
      <c r="A191" s="99" t="s">
        <v>1311</v>
      </c>
      <c r="B191" s="50" t="str">
        <f>LOWER(
  IF(
    RIGHT(
      SUBSTITUTE(SUBSTITUTE(SUBSTITUTE(SUBSTITUTE(SUBSTITUTE(SUBSTITUTE(SUBSTITUTE(C191,"(","_"),")","_"),"/","_"),":","_"),"-","_")," ","_"),"__","_"),
      1
    )="_",
    LEFT(
      SUBSTITUTE(SUBSTITUTE(SUBSTITUTE(SUBSTITUTE(SUBSTITUTE(SUBSTITUTE(SUBSTITUTE(C191,"(","_"),")","_"),"/","_"),":","_"),"-","_")," ","_"),"__","_"),
      LEN(
        SUBSTITUTE(SUBSTITUTE(SUBSTITUTE(SUBSTITUTE(SUBSTITUTE(SUBSTITUTE(SUBSTITUTE(C191,"(","_"),")","_"),"/","_"),":","_"),"-","_")," ","_"),"__","_")
      )-1
    ),
    SUBSTITUTE(SUBSTITUTE(SUBSTITUTE(SUBSTITUTE(SUBSTITUTE(SUBSTITUTE(SUBSTITUTE(C191,"(","_"),")","_"),"/","_"),":","_"),"-","_")," ","_"),"__","_")
  )
)</f>
        <v>ictv_suborder</v>
      </c>
      <c r="C191" s="49" t="s">
        <v>1312</v>
      </c>
      <c r="D191" s="50" t="s">
        <v>1313</v>
      </c>
      <c r="E191" s="49" t="s">
        <v>64</v>
      </c>
      <c r="F191" s="49" t="s">
        <v>795</v>
      </c>
      <c r="G191" s="49"/>
      <c r="H191" s="49"/>
      <c r="I191" s="49"/>
      <c r="J191" s="49"/>
      <c r="K191" s="49"/>
      <c r="L191" s="49"/>
      <c r="M191" s="49"/>
      <c r="N191" s="49"/>
      <c r="O191" s="49"/>
      <c r="P191" s="49"/>
      <c r="Q191" s="49"/>
      <c r="R191" s="49"/>
      <c r="S191" s="49" t="s">
        <v>1314</v>
      </c>
      <c r="T191" s="49"/>
      <c r="U191" s="49"/>
      <c r="V191" s="49"/>
      <c r="W191" s="49"/>
      <c r="X191" s="48" t="s">
        <v>698</v>
      </c>
      <c r="Y191" s="48" t="s">
        <v>699</v>
      </c>
      <c r="Z191" s="48" t="s">
        <v>324</v>
      </c>
      <c r="AA191" s="49" t="str">
        <f>"[" &amp; _xlfn.TEXTJOIN(", ", TRUE,
    IF(I191&lt;&gt;"", """" &amp; I$1 &amp; """", ""),
    IF(J191&lt;&gt;"", """" &amp; J$1 &amp; """", ""),
    IF(K191&lt;&gt;"", """" &amp; K$1 &amp; """", ""),
    IF(L191&lt;&gt;"", """" &amp; L$1 &amp; """", ""),
    IF(M191&lt;&gt;"", """" &amp; M$1 &amp; """", ""),    IF(N191&lt;&gt;"", """" &amp; N$1 &amp; """", ""),    IF(O191&lt;&gt;"", """" &amp; O$1 &amp; """", ""),     IF(P191&lt;&gt;"", """" &amp; P$1 &amp; """", ""),     IF(Q191&lt;&gt;"", """" &amp; Q$1 &amp; """", ""), IF(R191&lt;&gt;"", """" &amp; R$1 &amp; """", ""), IF(S191&lt;&gt;"", """" &amp; S$1 &amp; """", ""), IF(T191&lt;&gt;"", """" &amp; T$1 &amp; """", ""), IF(U191&lt;&gt;"", """" &amp; U$1 &amp; """", ""),
    IF(X191&lt;&gt;"", """" &amp; X191 &amp; """", ""), IF(V191&lt;&gt;"", """" &amp; V191 &amp; """", ""), IF(W191&lt;&gt;"", """" &amp; W191 &amp; """", ""),
    IF(Y191&lt;&gt;"", """" &amp; Y191 &amp; """", ""),
    IF(Z191&lt;&gt;"", """" &amp; Z191 &amp; """", "")
) &amp; "]"</f>
        <v>["PHD", "Taxonomy", "Virus Taxonomy", "ICTV Taxonomy"]</v>
      </c>
      <c r="AB191" s="49" t="s">
        <v>325</v>
      </c>
      <c r="AC191" s="49" t="s">
        <v>70</v>
      </c>
      <c r="AD191" s="49"/>
      <c r="AE191" s="49"/>
      <c r="AF191" s="49"/>
      <c r="AG191" s="49"/>
      <c r="AH191" s="49"/>
      <c r="AI191" s="49"/>
      <c r="AJ191" s="49"/>
      <c r="AK191" s="49"/>
      <c r="AL191" s="49"/>
      <c r="AM191" s="49"/>
      <c r="AN191" s="49"/>
      <c r="AO191" s="49"/>
      <c r="AP191" s="49"/>
      <c r="AQ191" s="49"/>
      <c r="AR191" s="49"/>
      <c r="AS191" s="49"/>
      <c r="AT191" s="49"/>
      <c r="AU191" s="49"/>
      <c r="AV191" s="49"/>
      <c r="AW191" s="49"/>
      <c r="AX191" s="54"/>
      <c r="AY191" s="49"/>
      <c r="AZ191" s="49"/>
      <c r="BA191" s="49"/>
      <c r="BB191" s="49" t="s">
        <v>1315</v>
      </c>
      <c r="BC191" s="49" t="s">
        <v>701</v>
      </c>
      <c r="BD191" s="49" t="s">
        <v>702</v>
      </c>
      <c r="BE191" s="48"/>
    </row>
    <row r="192" spans="1:186" ht="34.5" customHeight="1">
      <c r="A192" s="99" t="s">
        <v>1316</v>
      </c>
      <c r="B192" s="50" t="str">
        <f>LOWER(
  IF(
    RIGHT(
      SUBSTITUTE(SUBSTITUTE(SUBSTITUTE(SUBSTITUTE(SUBSTITUTE(SUBSTITUTE(SUBSTITUTE(C192,"(","_"),")","_"),"/","_"),":","_"),"-","_")," ","_"),"__","_"),
      1
    )="_",
    LEFT(
      SUBSTITUTE(SUBSTITUTE(SUBSTITUTE(SUBSTITUTE(SUBSTITUTE(SUBSTITUTE(SUBSTITUTE(C192,"(","_"),")","_"),"/","_"),":","_"),"-","_")," ","_"),"__","_"),
      LEN(
        SUBSTITUTE(SUBSTITUTE(SUBSTITUTE(SUBSTITUTE(SUBSTITUTE(SUBSTITUTE(SUBSTITUTE(C192,"(","_"),")","_"),"/","_"),":","_"),"-","_")," ","_"),"__","_")
      )-1
    ),
    SUBSTITUTE(SUBSTITUTE(SUBSTITUTE(SUBSTITUTE(SUBSTITUTE(SUBSTITUTE(SUBSTITUTE(C192,"(","_"),")","_"),"/","_"),":","_"),"-","_")," ","_"),"__","_")
  )
)</f>
        <v>ictv_family</v>
      </c>
      <c r="C192" s="49" t="s">
        <v>1317</v>
      </c>
      <c r="D192" s="50" t="s">
        <v>1318</v>
      </c>
      <c r="E192" s="49" t="s">
        <v>64</v>
      </c>
      <c r="F192" s="49" t="s">
        <v>795</v>
      </c>
      <c r="G192" s="49"/>
      <c r="H192" s="49"/>
      <c r="I192" s="49"/>
      <c r="J192" s="49"/>
      <c r="K192" s="49"/>
      <c r="L192" s="49"/>
      <c r="M192" s="49"/>
      <c r="N192" s="49"/>
      <c r="O192" s="49"/>
      <c r="P192" s="49"/>
      <c r="Q192" s="49"/>
      <c r="R192" s="73" t="s">
        <v>1319</v>
      </c>
      <c r="S192" s="73" t="s">
        <v>1319</v>
      </c>
      <c r="T192" s="73" t="s">
        <v>1319</v>
      </c>
      <c r="U192" s="49"/>
      <c r="V192" s="49"/>
      <c r="W192" s="49"/>
      <c r="X192" s="48" t="s">
        <v>698</v>
      </c>
      <c r="Y192" s="48" t="s">
        <v>699</v>
      </c>
      <c r="Z192" s="48" t="s">
        <v>324</v>
      </c>
      <c r="AA192" s="49" t="str">
        <f>"[" &amp; _xlfn.TEXTJOIN(", ", TRUE,
    IF(I192&lt;&gt;"", """" &amp; I$1 &amp; """", ""),
    IF(J192&lt;&gt;"", """" &amp; J$1 &amp; """", ""),
    IF(K192&lt;&gt;"", """" &amp; K$1 &amp; """", ""),
    IF(L192&lt;&gt;"", """" &amp; L$1 &amp; """", ""),
    IF(M192&lt;&gt;"", """" &amp; M$1 &amp; """", ""),    IF(N192&lt;&gt;"", """" &amp; N$1 &amp; """", ""),    IF(O192&lt;&gt;"", """" &amp; O$1 &amp; """", ""),     IF(P192&lt;&gt;"", """" &amp; P$1 &amp; """", ""),     IF(Q192&lt;&gt;"", """" &amp; Q$1 &amp; """", ""), IF(R192&lt;&gt;"", """" &amp; R$1 &amp; """", ""), IF(S192&lt;&gt;"", """" &amp; S$1 &amp; """", ""), IF(T192&lt;&gt;"", """" &amp; T$1 &amp; """", ""), IF(U192&lt;&gt;"", """" &amp; U$1 &amp; """", ""),
    IF(X192&lt;&gt;"", """" &amp; X192 &amp; """", ""), IF(V192&lt;&gt;"", """" &amp; V192 &amp; """", ""), IF(W192&lt;&gt;"", """" &amp; W192 &amp; """", ""),
    IF(Y192&lt;&gt;"", """" &amp; Y192 &amp; """", ""),
    IF(Z192&lt;&gt;"", """" &amp; Z192 &amp; """", "")
) &amp; "]"</f>
        <v>["IMG/VR", "PHD", "PhiSpy", "Taxonomy", "Virus Taxonomy", "ICTV Taxonomy"]</v>
      </c>
      <c r="AB192" s="49" t="s">
        <v>325</v>
      </c>
      <c r="AC192" s="49" t="s">
        <v>70</v>
      </c>
      <c r="AD192" s="49"/>
      <c r="AE192" s="49"/>
      <c r="AF192" s="49"/>
      <c r="AG192" s="49"/>
      <c r="AH192" s="49"/>
      <c r="AI192" s="49"/>
      <c r="AJ192" s="49"/>
      <c r="AK192" s="49"/>
      <c r="AL192" s="49"/>
      <c r="AM192" s="49"/>
      <c r="AN192" s="49"/>
      <c r="AO192" s="49"/>
      <c r="AP192" s="49"/>
      <c r="AQ192" s="49"/>
      <c r="AR192" s="49"/>
      <c r="AS192" s="49"/>
      <c r="AT192" s="49"/>
      <c r="AU192" s="49"/>
      <c r="AV192" s="49"/>
      <c r="AW192" s="49"/>
      <c r="AX192" s="54"/>
      <c r="AY192" s="49"/>
      <c r="AZ192" s="49"/>
      <c r="BA192" s="49"/>
      <c r="BB192" s="49" t="s">
        <v>1320</v>
      </c>
      <c r="BC192" s="49" t="s">
        <v>701</v>
      </c>
      <c r="BD192" s="49" t="s">
        <v>702</v>
      </c>
      <c r="BE192" s="48"/>
    </row>
    <row r="193" spans="1:186" ht="34.5" customHeight="1">
      <c r="A193" s="99" t="s">
        <v>1321</v>
      </c>
      <c r="B193" s="50" t="str">
        <f>LOWER(
  IF(
    RIGHT(
      SUBSTITUTE(SUBSTITUTE(SUBSTITUTE(SUBSTITUTE(SUBSTITUTE(SUBSTITUTE(SUBSTITUTE(C193,"(","_"),")","_"),"/","_"),":","_"),"-","_")," ","_"),"__","_"),
      1
    )="_",
    LEFT(
      SUBSTITUTE(SUBSTITUTE(SUBSTITUTE(SUBSTITUTE(SUBSTITUTE(SUBSTITUTE(SUBSTITUTE(C193,"(","_"),")","_"),"/","_"),":","_"),"-","_")," ","_"),"__","_"),
      LEN(
        SUBSTITUTE(SUBSTITUTE(SUBSTITUTE(SUBSTITUTE(SUBSTITUTE(SUBSTITUTE(SUBSTITUTE(C193,"(","_"),")","_"),"/","_"),":","_"),"-","_")," ","_"),"__","_")
      )-1
    ),
    SUBSTITUTE(SUBSTITUTE(SUBSTITUTE(SUBSTITUTE(SUBSTITUTE(SUBSTITUTE(SUBSTITUTE(C193,"(","_"),")","_"),"/","_"),":","_"),"-","_")," ","_"),"__","_")
  )
)</f>
        <v>ictv_subfamily</v>
      </c>
      <c r="C193" s="49" t="s">
        <v>1322</v>
      </c>
      <c r="D193" s="50" t="s">
        <v>1323</v>
      </c>
      <c r="E193" s="49" t="s">
        <v>64</v>
      </c>
      <c r="F193" s="49" t="s">
        <v>795</v>
      </c>
      <c r="G193" s="49"/>
      <c r="H193" s="49"/>
      <c r="I193" s="49"/>
      <c r="J193" s="49"/>
      <c r="K193" s="49"/>
      <c r="L193" s="49"/>
      <c r="M193" s="49"/>
      <c r="N193" s="49"/>
      <c r="O193" s="49"/>
      <c r="P193" s="49"/>
      <c r="Q193" s="49"/>
      <c r="R193" s="49"/>
      <c r="S193" s="49" t="s">
        <v>1324</v>
      </c>
      <c r="T193" s="49"/>
      <c r="U193" s="49"/>
      <c r="V193" s="49"/>
      <c r="W193" s="49"/>
      <c r="X193" s="48" t="s">
        <v>698</v>
      </c>
      <c r="Y193" s="48" t="s">
        <v>699</v>
      </c>
      <c r="Z193" s="48" t="s">
        <v>324</v>
      </c>
      <c r="AA193" s="49" t="str">
        <f>"[" &amp; _xlfn.TEXTJOIN(", ", TRUE,
    IF(I193&lt;&gt;"", """" &amp; I$1 &amp; """", ""),
    IF(J193&lt;&gt;"", """" &amp; J$1 &amp; """", ""),
    IF(K193&lt;&gt;"", """" &amp; K$1 &amp; """", ""),
    IF(L193&lt;&gt;"", """" &amp; L$1 &amp; """", ""),
    IF(M193&lt;&gt;"", """" &amp; M$1 &amp; """", ""),    IF(N193&lt;&gt;"", """" &amp; N$1 &amp; """", ""),    IF(O193&lt;&gt;"", """" &amp; O$1 &amp; """", ""),     IF(P193&lt;&gt;"", """" &amp; P$1 &amp; """", ""),     IF(Q193&lt;&gt;"", """" &amp; Q$1 &amp; """", ""), IF(R193&lt;&gt;"", """" &amp; R$1 &amp; """", ""), IF(S193&lt;&gt;"", """" &amp; S$1 &amp; """", ""), IF(T193&lt;&gt;"", """" &amp; T$1 &amp; """", ""), IF(U193&lt;&gt;"", """" &amp; U$1 &amp; """", ""),
    IF(X193&lt;&gt;"", """" &amp; X193 &amp; """", ""), IF(V193&lt;&gt;"", """" &amp; V193 &amp; """", ""), IF(W193&lt;&gt;"", """" &amp; W193 &amp; """", ""),
    IF(Y193&lt;&gt;"", """" &amp; Y193 &amp; """", ""),
    IF(Z193&lt;&gt;"", """" &amp; Z193 &amp; """", "")
) &amp; "]"</f>
        <v>["PHD", "Taxonomy", "Virus Taxonomy", "ICTV Taxonomy"]</v>
      </c>
      <c r="AB193" s="49" t="s">
        <v>325</v>
      </c>
      <c r="AC193" s="49" t="s">
        <v>70</v>
      </c>
      <c r="AD193" s="49"/>
      <c r="AE193" s="49"/>
      <c r="AF193" s="49"/>
      <c r="AG193" s="49"/>
      <c r="AH193" s="49"/>
      <c r="AI193" s="49"/>
      <c r="AJ193" s="49"/>
      <c r="AK193" s="49"/>
      <c r="AL193" s="49"/>
      <c r="AM193" s="49"/>
      <c r="AN193" s="49"/>
      <c r="AO193" s="49"/>
      <c r="AP193" s="49"/>
      <c r="AQ193" s="49"/>
      <c r="AR193" s="49"/>
      <c r="AS193" s="49"/>
      <c r="AT193" s="49"/>
      <c r="AU193" s="49"/>
      <c r="AV193" s="49"/>
      <c r="AW193" s="49"/>
      <c r="AX193" s="54"/>
      <c r="AY193" s="49"/>
      <c r="AZ193" s="49"/>
      <c r="BA193" s="49"/>
      <c r="BB193" s="49" t="s">
        <v>1325</v>
      </c>
      <c r="BC193" s="49" t="s">
        <v>701</v>
      </c>
      <c r="BD193" s="49" t="s">
        <v>702</v>
      </c>
      <c r="BE193" s="48"/>
    </row>
    <row r="194" spans="1:186" s="82" customFormat="1" ht="34.5" customHeight="1">
      <c r="A194" s="99" t="s">
        <v>1326</v>
      </c>
      <c r="B194" s="50" t="str">
        <f>LOWER(
  IF(
    RIGHT(
      SUBSTITUTE(SUBSTITUTE(SUBSTITUTE(SUBSTITUTE(SUBSTITUTE(SUBSTITUTE(SUBSTITUTE(C194,"(","_"),")","_"),"/","_"),":","_"),"-","_")," ","_"),"__","_"),
      1
    )="_",
    LEFT(
      SUBSTITUTE(SUBSTITUTE(SUBSTITUTE(SUBSTITUTE(SUBSTITUTE(SUBSTITUTE(SUBSTITUTE(C194,"(","_"),")","_"),"/","_"),":","_"),"-","_")," ","_"),"__","_"),
      LEN(
        SUBSTITUTE(SUBSTITUTE(SUBSTITUTE(SUBSTITUTE(SUBSTITUTE(SUBSTITUTE(SUBSTITUTE(C194,"(","_"),")","_"),"/","_"),":","_"),"-","_")," ","_"),"__","_")
      )-1
    ),
    SUBSTITUTE(SUBSTITUTE(SUBSTITUTE(SUBSTITUTE(SUBSTITUTE(SUBSTITUTE(SUBSTITUTE(C194,"(","_"),")","_"),"/","_"),":","_"),"-","_")," ","_"),"__","_")
  )
)</f>
        <v>ictv_genus</v>
      </c>
      <c r="C194" s="49" t="s">
        <v>1327</v>
      </c>
      <c r="D194" s="50" t="s">
        <v>1328</v>
      </c>
      <c r="E194" s="49" t="s">
        <v>64</v>
      </c>
      <c r="F194" s="49" t="s">
        <v>795</v>
      </c>
      <c r="G194" s="49"/>
      <c r="H194" s="49"/>
      <c r="I194" s="49"/>
      <c r="J194" s="49"/>
      <c r="K194" s="49"/>
      <c r="L194" s="49"/>
      <c r="M194" s="49"/>
      <c r="N194" s="49"/>
      <c r="O194" s="49"/>
      <c r="P194" s="49"/>
      <c r="Q194" s="49"/>
      <c r="R194" s="73" t="s">
        <v>1329</v>
      </c>
      <c r="S194" s="73" t="s">
        <v>1329</v>
      </c>
      <c r="T194" s="73" t="s">
        <v>1329</v>
      </c>
      <c r="U194" s="49"/>
      <c r="V194" s="49"/>
      <c r="W194" s="49"/>
      <c r="X194" s="48" t="s">
        <v>698</v>
      </c>
      <c r="Y194" s="48" t="s">
        <v>699</v>
      </c>
      <c r="Z194" s="48" t="s">
        <v>324</v>
      </c>
      <c r="AA194" s="49" t="str">
        <f>"[" &amp; _xlfn.TEXTJOIN(", ", TRUE,
    IF(I194&lt;&gt;"", """" &amp; I$1 &amp; """", ""),
    IF(J194&lt;&gt;"", """" &amp; J$1 &amp; """", ""),
    IF(K194&lt;&gt;"", """" &amp; K$1 &amp; """", ""),
    IF(L194&lt;&gt;"", """" &amp; L$1 &amp; """", ""),
    IF(M194&lt;&gt;"", """" &amp; M$1 &amp; """", ""),    IF(N194&lt;&gt;"", """" &amp; N$1 &amp; """", ""),    IF(O194&lt;&gt;"", """" &amp; O$1 &amp; """", ""),     IF(P194&lt;&gt;"", """" &amp; P$1 &amp; """", ""),     IF(Q194&lt;&gt;"", """" &amp; Q$1 &amp; """", ""), IF(R194&lt;&gt;"", """" &amp; R$1 &amp; """", ""), IF(S194&lt;&gt;"", """" &amp; S$1 &amp; """", ""), IF(T194&lt;&gt;"", """" &amp; T$1 &amp; """", ""), IF(U194&lt;&gt;"", """" &amp; U$1 &amp; """", ""),
    IF(X194&lt;&gt;"", """" &amp; X194 &amp; """", ""), IF(V194&lt;&gt;"", """" &amp; V194 &amp; """", ""), IF(W194&lt;&gt;"", """" &amp; W194 &amp; """", ""),
    IF(Y194&lt;&gt;"", """" &amp; Y194 &amp; """", ""),
    IF(Z194&lt;&gt;"", """" &amp; Z194 &amp; """", "")
) &amp; "]"</f>
        <v>["IMG/VR", "PHD", "PhiSpy", "Taxonomy", "Virus Taxonomy", "ICTV Taxonomy"]</v>
      </c>
      <c r="AB194" s="49" t="s">
        <v>325</v>
      </c>
      <c r="AC194" s="49" t="s">
        <v>70</v>
      </c>
      <c r="AD194" s="49"/>
      <c r="AE194" s="49"/>
      <c r="AF194" s="49"/>
      <c r="AG194" s="49"/>
      <c r="AH194" s="49"/>
      <c r="AI194" s="49"/>
      <c r="AJ194" s="49"/>
      <c r="AK194" s="49"/>
      <c r="AL194" s="49"/>
      <c r="AM194" s="49"/>
      <c r="AN194" s="49"/>
      <c r="AO194" s="49"/>
      <c r="AP194" s="49"/>
      <c r="AQ194" s="49"/>
      <c r="AR194" s="49"/>
      <c r="AS194" s="49"/>
      <c r="AT194" s="49"/>
      <c r="AU194" s="49"/>
      <c r="AV194" s="49"/>
      <c r="AW194" s="49"/>
      <c r="AX194" s="54"/>
      <c r="AY194" s="49"/>
      <c r="AZ194" s="49"/>
      <c r="BA194" s="49"/>
      <c r="BB194" s="49" t="s">
        <v>1330</v>
      </c>
      <c r="BC194" s="49" t="s">
        <v>701</v>
      </c>
      <c r="BD194" s="49" t="s">
        <v>702</v>
      </c>
      <c r="BE194" s="48"/>
      <c r="BF194" s="45"/>
      <c r="BG194" s="45"/>
      <c r="BH194" s="45"/>
      <c r="BI194" s="45"/>
      <c r="BJ194" s="45"/>
      <c r="BK194" s="45"/>
      <c r="BL194" s="45"/>
      <c r="BM194" s="45"/>
      <c r="BN194" s="45"/>
      <c r="BO194" s="45"/>
      <c r="BP194" s="45"/>
      <c r="BQ194" s="45"/>
      <c r="BR194" s="45"/>
      <c r="BS194" s="45"/>
      <c r="BT194" s="45"/>
      <c r="BU194" s="45"/>
      <c r="BV194" s="45"/>
      <c r="BW194" s="45"/>
      <c r="BX194" s="45"/>
      <c r="BY194" s="45"/>
      <c r="BZ194" s="45"/>
      <c r="CA194" s="45"/>
      <c r="CB194" s="45"/>
      <c r="CC194" s="45"/>
      <c r="CD194" s="45"/>
      <c r="CE194" s="45"/>
      <c r="CF194" s="45"/>
      <c r="CG194" s="45"/>
      <c r="CH194" s="45"/>
      <c r="CI194" s="45"/>
      <c r="CJ194" s="45"/>
      <c r="CK194" s="45"/>
      <c r="CL194" s="45"/>
      <c r="CM194" s="45"/>
      <c r="CN194" s="45"/>
      <c r="CO194" s="45"/>
      <c r="CP194" s="45"/>
      <c r="CQ194" s="45"/>
      <c r="CR194" s="45"/>
      <c r="CS194" s="45"/>
      <c r="CT194" s="45"/>
      <c r="CU194" s="45"/>
      <c r="CV194" s="45"/>
      <c r="CW194" s="45"/>
      <c r="CX194" s="45"/>
      <c r="CY194" s="45"/>
      <c r="CZ194" s="45"/>
      <c r="DA194" s="45"/>
      <c r="DB194" s="45"/>
      <c r="DC194" s="45"/>
      <c r="DD194" s="45"/>
      <c r="DE194" s="45"/>
      <c r="DF194" s="45"/>
      <c r="DG194" s="45"/>
      <c r="DH194" s="45"/>
      <c r="DI194" s="45"/>
      <c r="DJ194" s="45"/>
      <c r="DK194" s="45"/>
      <c r="DL194" s="45"/>
      <c r="DM194" s="45"/>
      <c r="DN194" s="45"/>
      <c r="DO194" s="45"/>
      <c r="DP194" s="45"/>
      <c r="DQ194" s="45"/>
      <c r="DR194" s="45"/>
      <c r="DS194" s="45"/>
      <c r="DT194" s="45"/>
      <c r="DU194" s="45"/>
      <c r="DV194" s="45"/>
      <c r="DW194" s="45"/>
      <c r="DX194" s="45"/>
      <c r="DY194" s="45"/>
      <c r="DZ194" s="45"/>
      <c r="EA194" s="45"/>
      <c r="EB194" s="45"/>
      <c r="EC194" s="45"/>
      <c r="ED194" s="45"/>
      <c r="EE194" s="45"/>
      <c r="EF194" s="45"/>
      <c r="EG194" s="45"/>
      <c r="EH194" s="45"/>
      <c r="EI194" s="45"/>
      <c r="EJ194" s="45"/>
      <c r="EK194" s="45"/>
      <c r="EL194" s="45"/>
      <c r="EM194" s="45"/>
      <c r="EN194" s="45"/>
      <c r="EO194" s="45"/>
      <c r="EP194" s="45"/>
      <c r="EQ194" s="45"/>
      <c r="ER194" s="45"/>
      <c r="ES194" s="45"/>
      <c r="ET194" s="45"/>
      <c r="EU194" s="45"/>
      <c r="EV194" s="45"/>
      <c r="EW194" s="45"/>
      <c r="EX194" s="45"/>
      <c r="EY194" s="45"/>
      <c r="EZ194" s="45"/>
      <c r="FA194" s="45"/>
      <c r="FB194" s="45"/>
      <c r="FC194" s="45"/>
      <c r="FD194" s="45"/>
      <c r="FE194" s="45"/>
      <c r="FF194" s="45"/>
      <c r="FG194" s="45"/>
      <c r="FH194" s="45"/>
      <c r="FI194" s="45"/>
      <c r="FJ194" s="45"/>
      <c r="FK194" s="45"/>
      <c r="FL194" s="45"/>
      <c r="FM194" s="45"/>
      <c r="FN194" s="45"/>
      <c r="FO194" s="45"/>
      <c r="FP194" s="45"/>
      <c r="FQ194" s="45"/>
      <c r="FR194" s="45"/>
      <c r="FS194" s="45"/>
      <c r="FT194" s="45"/>
      <c r="FU194" s="45"/>
      <c r="FV194" s="45"/>
      <c r="FW194" s="45"/>
      <c r="FX194" s="45"/>
      <c r="FY194" s="45"/>
      <c r="FZ194" s="45"/>
      <c r="GA194" s="45"/>
      <c r="GB194" s="45"/>
      <c r="GC194" s="45"/>
      <c r="GD194" s="45"/>
    </row>
    <row r="195" spans="1:186" ht="34.5" customHeight="1">
      <c r="A195" s="99" t="s">
        <v>1331</v>
      </c>
      <c r="B195" s="50" t="str">
        <f>LOWER(
  IF(
    RIGHT(
      SUBSTITUTE(SUBSTITUTE(SUBSTITUTE(SUBSTITUTE(SUBSTITUTE(SUBSTITUTE(SUBSTITUTE(C195,"(","_"),")","_"),"/","_"),":","_"),"-","_")," ","_"),"__","_"),
      1
    )="_",
    LEFT(
      SUBSTITUTE(SUBSTITUTE(SUBSTITUTE(SUBSTITUTE(SUBSTITUTE(SUBSTITUTE(SUBSTITUTE(C195,"(","_"),")","_"),"/","_"),":","_"),"-","_")," ","_"),"__","_"),
      LEN(
        SUBSTITUTE(SUBSTITUTE(SUBSTITUTE(SUBSTITUTE(SUBSTITUTE(SUBSTITUTE(SUBSTITUTE(C195,"(","_"),")","_"),"/","_"),":","_"),"-","_")," ","_"),"__","_")
      )-1
    ),
    SUBSTITUTE(SUBSTITUTE(SUBSTITUTE(SUBSTITUTE(SUBSTITUTE(SUBSTITUTE(SUBSTITUTE(C195,"(","_"),")","_"),"/","_"),":","_"),"-","_")," ","_"),"__","_")
  )
)</f>
        <v>ictv_subgenus</v>
      </c>
      <c r="C195" s="49" t="s">
        <v>1332</v>
      </c>
      <c r="D195" s="50" t="s">
        <v>1333</v>
      </c>
      <c r="E195" s="49" t="s">
        <v>64</v>
      </c>
      <c r="F195" s="49" t="s">
        <v>795</v>
      </c>
      <c r="G195" s="49"/>
      <c r="H195" s="49"/>
      <c r="I195" s="49"/>
      <c r="J195" s="49"/>
      <c r="K195" s="49"/>
      <c r="L195" s="49"/>
      <c r="M195" s="49"/>
      <c r="N195" s="49"/>
      <c r="O195" s="49"/>
      <c r="P195" s="49"/>
      <c r="Q195" s="49"/>
      <c r="R195" s="49"/>
      <c r="S195" s="49" t="s">
        <v>1334</v>
      </c>
      <c r="T195" s="49"/>
      <c r="U195" s="49"/>
      <c r="V195" s="49"/>
      <c r="W195" s="49"/>
      <c r="X195" s="48" t="s">
        <v>698</v>
      </c>
      <c r="Y195" s="48" t="s">
        <v>699</v>
      </c>
      <c r="Z195" s="48" t="s">
        <v>324</v>
      </c>
      <c r="AA195" s="49" t="str">
        <f>"[" &amp; _xlfn.TEXTJOIN(", ", TRUE,
    IF(I195&lt;&gt;"", """" &amp; I$1 &amp; """", ""),
    IF(J195&lt;&gt;"", """" &amp; J$1 &amp; """", ""),
    IF(K195&lt;&gt;"", """" &amp; K$1 &amp; """", ""),
    IF(L195&lt;&gt;"", """" &amp; L$1 &amp; """", ""),
    IF(M195&lt;&gt;"", """" &amp; M$1 &amp; """", ""),    IF(N195&lt;&gt;"", """" &amp; N$1 &amp; """", ""),    IF(O195&lt;&gt;"", """" &amp; O$1 &amp; """", ""),     IF(P195&lt;&gt;"", """" &amp; P$1 &amp; """", ""),     IF(Q195&lt;&gt;"", """" &amp; Q$1 &amp; """", ""), IF(R195&lt;&gt;"", """" &amp; R$1 &amp; """", ""), IF(S195&lt;&gt;"", """" &amp; S$1 &amp; """", ""), IF(T195&lt;&gt;"", """" &amp; T$1 &amp; """", ""), IF(U195&lt;&gt;"", """" &amp; U$1 &amp; """", ""),
    IF(X195&lt;&gt;"", """" &amp; X195 &amp; """", ""), IF(V195&lt;&gt;"", """" &amp; V195 &amp; """", ""), IF(W195&lt;&gt;"", """" &amp; W195 &amp; """", ""),
    IF(Y195&lt;&gt;"", """" &amp; Y195 &amp; """", ""),
    IF(Z195&lt;&gt;"", """" &amp; Z195 &amp; """", "")
) &amp; "]"</f>
        <v>["PHD", "Taxonomy", "Virus Taxonomy", "ICTV Taxonomy"]</v>
      </c>
      <c r="AB195" s="49" t="s">
        <v>325</v>
      </c>
      <c r="AC195" s="49" t="s">
        <v>70</v>
      </c>
      <c r="AD195" s="49"/>
      <c r="AE195" s="49"/>
      <c r="AF195" s="49"/>
      <c r="AG195" s="49"/>
      <c r="AH195" s="49"/>
      <c r="AI195" s="49"/>
      <c r="AJ195" s="49"/>
      <c r="AK195" s="49"/>
      <c r="AL195" s="49"/>
      <c r="AM195" s="49"/>
      <c r="AN195" s="49"/>
      <c r="AO195" s="49"/>
      <c r="AP195" s="49"/>
      <c r="AQ195" s="49"/>
      <c r="AR195" s="49"/>
      <c r="AS195" s="49"/>
      <c r="AT195" s="49"/>
      <c r="AU195" s="49"/>
      <c r="AV195" s="49"/>
      <c r="AW195" s="49"/>
      <c r="AX195" s="54"/>
      <c r="AY195" s="49"/>
      <c r="AZ195" s="49"/>
      <c r="BA195" s="49"/>
      <c r="BB195" s="49" t="s">
        <v>1335</v>
      </c>
      <c r="BC195" s="49" t="s">
        <v>701</v>
      </c>
      <c r="BD195" s="49" t="s">
        <v>702</v>
      </c>
      <c r="BE195" s="48"/>
    </row>
    <row r="196" spans="1:186" ht="34.5" customHeight="1">
      <c r="A196" s="99" t="s">
        <v>1336</v>
      </c>
      <c r="B196" s="50" t="str">
        <f>LOWER(
  IF(
    RIGHT(
      SUBSTITUTE(SUBSTITUTE(SUBSTITUTE(SUBSTITUTE(SUBSTITUTE(SUBSTITUTE(SUBSTITUTE(C196,"(","_"),")","_"),"/","_"),":","_"),"-","_")," ","_"),"__","_"),
      1
    )="_",
    LEFT(
      SUBSTITUTE(SUBSTITUTE(SUBSTITUTE(SUBSTITUTE(SUBSTITUTE(SUBSTITUTE(SUBSTITUTE(C196,"(","_"),")","_"),"/","_"),":","_"),"-","_")," ","_"),"__","_"),
      LEN(
        SUBSTITUTE(SUBSTITUTE(SUBSTITUTE(SUBSTITUTE(SUBSTITUTE(SUBSTITUTE(SUBSTITUTE(C196,"(","_"),")","_"),"/","_"),":","_"),"-","_")," ","_"),"__","_")
      )-1
    ),
    SUBSTITUTE(SUBSTITUTE(SUBSTITUTE(SUBSTITUTE(SUBSTITUTE(SUBSTITUTE(SUBSTITUTE(C196,"(","_"),")","_"),"/","_"),":","_"),"-","_")," ","_"),"__","_")
  )
)</f>
        <v>ictv_species</v>
      </c>
      <c r="C196" s="48" t="s">
        <v>1337</v>
      </c>
      <c r="D196" s="50" t="s">
        <v>1338</v>
      </c>
      <c r="E196" s="49" t="s">
        <v>64</v>
      </c>
      <c r="F196" s="49" t="s">
        <v>795</v>
      </c>
      <c r="G196" s="49" t="s">
        <v>1339</v>
      </c>
      <c r="H196" s="49" t="s">
        <v>1340</v>
      </c>
      <c r="I196" s="49"/>
      <c r="J196" s="49"/>
      <c r="K196" s="49"/>
      <c r="L196" s="49"/>
      <c r="M196" s="49"/>
      <c r="N196" s="49"/>
      <c r="O196" s="49"/>
      <c r="P196" s="49"/>
      <c r="Q196" s="49"/>
      <c r="R196" s="73" t="s">
        <v>1341</v>
      </c>
      <c r="S196" s="73" t="s">
        <v>1341</v>
      </c>
      <c r="T196" s="73" t="s">
        <v>1341</v>
      </c>
      <c r="U196" s="49"/>
      <c r="V196" s="50"/>
      <c r="W196" s="50"/>
      <c r="X196" s="48" t="s">
        <v>698</v>
      </c>
      <c r="Y196" s="48" t="s">
        <v>699</v>
      </c>
      <c r="Z196" s="48" t="s">
        <v>324</v>
      </c>
      <c r="AA196" s="49" t="str">
        <f>"[" &amp; _xlfn.TEXTJOIN(", ", TRUE,
    IF(I196&lt;&gt;"", """" &amp; I$1 &amp; """", ""),
    IF(J196&lt;&gt;"", """" &amp; J$1 &amp; """", ""),
    IF(K196&lt;&gt;"", """" &amp; K$1 &amp; """", ""),
    IF(L196&lt;&gt;"", """" &amp; L$1 &amp; """", ""),
    IF(M196&lt;&gt;"", """" &amp; M$1 &amp; """", ""),    IF(N196&lt;&gt;"", """" &amp; N$1 &amp; """", ""),    IF(O196&lt;&gt;"", """" &amp; O$1 &amp; """", ""),     IF(P196&lt;&gt;"", """" &amp; P$1 &amp; """", ""),     IF(Q196&lt;&gt;"", """" &amp; Q$1 &amp; """", ""), IF(R196&lt;&gt;"", """" &amp; R$1 &amp; """", ""), IF(S196&lt;&gt;"", """" &amp; S$1 &amp; """", ""), IF(T196&lt;&gt;"", """" &amp; T$1 &amp; """", ""), IF(U196&lt;&gt;"", """" &amp; U$1 &amp; """", ""),
    IF(X196&lt;&gt;"", """" &amp; X196 &amp; """", ""), IF(V196&lt;&gt;"", """" &amp; V196 &amp; """", ""), IF(W196&lt;&gt;"", """" &amp; W196 &amp; """", ""),
    IF(Y196&lt;&gt;"", """" &amp; Y196 &amp; """", ""),
    IF(Z196&lt;&gt;"", """" &amp; Z196 &amp; """", "")
) &amp; "]"</f>
        <v>["IMG/VR", "PHD", "PhiSpy", "Taxonomy", "Virus Taxonomy", "ICTV Taxonomy"]</v>
      </c>
      <c r="AB196" s="49" t="s">
        <v>325</v>
      </c>
      <c r="AC196" s="48" t="s">
        <v>1342</v>
      </c>
      <c r="AD196" s="49" t="s">
        <v>326</v>
      </c>
      <c r="AE196" s="49"/>
      <c r="AF196" s="49"/>
      <c r="AG196" s="49"/>
      <c r="AH196" s="49"/>
      <c r="AI196" s="49"/>
      <c r="AJ196" s="49"/>
      <c r="AK196" s="49"/>
      <c r="AL196" s="49"/>
      <c r="AM196" s="49"/>
      <c r="AN196" s="49"/>
      <c r="AO196" s="49"/>
      <c r="AP196" s="49"/>
      <c r="AQ196" s="49"/>
      <c r="AR196" s="49"/>
      <c r="AS196" s="49"/>
      <c r="AT196" s="49"/>
      <c r="AU196" s="49"/>
      <c r="AV196" s="49"/>
      <c r="AW196" s="49"/>
      <c r="AX196" s="54"/>
      <c r="AY196" s="49"/>
      <c r="AZ196" s="48" t="s">
        <v>182</v>
      </c>
      <c r="BA196" s="48" t="s">
        <v>72</v>
      </c>
      <c r="BB196" s="49" t="s">
        <v>1343</v>
      </c>
      <c r="BC196" s="49" t="s">
        <v>701</v>
      </c>
      <c r="BD196" s="49" t="s">
        <v>702</v>
      </c>
      <c r="BE196" s="48" t="s">
        <v>60</v>
      </c>
    </row>
    <row r="197" spans="1:186" ht="34.5" customHeight="1">
      <c r="A197" s="99" t="s">
        <v>1344</v>
      </c>
      <c r="B197" s="50" t="str">
        <f>LOWER(
  IF(
    RIGHT(
      SUBSTITUTE(SUBSTITUTE(SUBSTITUTE(SUBSTITUTE(SUBSTITUTE(SUBSTITUTE(SUBSTITUTE(C197,"(","_"),")","_"),"/","_"),":","_"),"-","_")," ","_"),"__","_"),
      1
    )="_",
    LEFT(
      SUBSTITUTE(SUBSTITUTE(SUBSTITUTE(SUBSTITUTE(SUBSTITUTE(SUBSTITUTE(SUBSTITUTE(C197,"(","_"),")","_"),"/","_"),":","_"),"-","_")," ","_"),"__","_"),
      LEN(
        SUBSTITUTE(SUBSTITUTE(SUBSTITUTE(SUBSTITUTE(SUBSTITUTE(SUBSTITUTE(SUBSTITUTE(C197,"(","_"),")","_"),"/","_"),":","_"),"-","_")," ","_"),"__","_")
      )-1
    ),
    SUBSTITUTE(SUBSTITUTE(SUBSTITUTE(SUBSTITUTE(SUBSTITUTE(SUBSTITUTE(SUBSTITUTE(C197,"(","_"),")","_"),"/","_"),":","_"),"-","_")," ","_"),"__","_")
  )
)</f>
        <v>ncbi_realm</v>
      </c>
      <c r="C197" s="49" t="s">
        <v>1345</v>
      </c>
      <c r="D197" s="50" t="s">
        <v>1346</v>
      </c>
      <c r="E197" s="49" t="s">
        <v>64</v>
      </c>
      <c r="F197" s="49" t="s">
        <v>795</v>
      </c>
      <c r="G197" s="49"/>
      <c r="H197" s="49"/>
      <c r="I197" s="49"/>
      <c r="J197" s="49"/>
      <c r="K197" s="49"/>
      <c r="L197" s="49"/>
      <c r="M197" s="49"/>
      <c r="N197" s="49"/>
      <c r="O197" s="49"/>
      <c r="P197" s="49"/>
      <c r="Q197" s="49"/>
      <c r="R197" s="49"/>
      <c r="S197" s="49" t="s">
        <v>1347</v>
      </c>
      <c r="T197" s="49"/>
      <c r="U197" s="49"/>
      <c r="V197" s="49"/>
      <c r="W197" s="49"/>
      <c r="X197" s="48" t="s">
        <v>68</v>
      </c>
      <c r="Y197" s="48" t="s">
        <v>699</v>
      </c>
      <c r="Z197" s="48" t="s">
        <v>337</v>
      </c>
      <c r="AA197" s="49" t="str">
        <f>"[" &amp; _xlfn.TEXTJOIN(", ", TRUE,
    IF(I197&lt;&gt;"", """" &amp; I$1 &amp; """", ""),
    IF(J197&lt;&gt;"", """" &amp; J$1 &amp; """", ""),
    IF(K197&lt;&gt;"", """" &amp; K$1 &amp; """", ""),
    IF(L197&lt;&gt;"", """" &amp; L$1 &amp; """", ""),
    IF(M197&lt;&gt;"", """" &amp; M$1 &amp; """", ""),    IF(N197&lt;&gt;"", """" &amp; N$1 &amp; """", ""),    IF(O197&lt;&gt;"", """" &amp; O$1 &amp; """", ""),     IF(P197&lt;&gt;"", """" &amp; P$1 &amp; """", ""),     IF(Q197&lt;&gt;"", """" &amp; Q$1 &amp; """", ""), IF(R197&lt;&gt;"", """" &amp; R$1 &amp; """", ""), IF(S197&lt;&gt;"", """" &amp; S$1 &amp; """", ""), IF(T197&lt;&gt;"", """" &amp; T$1 &amp; """", ""), IF(U197&lt;&gt;"", """" &amp; U$1 &amp; """", ""),
    IF(X197&lt;&gt;"", """" &amp; X197 &amp; """", ""), IF(V197&lt;&gt;"", """" &amp; V197 &amp; """", ""), IF(W197&lt;&gt;"", """" &amp; W197 &amp; """", ""),
    IF(Y197&lt;&gt;"", """" &amp; Y197 &amp; """", ""),
    IF(Z197&lt;&gt;"", """" &amp; Z197 &amp; """", "")
) &amp; "]"</f>
        <v>["PHD", "Sample", "Virus Taxonomy", "NCBI Taxonomy"]</v>
      </c>
      <c r="AB197" s="49" t="s">
        <v>337</v>
      </c>
      <c r="AC197" s="49" t="s">
        <v>70</v>
      </c>
      <c r="AD197" s="49"/>
      <c r="AE197" s="49"/>
      <c r="AF197" s="49"/>
      <c r="AG197" s="49"/>
      <c r="AH197" s="49"/>
      <c r="AI197" s="49"/>
      <c r="AJ197" s="49"/>
      <c r="AK197" s="49"/>
      <c r="AL197" s="49"/>
      <c r="AM197" s="49"/>
      <c r="AN197" s="49"/>
      <c r="AO197" s="49"/>
      <c r="AP197" s="49"/>
      <c r="AQ197" s="49"/>
      <c r="AR197" s="49"/>
      <c r="AS197" s="49"/>
      <c r="AT197" s="49"/>
      <c r="AU197" s="49"/>
      <c r="AV197" s="49"/>
      <c r="AW197" s="49"/>
      <c r="AX197" s="54"/>
      <c r="AY197" s="49"/>
      <c r="AZ197" s="49"/>
      <c r="BA197" s="49"/>
      <c r="BB197" s="49"/>
      <c r="BC197" s="49" t="s">
        <v>73</v>
      </c>
      <c r="BD197" s="49" t="s">
        <v>702</v>
      </c>
      <c r="BE197" s="48"/>
    </row>
    <row r="198" spans="1:186" ht="34.5" customHeight="1">
      <c r="A198" s="99" t="s">
        <v>1348</v>
      </c>
      <c r="B198" s="50" t="str">
        <f>LOWER(
  IF(
    RIGHT(
      SUBSTITUTE(SUBSTITUTE(SUBSTITUTE(SUBSTITUTE(SUBSTITUTE(SUBSTITUTE(SUBSTITUTE(C198,"(","_"),")","_"),"/","_"),":","_"),"-","_")," ","_"),"__","_"),
      1
    )="_",
    LEFT(
      SUBSTITUTE(SUBSTITUTE(SUBSTITUTE(SUBSTITUTE(SUBSTITUTE(SUBSTITUTE(SUBSTITUTE(C198,"(","_"),")","_"),"/","_"),":","_"),"-","_")," ","_"),"__","_"),
      LEN(
        SUBSTITUTE(SUBSTITUTE(SUBSTITUTE(SUBSTITUTE(SUBSTITUTE(SUBSTITUTE(SUBSTITUTE(C198,"(","_"),")","_"),"/","_"),":","_"),"-","_")," ","_"),"__","_")
      )-1
    ),
    SUBSTITUTE(SUBSTITUTE(SUBSTITUTE(SUBSTITUTE(SUBSTITUTE(SUBSTITUTE(SUBSTITUTE(C198,"(","_"),")","_"),"/","_"),":","_"),"-","_")," ","_"),"__","_")
  )
)</f>
        <v>ncbi_kingdom</v>
      </c>
      <c r="C198" s="49" t="s">
        <v>1349</v>
      </c>
      <c r="D198" s="50" t="s">
        <v>1350</v>
      </c>
      <c r="E198" s="49" t="s">
        <v>64</v>
      </c>
      <c r="F198" s="49" t="s">
        <v>795</v>
      </c>
      <c r="G198" s="49"/>
      <c r="H198" s="49"/>
      <c r="I198" s="49"/>
      <c r="J198" s="49"/>
      <c r="K198" s="49"/>
      <c r="L198" s="49"/>
      <c r="M198" s="49"/>
      <c r="N198" s="49"/>
      <c r="O198" s="49" t="s">
        <v>1290</v>
      </c>
      <c r="P198" s="49"/>
      <c r="Q198" s="49"/>
      <c r="R198" s="49"/>
      <c r="S198" s="49" t="s">
        <v>1351</v>
      </c>
      <c r="T198" s="49"/>
      <c r="U198" s="49"/>
      <c r="V198" s="49"/>
      <c r="W198" s="49"/>
      <c r="X198" s="48" t="s">
        <v>698</v>
      </c>
      <c r="Y198" s="48" t="s">
        <v>699</v>
      </c>
      <c r="Z198" s="48" t="s">
        <v>337</v>
      </c>
      <c r="AA198" s="49" t="str">
        <f>"[" &amp; _xlfn.TEXTJOIN(", ", TRUE,
    IF(I198&lt;&gt;"", """" &amp; I$1 &amp; """", ""),
    IF(J198&lt;&gt;"", """" &amp; J$1 &amp; """", ""),
    IF(K198&lt;&gt;"", """" &amp; K$1 &amp; """", ""),
    IF(L198&lt;&gt;"", """" &amp; L$1 &amp; """", ""),
    IF(M198&lt;&gt;"", """" &amp; M$1 &amp; """", ""),    IF(N198&lt;&gt;"", """" &amp; N$1 &amp; """", ""),    IF(O198&lt;&gt;"", """" &amp; O$1 &amp; """", ""),     IF(P198&lt;&gt;"", """" &amp; P$1 &amp; """", ""),     IF(Q198&lt;&gt;"", """" &amp; Q$1 &amp; """", ""), IF(R198&lt;&gt;"", """" &amp; R$1 &amp; """", ""), IF(S198&lt;&gt;"", """" &amp; S$1 &amp; """", ""), IF(T198&lt;&gt;"", """" &amp; T$1 &amp; """", ""), IF(U198&lt;&gt;"", """" &amp; U$1 &amp; """", ""),
    IF(X198&lt;&gt;"", """" &amp; X198 &amp; """", ""), IF(V198&lt;&gt;"", """" &amp; V198 &amp; """", ""), IF(W198&lt;&gt;"", """" &amp; W198 &amp; """", ""),
    IF(Y198&lt;&gt;"", """" &amp; Y198 &amp; """", ""),
    IF(Z198&lt;&gt;"", """" &amp; Z198 &amp; """", "")
) &amp; "]"</f>
        <v>["BV-BRC", "PHD", "Taxonomy", "Virus Taxonomy", "NCBI Taxonomy"]</v>
      </c>
      <c r="AB198" s="49" t="s">
        <v>347</v>
      </c>
      <c r="AC198" s="49" t="s">
        <v>70</v>
      </c>
      <c r="AD198" s="49"/>
      <c r="AE198" s="49"/>
      <c r="AF198" s="49"/>
      <c r="AG198" s="49"/>
      <c r="AH198" s="49"/>
      <c r="AI198" s="49" t="s">
        <v>1216</v>
      </c>
      <c r="AJ198" s="49" t="s">
        <v>698</v>
      </c>
      <c r="AK198" s="49" t="s">
        <v>1352</v>
      </c>
      <c r="AL198" s="49" t="s">
        <v>351</v>
      </c>
      <c r="AM198" s="49"/>
      <c r="AN198" s="86"/>
      <c r="AO198" s="49"/>
      <c r="AP198" s="49"/>
      <c r="AQ198" s="49"/>
      <c r="AR198" s="49"/>
      <c r="AS198" s="49"/>
      <c r="AT198" s="49"/>
      <c r="AU198" s="49"/>
      <c r="AV198" s="49"/>
      <c r="AW198" s="49"/>
      <c r="AX198" s="54"/>
      <c r="AY198" s="49"/>
      <c r="AZ198" s="49"/>
      <c r="BA198" s="49"/>
      <c r="BB198" s="49"/>
      <c r="BC198" s="49" t="s">
        <v>73</v>
      </c>
      <c r="BD198" s="49" t="s">
        <v>702</v>
      </c>
      <c r="BE198" s="48"/>
    </row>
    <row r="199" spans="1:186" ht="34.5" customHeight="1">
      <c r="A199" s="99" t="s">
        <v>1353</v>
      </c>
      <c r="B199" s="50" t="str">
        <f>LOWER(
  IF(
    RIGHT(
      SUBSTITUTE(SUBSTITUTE(SUBSTITUTE(SUBSTITUTE(SUBSTITUTE(SUBSTITUTE(SUBSTITUTE(C199,"(","_"),")","_"),"/","_"),":","_"),"-","_")," ","_"),"__","_"),
      1
    )="_",
    LEFT(
      SUBSTITUTE(SUBSTITUTE(SUBSTITUTE(SUBSTITUTE(SUBSTITUTE(SUBSTITUTE(SUBSTITUTE(C199,"(","_"),")","_"),"/","_"),":","_"),"-","_")," ","_"),"__","_"),
      LEN(
        SUBSTITUTE(SUBSTITUTE(SUBSTITUTE(SUBSTITUTE(SUBSTITUTE(SUBSTITUTE(SUBSTITUTE(C199,"(","_"),")","_"),"/","_"),":","_"),"-","_")," ","_"),"__","_")
      )-1
    ),
    SUBSTITUTE(SUBSTITUTE(SUBSTITUTE(SUBSTITUTE(SUBSTITUTE(SUBSTITUTE(SUBSTITUTE(C199,"(","_"),")","_"),"/","_"),":","_"),"-","_")," ","_"),"__","_")
  )
)</f>
        <v>ncbi_phylum</v>
      </c>
      <c r="C199" s="49" t="s">
        <v>1354</v>
      </c>
      <c r="D199" s="50" t="s">
        <v>1355</v>
      </c>
      <c r="E199" s="49" t="s">
        <v>64</v>
      </c>
      <c r="F199" s="49" t="s">
        <v>795</v>
      </c>
      <c r="G199" s="49"/>
      <c r="H199" s="49"/>
      <c r="I199" s="49"/>
      <c r="J199" s="49"/>
      <c r="K199" s="49"/>
      <c r="L199" s="49"/>
      <c r="M199" s="49"/>
      <c r="N199" s="49"/>
      <c r="O199" s="49" t="s">
        <v>1295</v>
      </c>
      <c r="P199" s="49"/>
      <c r="Q199" s="49"/>
      <c r="R199" s="49"/>
      <c r="S199" s="49" t="s">
        <v>1356</v>
      </c>
      <c r="T199" s="49"/>
      <c r="U199" s="49"/>
      <c r="V199" s="49"/>
      <c r="W199" s="49"/>
      <c r="X199" s="48" t="s">
        <v>698</v>
      </c>
      <c r="Y199" s="48" t="s">
        <v>699</v>
      </c>
      <c r="Z199" s="48" t="s">
        <v>337</v>
      </c>
      <c r="AA199" s="49" t="str">
        <f>"[" &amp; _xlfn.TEXTJOIN(", ", TRUE,
    IF(I199&lt;&gt;"", """" &amp; I$1 &amp; """", ""),
    IF(J199&lt;&gt;"", """" &amp; J$1 &amp; """", ""),
    IF(K199&lt;&gt;"", """" &amp; K$1 &amp; """", ""),
    IF(L199&lt;&gt;"", """" &amp; L$1 &amp; """", ""),
    IF(M199&lt;&gt;"", """" &amp; M$1 &amp; """", ""),    IF(N199&lt;&gt;"", """" &amp; N$1 &amp; """", ""),    IF(O199&lt;&gt;"", """" &amp; O$1 &amp; """", ""),     IF(P199&lt;&gt;"", """" &amp; P$1 &amp; """", ""),     IF(Q199&lt;&gt;"", """" &amp; Q$1 &amp; """", ""), IF(R199&lt;&gt;"", """" &amp; R$1 &amp; """", ""), IF(S199&lt;&gt;"", """" &amp; S$1 &amp; """", ""), IF(T199&lt;&gt;"", """" &amp; T$1 &amp; """", ""), IF(U199&lt;&gt;"", """" &amp; U$1 &amp; """", ""),
    IF(X199&lt;&gt;"", """" &amp; X199 &amp; """", ""), IF(V199&lt;&gt;"", """" &amp; V199 &amp; """", ""), IF(W199&lt;&gt;"", """" &amp; W199 &amp; """", ""),
    IF(Y199&lt;&gt;"", """" &amp; Y199 &amp; """", ""),
    IF(Z199&lt;&gt;"", """" &amp; Z199 &amp; """", "")
) &amp; "]"</f>
        <v>["BV-BRC", "PHD", "Taxonomy", "Virus Taxonomy", "NCBI Taxonomy"]</v>
      </c>
      <c r="AB199" s="49" t="s">
        <v>347</v>
      </c>
      <c r="AC199" s="49" t="s">
        <v>70</v>
      </c>
      <c r="AD199" s="49"/>
      <c r="AE199" s="49"/>
      <c r="AF199" s="49"/>
      <c r="AG199" s="49"/>
      <c r="AH199" s="49"/>
      <c r="AI199" s="49" t="s">
        <v>1216</v>
      </c>
      <c r="AJ199" s="49" t="s">
        <v>698</v>
      </c>
      <c r="AK199" s="49" t="s">
        <v>1357</v>
      </c>
      <c r="AL199" s="49" t="s">
        <v>351</v>
      </c>
      <c r="AM199" s="49"/>
      <c r="AN199" s="86"/>
      <c r="AO199" s="49"/>
      <c r="AP199" s="49"/>
      <c r="AQ199" s="49"/>
      <c r="AR199" s="49"/>
      <c r="AS199" s="49"/>
      <c r="AT199" s="49"/>
      <c r="AU199" s="49"/>
      <c r="AV199" s="49"/>
      <c r="AW199" s="49"/>
      <c r="AX199" s="54"/>
      <c r="AY199" s="49"/>
      <c r="AZ199" s="49"/>
      <c r="BA199" s="49"/>
      <c r="BB199" s="49"/>
      <c r="BC199" s="49" t="s">
        <v>73</v>
      </c>
      <c r="BD199" s="49" t="s">
        <v>702</v>
      </c>
      <c r="BE199" s="48"/>
    </row>
    <row r="200" spans="1:186" ht="34.5" customHeight="1">
      <c r="A200" s="99" t="s">
        <v>1358</v>
      </c>
      <c r="B200" s="50" t="str">
        <f>LOWER(
  IF(
    RIGHT(
      SUBSTITUTE(SUBSTITUTE(SUBSTITUTE(SUBSTITUTE(SUBSTITUTE(SUBSTITUTE(SUBSTITUTE(C200,"(","_"),")","_"),"/","_"),":","_"),"-","_")," ","_"),"__","_"),
      1
    )="_",
    LEFT(
      SUBSTITUTE(SUBSTITUTE(SUBSTITUTE(SUBSTITUTE(SUBSTITUTE(SUBSTITUTE(SUBSTITUTE(C200,"(","_"),")","_"),"/","_"),":","_"),"-","_")," ","_"),"__","_"),
      LEN(
        SUBSTITUTE(SUBSTITUTE(SUBSTITUTE(SUBSTITUTE(SUBSTITUTE(SUBSTITUTE(SUBSTITUTE(C200,"(","_"),")","_"),"/","_"),":","_"),"-","_")," ","_"),"__","_")
      )-1
    ),
    SUBSTITUTE(SUBSTITUTE(SUBSTITUTE(SUBSTITUTE(SUBSTITUTE(SUBSTITUTE(SUBSTITUTE(C200,"(","_"),")","_"),"/","_"),":","_"),"-","_")," ","_"),"__","_")
  )
)</f>
        <v>ncbi_subphylum</v>
      </c>
      <c r="C200" s="49" t="s">
        <v>1359</v>
      </c>
      <c r="D200" s="50" t="s">
        <v>1360</v>
      </c>
      <c r="E200" s="49" t="s">
        <v>64</v>
      </c>
      <c r="F200" s="49" t="s">
        <v>795</v>
      </c>
      <c r="G200" s="49"/>
      <c r="H200" s="49"/>
      <c r="I200" s="49"/>
      <c r="J200" s="49"/>
      <c r="K200" s="49"/>
      <c r="L200" s="49"/>
      <c r="M200" s="49"/>
      <c r="N200" s="49"/>
      <c r="O200" s="49"/>
      <c r="P200" s="49"/>
      <c r="Q200" s="49"/>
      <c r="R200" s="49"/>
      <c r="S200" s="49" t="s">
        <v>1361</v>
      </c>
      <c r="T200" s="49"/>
      <c r="U200" s="49"/>
      <c r="V200" s="49"/>
      <c r="W200" s="49"/>
      <c r="X200" s="48" t="s">
        <v>698</v>
      </c>
      <c r="Y200" s="48" t="s">
        <v>699</v>
      </c>
      <c r="Z200" s="48" t="s">
        <v>337</v>
      </c>
      <c r="AA200" s="49" t="str">
        <f>"[" &amp; _xlfn.TEXTJOIN(", ", TRUE,
    IF(I200&lt;&gt;"", """" &amp; I$1 &amp; """", ""),
    IF(J200&lt;&gt;"", """" &amp; J$1 &amp; """", ""),
    IF(K200&lt;&gt;"", """" &amp; K$1 &amp; """", ""),
    IF(L200&lt;&gt;"", """" &amp; L$1 &amp; """", ""),
    IF(M200&lt;&gt;"", """" &amp; M$1 &amp; """", ""),    IF(N200&lt;&gt;"", """" &amp; N$1 &amp; """", ""),    IF(O200&lt;&gt;"", """" &amp; O$1 &amp; """", ""),     IF(P200&lt;&gt;"", """" &amp; P$1 &amp; """", ""),     IF(Q200&lt;&gt;"", """" &amp; Q$1 &amp; """", ""), IF(R200&lt;&gt;"", """" &amp; R$1 &amp; """", ""), IF(S200&lt;&gt;"", """" &amp; S$1 &amp; """", ""), IF(T200&lt;&gt;"", """" &amp; T$1 &amp; """", ""), IF(U200&lt;&gt;"", """" &amp; U$1 &amp; """", ""),
    IF(X200&lt;&gt;"", """" &amp; X200 &amp; """", ""), IF(V200&lt;&gt;"", """" &amp; V200 &amp; """", ""), IF(W200&lt;&gt;"", """" &amp; W200 &amp; """", ""),
    IF(Y200&lt;&gt;"", """" &amp; Y200 &amp; """", ""),
    IF(Z200&lt;&gt;"", """" &amp; Z200 &amp; """", "")
) &amp; "]"</f>
        <v>["PHD", "Taxonomy", "Virus Taxonomy", "NCBI Taxonomy"]</v>
      </c>
      <c r="AB200" s="49" t="s">
        <v>337</v>
      </c>
      <c r="AC200" s="49" t="s">
        <v>70</v>
      </c>
      <c r="AD200" s="49"/>
      <c r="AE200" s="49"/>
      <c r="AF200" s="49"/>
      <c r="AG200" s="49"/>
      <c r="AH200" s="49"/>
      <c r="AI200" s="49"/>
      <c r="AJ200" s="49"/>
      <c r="AK200" s="49"/>
      <c r="AL200" s="49"/>
      <c r="AM200" s="49"/>
      <c r="AN200" s="49"/>
      <c r="AO200" s="49"/>
      <c r="AP200" s="49"/>
      <c r="AQ200" s="49"/>
      <c r="AR200" s="49"/>
      <c r="AS200" s="49"/>
      <c r="AT200" s="49"/>
      <c r="AU200" s="49"/>
      <c r="AV200" s="49"/>
      <c r="AW200" s="49"/>
      <c r="AX200" s="54"/>
      <c r="AY200" s="49"/>
      <c r="AZ200" s="49"/>
      <c r="BA200" s="49"/>
      <c r="BB200" s="49"/>
      <c r="BC200" s="49" t="s">
        <v>73</v>
      </c>
      <c r="BD200" s="49" t="s">
        <v>702</v>
      </c>
      <c r="BE200" s="48"/>
    </row>
    <row r="201" spans="1:186" ht="34.5" customHeight="1">
      <c r="A201" s="99" t="s">
        <v>1362</v>
      </c>
      <c r="B201" s="50" t="str">
        <f>LOWER(
  IF(
    RIGHT(
      SUBSTITUTE(SUBSTITUTE(SUBSTITUTE(SUBSTITUTE(SUBSTITUTE(SUBSTITUTE(SUBSTITUTE(C201,"(","_"),")","_"),"/","_"),":","_"),"-","_")," ","_"),"__","_"),
      1
    )="_",
    LEFT(
      SUBSTITUTE(SUBSTITUTE(SUBSTITUTE(SUBSTITUTE(SUBSTITUTE(SUBSTITUTE(SUBSTITUTE(C201,"(","_"),")","_"),"/","_"),":","_"),"-","_")," ","_"),"__","_"),
      LEN(
        SUBSTITUTE(SUBSTITUTE(SUBSTITUTE(SUBSTITUTE(SUBSTITUTE(SUBSTITUTE(SUBSTITUTE(C201,"(","_"),")","_"),"/","_"),":","_"),"-","_")," ","_"),"__","_")
      )-1
    ),
    SUBSTITUTE(SUBSTITUTE(SUBSTITUTE(SUBSTITUTE(SUBSTITUTE(SUBSTITUTE(SUBSTITUTE(C201,"(","_"),")","_"),"/","_"),":","_"),"-","_")," ","_"),"__","_")
  )
)</f>
        <v>ncbi_class</v>
      </c>
      <c r="C201" s="49" t="s">
        <v>1363</v>
      </c>
      <c r="D201" s="50" t="s">
        <v>1364</v>
      </c>
      <c r="E201" s="49" t="s">
        <v>64</v>
      </c>
      <c r="F201" s="49" t="s">
        <v>795</v>
      </c>
      <c r="G201" s="49"/>
      <c r="H201" s="49"/>
      <c r="I201" s="49"/>
      <c r="J201" s="49"/>
      <c r="K201" s="49"/>
      <c r="L201" s="49"/>
      <c r="M201" s="49"/>
      <c r="N201" s="49"/>
      <c r="O201" s="49" t="s">
        <v>1305</v>
      </c>
      <c r="P201" s="49"/>
      <c r="Q201" s="49"/>
      <c r="R201" s="49"/>
      <c r="S201" s="49" t="s">
        <v>1365</v>
      </c>
      <c r="T201" s="49"/>
      <c r="U201" s="49"/>
      <c r="V201" s="49"/>
      <c r="W201" s="49"/>
      <c r="X201" s="48" t="s">
        <v>698</v>
      </c>
      <c r="Y201" s="48" t="s">
        <v>699</v>
      </c>
      <c r="Z201" s="48" t="s">
        <v>337</v>
      </c>
      <c r="AA201" s="49" t="str">
        <f>"[" &amp; _xlfn.TEXTJOIN(", ", TRUE,
    IF(I201&lt;&gt;"", """" &amp; I$1 &amp; """", ""),
    IF(J201&lt;&gt;"", """" &amp; J$1 &amp; """", ""),
    IF(K201&lt;&gt;"", """" &amp; K$1 &amp; """", ""),
    IF(L201&lt;&gt;"", """" &amp; L$1 &amp; """", ""),
    IF(M201&lt;&gt;"", """" &amp; M$1 &amp; """", ""),    IF(N201&lt;&gt;"", """" &amp; N$1 &amp; """", ""),    IF(O201&lt;&gt;"", """" &amp; O$1 &amp; """", ""),     IF(P201&lt;&gt;"", """" &amp; P$1 &amp; """", ""),     IF(Q201&lt;&gt;"", """" &amp; Q$1 &amp; """", ""), IF(R201&lt;&gt;"", """" &amp; R$1 &amp; """", ""), IF(S201&lt;&gt;"", """" &amp; S$1 &amp; """", ""), IF(T201&lt;&gt;"", """" &amp; T$1 &amp; """", ""), IF(U201&lt;&gt;"", """" &amp; U$1 &amp; """", ""),
    IF(X201&lt;&gt;"", """" &amp; X201 &amp; """", ""), IF(V201&lt;&gt;"", """" &amp; V201 &amp; """", ""), IF(W201&lt;&gt;"", """" &amp; W201 &amp; """", ""),
    IF(Y201&lt;&gt;"", """" &amp; Y201 &amp; """", ""),
    IF(Z201&lt;&gt;"", """" &amp; Z201 &amp; """", "")
) &amp; "]"</f>
        <v>["BV-BRC", "PHD", "Taxonomy", "Virus Taxonomy", "NCBI Taxonomy"]</v>
      </c>
      <c r="AB201" s="49" t="s">
        <v>347</v>
      </c>
      <c r="AC201" s="49" t="s">
        <v>70</v>
      </c>
      <c r="AD201" s="49"/>
      <c r="AE201" s="49"/>
      <c r="AF201" s="49"/>
      <c r="AG201" s="49"/>
      <c r="AH201" s="49"/>
      <c r="AI201" s="49" t="s">
        <v>1216</v>
      </c>
      <c r="AJ201" s="49" t="s">
        <v>698</v>
      </c>
      <c r="AK201" s="49" t="s">
        <v>1366</v>
      </c>
      <c r="AL201" s="49" t="s">
        <v>351</v>
      </c>
      <c r="AM201" s="49"/>
      <c r="AN201" s="86"/>
      <c r="AO201" s="49"/>
      <c r="AP201" s="49"/>
      <c r="AQ201" s="49"/>
      <c r="AR201" s="49"/>
      <c r="AS201" s="49"/>
      <c r="AT201" s="49"/>
      <c r="AU201" s="49"/>
      <c r="AV201" s="49"/>
      <c r="AW201" s="49"/>
      <c r="AX201" s="54"/>
      <c r="AY201" s="49"/>
      <c r="AZ201" s="49"/>
      <c r="BA201" s="49"/>
      <c r="BB201" s="49"/>
      <c r="BC201" s="49" t="s">
        <v>73</v>
      </c>
      <c r="BD201" s="49" t="s">
        <v>702</v>
      </c>
      <c r="BE201" s="48"/>
      <c r="GD201" s="71"/>
    </row>
    <row r="202" spans="1:186" s="71" customFormat="1" ht="34.5" customHeight="1">
      <c r="A202" s="99" t="s">
        <v>1367</v>
      </c>
      <c r="B202" s="50" t="str">
        <f>LOWER(
  IF(
    RIGHT(
      SUBSTITUTE(SUBSTITUTE(SUBSTITUTE(SUBSTITUTE(SUBSTITUTE(SUBSTITUTE(SUBSTITUTE(C202,"(","_"),")","_"),"/","_"),":","_"),"-","_")," ","_"),"__","_"),
      1
    )="_",
    LEFT(
      SUBSTITUTE(SUBSTITUTE(SUBSTITUTE(SUBSTITUTE(SUBSTITUTE(SUBSTITUTE(SUBSTITUTE(C202,"(","_"),")","_"),"/","_"),":","_"),"-","_")," ","_"),"__","_"),
      LEN(
        SUBSTITUTE(SUBSTITUTE(SUBSTITUTE(SUBSTITUTE(SUBSTITUTE(SUBSTITUTE(SUBSTITUTE(C202,"(","_"),")","_"),"/","_"),":","_"),"-","_")," ","_"),"__","_")
      )-1
    ),
    SUBSTITUTE(SUBSTITUTE(SUBSTITUTE(SUBSTITUTE(SUBSTITUTE(SUBSTITUTE(SUBSTITUTE(C202,"(","_"),")","_"),"/","_"),":","_"),"-","_")," ","_"),"__","_")
  )
)</f>
        <v>ncbi_order</v>
      </c>
      <c r="C202" s="49" t="s">
        <v>1368</v>
      </c>
      <c r="D202" s="50" t="s">
        <v>1369</v>
      </c>
      <c r="E202" s="49" t="s">
        <v>64</v>
      </c>
      <c r="F202" s="49" t="s">
        <v>795</v>
      </c>
      <c r="G202" s="49"/>
      <c r="H202" s="49"/>
      <c r="I202" s="49"/>
      <c r="J202" s="49"/>
      <c r="K202" s="49"/>
      <c r="L202" s="49"/>
      <c r="M202" s="49"/>
      <c r="N202" s="49"/>
      <c r="O202" s="49" t="s">
        <v>1310</v>
      </c>
      <c r="P202" s="49"/>
      <c r="Q202" s="49"/>
      <c r="R202" s="49"/>
      <c r="S202" s="49" t="s">
        <v>1370</v>
      </c>
      <c r="T202" s="49"/>
      <c r="U202" s="49"/>
      <c r="V202" s="49"/>
      <c r="W202" s="49"/>
      <c r="X202" s="48" t="s">
        <v>698</v>
      </c>
      <c r="Y202" s="48" t="s">
        <v>699</v>
      </c>
      <c r="Z202" s="48" t="s">
        <v>337</v>
      </c>
      <c r="AA202" s="49" t="str">
        <f>"[" &amp; _xlfn.TEXTJOIN(", ", TRUE,
    IF(I202&lt;&gt;"", """" &amp; I$1 &amp; """", ""),
    IF(J202&lt;&gt;"", """" &amp; J$1 &amp; """", ""),
    IF(K202&lt;&gt;"", """" &amp; K$1 &amp; """", ""),
    IF(L202&lt;&gt;"", """" &amp; L$1 &amp; """", ""),
    IF(M202&lt;&gt;"", """" &amp; M$1 &amp; """", ""),    IF(N202&lt;&gt;"", """" &amp; N$1 &amp; """", ""),    IF(O202&lt;&gt;"", """" &amp; O$1 &amp; """", ""),     IF(P202&lt;&gt;"", """" &amp; P$1 &amp; """", ""),     IF(Q202&lt;&gt;"", """" &amp; Q$1 &amp; """", ""), IF(R202&lt;&gt;"", """" &amp; R$1 &amp; """", ""), IF(S202&lt;&gt;"", """" &amp; S$1 &amp; """", ""), IF(T202&lt;&gt;"", """" &amp; T$1 &amp; """", ""), IF(U202&lt;&gt;"", """" &amp; U$1 &amp; """", ""),
    IF(X202&lt;&gt;"", """" &amp; X202 &amp; """", ""), IF(V202&lt;&gt;"", """" &amp; V202 &amp; """", ""), IF(W202&lt;&gt;"", """" &amp; W202 &amp; """", ""),
    IF(Y202&lt;&gt;"", """" &amp; Y202 &amp; """", ""),
    IF(Z202&lt;&gt;"", """" &amp; Z202 &amp; """", "")
) &amp; "]"</f>
        <v>["BV-BRC", "PHD", "Taxonomy", "Virus Taxonomy", "NCBI Taxonomy"]</v>
      </c>
      <c r="AB202" s="49" t="s">
        <v>347</v>
      </c>
      <c r="AC202" s="49" t="s">
        <v>70</v>
      </c>
      <c r="AD202" s="49"/>
      <c r="AE202" s="49"/>
      <c r="AF202" s="49"/>
      <c r="AG202" s="49"/>
      <c r="AH202" s="49"/>
      <c r="AI202" s="49" t="s">
        <v>1216</v>
      </c>
      <c r="AJ202" s="49" t="s">
        <v>698</v>
      </c>
      <c r="AK202" s="49" t="s">
        <v>1371</v>
      </c>
      <c r="AL202" s="49" t="s">
        <v>351</v>
      </c>
      <c r="AM202" s="49"/>
      <c r="AN202" s="86"/>
      <c r="AO202" s="49"/>
      <c r="AP202" s="49"/>
      <c r="AQ202" s="49"/>
      <c r="AR202" s="49"/>
      <c r="AS202" s="49"/>
      <c r="AT202" s="49"/>
      <c r="AU202" s="49"/>
      <c r="AV202" s="49"/>
      <c r="AW202" s="49"/>
      <c r="AX202" s="54"/>
      <c r="AY202" s="49"/>
      <c r="AZ202" s="49"/>
      <c r="BA202" s="49"/>
      <c r="BB202" s="49"/>
      <c r="BC202" s="49" t="s">
        <v>73</v>
      </c>
      <c r="BD202" s="49" t="s">
        <v>702</v>
      </c>
      <c r="BE202" s="48"/>
      <c r="BF202" s="45"/>
      <c r="BG202" s="45"/>
      <c r="BH202" s="45"/>
      <c r="BI202" s="45"/>
      <c r="BJ202" s="45"/>
      <c r="BK202" s="45"/>
      <c r="BL202" s="45"/>
      <c r="BM202" s="45"/>
      <c r="BN202" s="45"/>
      <c r="BO202" s="45"/>
      <c r="BP202" s="45"/>
      <c r="BQ202" s="45"/>
      <c r="BR202" s="45"/>
      <c r="BS202" s="45"/>
      <c r="BT202" s="45"/>
      <c r="BU202" s="45"/>
      <c r="BV202" s="45"/>
      <c r="BW202" s="45"/>
      <c r="BX202" s="45"/>
      <c r="BY202" s="45"/>
      <c r="BZ202" s="45"/>
      <c r="CA202" s="45"/>
      <c r="CB202" s="45"/>
      <c r="CC202" s="45"/>
      <c r="CD202" s="45"/>
      <c r="CE202" s="45"/>
      <c r="CF202" s="45"/>
      <c r="CG202" s="45"/>
      <c r="CH202" s="45"/>
      <c r="CI202" s="45"/>
      <c r="CJ202" s="45"/>
      <c r="CK202" s="45"/>
      <c r="CL202" s="45"/>
      <c r="CM202" s="45"/>
      <c r="CN202" s="45"/>
      <c r="CO202" s="45"/>
      <c r="CP202" s="45"/>
      <c r="CQ202" s="45"/>
      <c r="CR202" s="45"/>
      <c r="CS202" s="45"/>
      <c r="CT202" s="45"/>
      <c r="CU202" s="45"/>
      <c r="CV202" s="45"/>
      <c r="CW202" s="45"/>
      <c r="CX202" s="45"/>
      <c r="CY202" s="45"/>
      <c r="CZ202" s="45"/>
      <c r="DA202" s="45"/>
      <c r="DB202" s="45"/>
      <c r="DC202" s="45"/>
      <c r="DD202" s="45"/>
      <c r="DE202" s="45"/>
      <c r="DF202" s="45"/>
      <c r="DG202" s="45"/>
      <c r="DH202" s="45"/>
      <c r="DI202" s="45"/>
      <c r="DJ202" s="45"/>
      <c r="DK202" s="45"/>
      <c r="DL202" s="45"/>
      <c r="DM202" s="45"/>
      <c r="DN202" s="45"/>
      <c r="DO202" s="45"/>
      <c r="DP202" s="45"/>
      <c r="DQ202" s="45"/>
      <c r="DR202" s="45"/>
      <c r="DS202" s="45"/>
      <c r="DT202" s="45"/>
      <c r="DU202" s="45"/>
      <c r="DV202" s="45"/>
      <c r="DW202" s="45"/>
      <c r="DX202" s="45"/>
      <c r="DY202" s="45"/>
      <c r="DZ202" s="45"/>
      <c r="EA202" s="45"/>
      <c r="EB202" s="45"/>
      <c r="EC202" s="45"/>
      <c r="ED202" s="45"/>
      <c r="EE202" s="45"/>
      <c r="EF202" s="45"/>
      <c r="EG202" s="45"/>
      <c r="EH202" s="45"/>
      <c r="EI202" s="45"/>
      <c r="EJ202" s="45"/>
      <c r="EK202" s="45"/>
      <c r="EL202" s="45"/>
      <c r="EM202" s="45"/>
      <c r="EN202" s="45"/>
      <c r="EO202" s="45"/>
      <c r="EP202" s="45"/>
      <c r="EQ202" s="45"/>
      <c r="ER202" s="45"/>
      <c r="ES202" s="45"/>
      <c r="ET202" s="45"/>
      <c r="EU202" s="45"/>
      <c r="EV202" s="45"/>
      <c r="EW202" s="45"/>
      <c r="EX202" s="45"/>
      <c r="EY202" s="45"/>
      <c r="EZ202" s="45"/>
      <c r="FA202" s="45"/>
      <c r="FB202" s="45"/>
      <c r="FC202" s="45"/>
      <c r="FD202" s="45"/>
      <c r="FE202" s="45"/>
      <c r="FF202" s="45"/>
      <c r="FG202" s="45"/>
      <c r="FH202" s="45"/>
      <c r="FI202" s="45"/>
      <c r="FJ202" s="45"/>
      <c r="FK202" s="45"/>
      <c r="FL202" s="45"/>
      <c r="FM202" s="45"/>
      <c r="FN202" s="45"/>
      <c r="FO202" s="45"/>
      <c r="FP202" s="45"/>
      <c r="FQ202" s="45"/>
      <c r="FR202" s="45"/>
      <c r="FS202" s="45"/>
      <c r="FT202" s="45"/>
      <c r="FU202" s="45"/>
      <c r="FV202" s="45"/>
      <c r="FW202" s="45"/>
      <c r="FX202" s="45"/>
      <c r="FY202" s="45"/>
      <c r="FZ202" s="45"/>
      <c r="GA202" s="45"/>
      <c r="GB202" s="45"/>
      <c r="GC202" s="45"/>
      <c r="GD202" s="45"/>
    </row>
    <row r="203" spans="1:186" ht="34.5" customHeight="1">
      <c r="A203" s="99" t="s">
        <v>1372</v>
      </c>
      <c r="B203" s="50" t="str">
        <f>LOWER(
  IF(
    RIGHT(
      SUBSTITUTE(SUBSTITUTE(SUBSTITUTE(SUBSTITUTE(SUBSTITUTE(SUBSTITUTE(SUBSTITUTE(C203,"(","_"),")","_"),"/","_"),":","_"),"-","_")," ","_"),"__","_"),
      1
    )="_",
    LEFT(
      SUBSTITUTE(SUBSTITUTE(SUBSTITUTE(SUBSTITUTE(SUBSTITUTE(SUBSTITUTE(SUBSTITUTE(C203,"(","_"),")","_"),"/","_"),":","_"),"-","_")," ","_"),"__","_"),
      LEN(
        SUBSTITUTE(SUBSTITUTE(SUBSTITUTE(SUBSTITUTE(SUBSTITUTE(SUBSTITUTE(SUBSTITUTE(C203,"(","_"),")","_"),"/","_"),":","_"),"-","_")," ","_"),"__","_")
      )-1
    ),
    SUBSTITUTE(SUBSTITUTE(SUBSTITUTE(SUBSTITUTE(SUBSTITUTE(SUBSTITUTE(SUBSTITUTE(C203,"(","_"),")","_"),"/","_"),":","_"),"-","_")," ","_"),"__","_")
  )
)</f>
        <v>ncbi_suborder</v>
      </c>
      <c r="C203" s="49" t="s">
        <v>1373</v>
      </c>
      <c r="D203" s="50" t="s">
        <v>1374</v>
      </c>
      <c r="E203" s="49" t="s">
        <v>64</v>
      </c>
      <c r="F203" s="49" t="s">
        <v>795</v>
      </c>
      <c r="G203" s="49"/>
      <c r="H203" s="49"/>
      <c r="I203" s="49"/>
      <c r="J203" s="49"/>
      <c r="K203" s="49"/>
      <c r="L203" s="49"/>
      <c r="M203" s="49"/>
      <c r="N203" s="49"/>
      <c r="O203" s="49"/>
      <c r="P203" s="49"/>
      <c r="Q203" s="49"/>
      <c r="R203" s="49"/>
      <c r="S203" s="49" t="s">
        <v>1375</v>
      </c>
      <c r="T203" s="49"/>
      <c r="U203" s="49"/>
      <c r="V203" s="49"/>
      <c r="W203" s="49"/>
      <c r="X203" s="48" t="s">
        <v>698</v>
      </c>
      <c r="Y203" s="48" t="s">
        <v>699</v>
      </c>
      <c r="Z203" s="48" t="s">
        <v>337</v>
      </c>
      <c r="AA203" s="49" t="str">
        <f>"[" &amp; _xlfn.TEXTJOIN(", ", TRUE,
    IF(I203&lt;&gt;"", """" &amp; I$1 &amp; """", ""),
    IF(J203&lt;&gt;"", """" &amp; J$1 &amp; """", ""),
    IF(K203&lt;&gt;"", """" &amp; K$1 &amp; """", ""),
    IF(L203&lt;&gt;"", """" &amp; L$1 &amp; """", ""),
    IF(M203&lt;&gt;"", """" &amp; M$1 &amp; """", ""),    IF(N203&lt;&gt;"", """" &amp; N$1 &amp; """", ""),    IF(O203&lt;&gt;"", """" &amp; O$1 &amp; """", ""),     IF(P203&lt;&gt;"", """" &amp; P$1 &amp; """", ""),     IF(Q203&lt;&gt;"", """" &amp; Q$1 &amp; """", ""), IF(R203&lt;&gt;"", """" &amp; R$1 &amp; """", ""), IF(S203&lt;&gt;"", """" &amp; S$1 &amp; """", ""), IF(T203&lt;&gt;"", """" &amp; T$1 &amp; """", ""), IF(U203&lt;&gt;"", """" &amp; U$1 &amp; """", ""),
    IF(X203&lt;&gt;"", """" &amp; X203 &amp; """", ""), IF(V203&lt;&gt;"", """" &amp; V203 &amp; """", ""), IF(W203&lt;&gt;"", """" &amp; W203 &amp; """", ""),
    IF(Y203&lt;&gt;"", """" &amp; Y203 &amp; """", ""),
    IF(Z203&lt;&gt;"", """" &amp; Z203 &amp; """", "")
) &amp; "]"</f>
        <v>["PHD", "Taxonomy", "Virus Taxonomy", "NCBI Taxonomy"]</v>
      </c>
      <c r="AB203" s="49" t="s">
        <v>337</v>
      </c>
      <c r="AC203" s="49" t="s">
        <v>70</v>
      </c>
      <c r="AD203" s="49"/>
      <c r="AE203" s="49"/>
      <c r="AF203" s="49"/>
      <c r="AG203" s="49"/>
      <c r="AH203" s="49"/>
      <c r="AI203" s="49"/>
      <c r="AJ203" s="49"/>
      <c r="AK203" s="49"/>
      <c r="AL203" s="49"/>
      <c r="AM203" s="49"/>
      <c r="AN203" s="49"/>
      <c r="AO203" s="49"/>
      <c r="AP203" s="49"/>
      <c r="AQ203" s="49"/>
      <c r="AR203" s="49"/>
      <c r="AS203" s="49"/>
      <c r="AT203" s="49"/>
      <c r="AU203" s="49"/>
      <c r="AV203" s="49"/>
      <c r="AW203" s="49"/>
      <c r="AX203" s="54"/>
      <c r="AY203" s="49"/>
      <c r="AZ203" s="49"/>
      <c r="BA203" s="49"/>
      <c r="BB203" s="49"/>
      <c r="BC203" s="49" t="s">
        <v>73</v>
      </c>
      <c r="BD203" s="49" t="s">
        <v>702</v>
      </c>
      <c r="BE203" s="48"/>
    </row>
    <row r="204" spans="1:186" ht="34.5" customHeight="1">
      <c r="A204" s="99" t="s">
        <v>1376</v>
      </c>
      <c r="B204" s="50" t="str">
        <f>LOWER(
  IF(
    RIGHT(
      SUBSTITUTE(SUBSTITUTE(SUBSTITUTE(SUBSTITUTE(SUBSTITUTE(SUBSTITUTE(SUBSTITUTE(C204,"(","_"),")","_"),"/","_"),":","_"),"-","_")," ","_"),"__","_"),
      1
    )="_",
    LEFT(
      SUBSTITUTE(SUBSTITUTE(SUBSTITUTE(SUBSTITUTE(SUBSTITUTE(SUBSTITUTE(SUBSTITUTE(C204,"(","_"),")","_"),"/","_"),":","_"),"-","_")," ","_"),"__","_"),
      LEN(
        SUBSTITUTE(SUBSTITUTE(SUBSTITUTE(SUBSTITUTE(SUBSTITUTE(SUBSTITUTE(SUBSTITUTE(C204,"(","_"),")","_"),"/","_"),":","_"),"-","_")," ","_"),"__","_")
      )-1
    ),
    SUBSTITUTE(SUBSTITUTE(SUBSTITUTE(SUBSTITUTE(SUBSTITUTE(SUBSTITUTE(SUBSTITUTE(C204,"(","_"),")","_"),"/","_"),":","_"),"-","_")," ","_"),"__","_")
  )
)</f>
        <v>ncbi_family</v>
      </c>
      <c r="C204" s="49" t="s">
        <v>1377</v>
      </c>
      <c r="D204" s="50" t="s">
        <v>1378</v>
      </c>
      <c r="E204" s="49" t="s">
        <v>64</v>
      </c>
      <c r="F204" s="49" t="s">
        <v>795</v>
      </c>
      <c r="G204" s="49" t="s">
        <v>1379</v>
      </c>
      <c r="H204" s="49"/>
      <c r="I204" s="49"/>
      <c r="J204" s="49"/>
      <c r="K204" s="49"/>
      <c r="L204" s="49"/>
      <c r="M204" s="49"/>
      <c r="N204" s="49" t="s">
        <v>1320</v>
      </c>
      <c r="O204" s="49" t="s">
        <v>1320</v>
      </c>
      <c r="P204" s="49"/>
      <c r="Q204" s="49"/>
      <c r="R204" s="49"/>
      <c r="S204" s="49" t="s">
        <v>1380</v>
      </c>
      <c r="T204" s="49"/>
      <c r="U204" s="49"/>
      <c r="V204" s="50"/>
      <c r="W204" s="50"/>
      <c r="X204" s="48" t="s">
        <v>698</v>
      </c>
      <c r="Y204" s="48" t="s">
        <v>699</v>
      </c>
      <c r="Z204" s="48" t="s">
        <v>337</v>
      </c>
      <c r="AA204" s="49" t="str">
        <f>"[" &amp; _xlfn.TEXTJOIN(", ", TRUE,
    IF(I204&lt;&gt;"", """" &amp; I$1 &amp; """", ""),
    IF(J204&lt;&gt;"", """" &amp; J$1 &amp; """", ""),
    IF(K204&lt;&gt;"", """" &amp; K$1 &amp; """", ""),
    IF(L204&lt;&gt;"", """" &amp; L$1 &amp; """", ""),
    IF(M204&lt;&gt;"", """" &amp; M$1 &amp; """", ""),    IF(N204&lt;&gt;"", """" &amp; N$1 &amp; """", ""),    IF(O204&lt;&gt;"", """" &amp; O$1 &amp; """", ""),     IF(P204&lt;&gt;"", """" &amp; P$1 &amp; """", ""),     IF(Q204&lt;&gt;"", """" &amp; Q$1 &amp; """", ""), IF(R204&lt;&gt;"", """" &amp; R$1 &amp; """", ""), IF(S204&lt;&gt;"", """" &amp; S$1 &amp; """", ""), IF(T204&lt;&gt;"", """" &amp; T$1 &amp; """", ""), IF(U204&lt;&gt;"", """" &amp; U$1 &amp; """", ""),
    IF(X204&lt;&gt;"", """" &amp; X204 &amp; """", ""), IF(V204&lt;&gt;"", """" &amp; V204 &amp; """", ""), IF(W204&lt;&gt;"", """" &amp; W204 &amp; """", ""),
    IF(Y204&lt;&gt;"", """" &amp; Y204 &amp; """", ""),
    IF(Z204&lt;&gt;"", """" &amp; Z204 &amp; """", "")
) &amp; "]"</f>
        <v>["NCBI Virus", "BV-BRC", "PHD", "Taxonomy", "Virus Taxonomy", "NCBI Taxonomy"]</v>
      </c>
      <c r="AB204" s="49" t="s">
        <v>949</v>
      </c>
      <c r="AC204" s="48" t="s">
        <v>1342</v>
      </c>
      <c r="AD204" s="49"/>
      <c r="AE204" s="49"/>
      <c r="AF204" s="49" t="s">
        <v>1320</v>
      </c>
      <c r="AG204" s="49" t="s">
        <v>1381</v>
      </c>
      <c r="AH204" s="49"/>
      <c r="AI204" s="49"/>
      <c r="AJ204" s="49" t="s">
        <v>1216</v>
      </c>
      <c r="AK204" s="49" t="s">
        <v>698</v>
      </c>
      <c r="AL204" s="49" t="s">
        <v>1382</v>
      </c>
      <c r="AM204" s="49" t="s">
        <v>351</v>
      </c>
      <c r="AN204" s="49"/>
      <c r="AO204" s="49"/>
      <c r="AP204" s="49"/>
      <c r="AQ204" s="49"/>
      <c r="AR204" s="49"/>
      <c r="AS204" s="49"/>
      <c r="AT204" s="49"/>
      <c r="AU204" s="49"/>
      <c r="AV204" s="49"/>
      <c r="AW204" s="49"/>
      <c r="AX204" s="54"/>
      <c r="AY204" s="49"/>
      <c r="AZ204" s="48" t="s">
        <v>64</v>
      </c>
      <c r="BA204" s="48" t="s">
        <v>72</v>
      </c>
      <c r="BB204" s="49"/>
      <c r="BC204" s="49" t="s">
        <v>73</v>
      </c>
      <c r="BD204" s="49" t="s">
        <v>702</v>
      </c>
      <c r="BE204" s="48" t="s">
        <v>60</v>
      </c>
    </row>
    <row r="205" spans="1:186" ht="34.5" customHeight="1">
      <c r="A205" s="99" t="s">
        <v>1383</v>
      </c>
      <c r="B205" s="50" t="str">
        <f>LOWER(
  IF(
    RIGHT(
      SUBSTITUTE(SUBSTITUTE(SUBSTITUTE(SUBSTITUTE(SUBSTITUTE(SUBSTITUTE(SUBSTITUTE(C205,"(","_"),")","_"),"/","_"),":","_"),"-","_")," ","_"),"__","_"),
      1
    )="_",
    LEFT(
      SUBSTITUTE(SUBSTITUTE(SUBSTITUTE(SUBSTITUTE(SUBSTITUTE(SUBSTITUTE(SUBSTITUTE(C205,"(","_"),")","_"),"/","_"),":","_"),"-","_")," ","_"),"__","_"),
      LEN(
        SUBSTITUTE(SUBSTITUTE(SUBSTITUTE(SUBSTITUTE(SUBSTITUTE(SUBSTITUTE(SUBSTITUTE(C205,"(","_"),")","_"),"/","_"),":","_"),"-","_")," ","_"),"__","_")
      )-1
    ),
    SUBSTITUTE(SUBSTITUTE(SUBSTITUTE(SUBSTITUTE(SUBSTITUTE(SUBSTITUTE(SUBSTITUTE(C205,"(","_"),")","_"),"/","_"),":","_"),"-","_")," ","_"),"__","_")
  )
)</f>
        <v>ncbi_subfamily</v>
      </c>
      <c r="C205" s="49" t="s">
        <v>1384</v>
      </c>
      <c r="D205" s="50" t="s">
        <v>1385</v>
      </c>
      <c r="E205" s="49" t="s">
        <v>64</v>
      </c>
      <c r="F205" s="49" t="s">
        <v>795</v>
      </c>
      <c r="G205" s="49"/>
      <c r="H205" s="49"/>
      <c r="I205" s="49"/>
      <c r="J205" s="49"/>
      <c r="K205" s="49"/>
      <c r="L205" s="49"/>
      <c r="M205" s="49"/>
      <c r="N205" s="49"/>
      <c r="O205" s="49"/>
      <c r="P205" s="49"/>
      <c r="Q205" s="49"/>
      <c r="R205" s="49"/>
      <c r="S205" s="49" t="s">
        <v>1386</v>
      </c>
      <c r="T205" s="49"/>
      <c r="U205" s="49"/>
      <c r="V205" s="49"/>
      <c r="W205" s="49"/>
      <c r="X205" s="48" t="s">
        <v>698</v>
      </c>
      <c r="Y205" s="48" t="s">
        <v>699</v>
      </c>
      <c r="Z205" s="48" t="s">
        <v>337</v>
      </c>
      <c r="AA205" s="49" t="str">
        <f>"[" &amp; _xlfn.TEXTJOIN(", ", TRUE,
    IF(I205&lt;&gt;"", """" &amp; I$1 &amp; """", ""),
    IF(J205&lt;&gt;"", """" &amp; J$1 &amp; """", ""),
    IF(K205&lt;&gt;"", """" &amp; K$1 &amp; """", ""),
    IF(L205&lt;&gt;"", """" &amp; L$1 &amp; """", ""),
    IF(M205&lt;&gt;"", """" &amp; M$1 &amp; """", ""),    IF(N205&lt;&gt;"", """" &amp; N$1 &amp; """", ""),    IF(O205&lt;&gt;"", """" &amp; O$1 &amp; """", ""),     IF(P205&lt;&gt;"", """" &amp; P$1 &amp; """", ""),     IF(Q205&lt;&gt;"", """" &amp; Q$1 &amp; """", ""), IF(R205&lt;&gt;"", """" &amp; R$1 &amp; """", ""), IF(S205&lt;&gt;"", """" &amp; S$1 &amp; """", ""), IF(T205&lt;&gt;"", """" &amp; T$1 &amp; """", ""), IF(U205&lt;&gt;"", """" &amp; U$1 &amp; """", ""),
    IF(X205&lt;&gt;"", """" &amp; X205 &amp; """", ""), IF(V205&lt;&gt;"", """" &amp; V205 &amp; """", ""), IF(W205&lt;&gt;"", """" &amp; W205 &amp; """", ""),
    IF(Y205&lt;&gt;"", """" &amp; Y205 &amp; """", ""),
    IF(Z205&lt;&gt;"", """" &amp; Z205 &amp; """", "")
) &amp; "]"</f>
        <v>["PHD", "Taxonomy", "Virus Taxonomy", "NCBI Taxonomy"]</v>
      </c>
      <c r="AB205" s="49" t="s">
        <v>337</v>
      </c>
      <c r="AC205" s="49" t="s">
        <v>70</v>
      </c>
      <c r="AD205" s="49"/>
      <c r="AE205" s="49"/>
      <c r="AF205" s="49"/>
      <c r="AG205" s="49"/>
      <c r="AH205" s="49"/>
      <c r="AI205" s="49"/>
      <c r="AJ205" s="49"/>
      <c r="AK205" s="49"/>
      <c r="AL205" s="49"/>
      <c r="AM205" s="49"/>
      <c r="AN205" s="49"/>
      <c r="AO205" s="49"/>
      <c r="AP205" s="49"/>
      <c r="AQ205" s="49"/>
      <c r="AR205" s="49"/>
      <c r="AS205" s="49"/>
      <c r="AT205" s="49"/>
      <c r="AU205" s="49"/>
      <c r="AV205" s="49"/>
      <c r="AW205" s="49"/>
      <c r="AX205" s="54"/>
      <c r="AY205" s="49"/>
      <c r="AZ205" s="49"/>
      <c r="BA205" s="49"/>
      <c r="BB205" s="49"/>
      <c r="BC205" s="49" t="s">
        <v>73</v>
      </c>
      <c r="BD205" s="49" t="s">
        <v>702</v>
      </c>
      <c r="BE205" s="48"/>
    </row>
    <row r="206" spans="1:186" ht="34.5" customHeight="1">
      <c r="A206" s="99" t="s">
        <v>1387</v>
      </c>
      <c r="B206" s="50" t="str">
        <f>LOWER(
  IF(
    RIGHT(
      SUBSTITUTE(SUBSTITUTE(SUBSTITUTE(SUBSTITUTE(SUBSTITUTE(SUBSTITUTE(SUBSTITUTE(C206,"(","_"),")","_"),"/","_"),":","_"),"-","_")," ","_"),"__","_"),
      1
    )="_",
    LEFT(
      SUBSTITUTE(SUBSTITUTE(SUBSTITUTE(SUBSTITUTE(SUBSTITUTE(SUBSTITUTE(SUBSTITUTE(C206,"(","_"),")","_"),"/","_"),":","_"),"-","_")," ","_"),"__","_"),
      LEN(
        SUBSTITUTE(SUBSTITUTE(SUBSTITUTE(SUBSTITUTE(SUBSTITUTE(SUBSTITUTE(SUBSTITUTE(C206,"(","_"),")","_"),"/","_"),":","_"),"-","_")," ","_"),"__","_")
      )-1
    ),
    SUBSTITUTE(SUBSTITUTE(SUBSTITUTE(SUBSTITUTE(SUBSTITUTE(SUBSTITUTE(SUBSTITUTE(C206,"(","_"),")","_"),"/","_"),":","_"),"-","_")," ","_"),"__","_")
  )
)</f>
        <v>ncbi_genus</v>
      </c>
      <c r="C206" s="49" t="s">
        <v>1388</v>
      </c>
      <c r="D206" s="50" t="s">
        <v>1389</v>
      </c>
      <c r="E206" s="49" t="s">
        <v>64</v>
      </c>
      <c r="F206" s="49" t="s">
        <v>795</v>
      </c>
      <c r="G206" s="49" t="s">
        <v>1390</v>
      </c>
      <c r="H206" s="49"/>
      <c r="I206" s="49"/>
      <c r="J206" s="49"/>
      <c r="K206" s="49"/>
      <c r="L206" s="49"/>
      <c r="M206" s="49"/>
      <c r="N206" s="49" t="s">
        <v>1330</v>
      </c>
      <c r="O206" s="49" t="s">
        <v>1330</v>
      </c>
      <c r="P206" s="49"/>
      <c r="Q206" s="49"/>
      <c r="R206" s="49"/>
      <c r="S206" s="49" t="s">
        <v>1391</v>
      </c>
      <c r="T206" s="49"/>
      <c r="U206" s="49"/>
      <c r="V206" s="50"/>
      <c r="W206" s="50"/>
      <c r="X206" s="48" t="s">
        <v>698</v>
      </c>
      <c r="Y206" s="48" t="s">
        <v>699</v>
      </c>
      <c r="Z206" s="48" t="s">
        <v>337</v>
      </c>
      <c r="AA206" s="49" t="str">
        <f>"[" &amp; _xlfn.TEXTJOIN(", ", TRUE,
    IF(I206&lt;&gt;"", """" &amp; I$1 &amp; """", ""),
    IF(J206&lt;&gt;"", """" &amp; J$1 &amp; """", ""),
    IF(K206&lt;&gt;"", """" &amp; K$1 &amp; """", ""),
    IF(L206&lt;&gt;"", """" &amp; L$1 &amp; """", ""),
    IF(M206&lt;&gt;"", """" &amp; M$1 &amp; """", ""),    IF(N206&lt;&gt;"", """" &amp; N$1 &amp; """", ""),    IF(O206&lt;&gt;"", """" &amp; O$1 &amp; """", ""),     IF(P206&lt;&gt;"", """" &amp; P$1 &amp; """", ""),     IF(Q206&lt;&gt;"", """" &amp; Q$1 &amp; """", ""), IF(R206&lt;&gt;"", """" &amp; R$1 &amp; """", ""), IF(S206&lt;&gt;"", """" &amp; S$1 &amp; """", ""), IF(T206&lt;&gt;"", """" &amp; T$1 &amp; """", ""), IF(U206&lt;&gt;"", """" &amp; U$1 &amp; """", ""),
    IF(X206&lt;&gt;"", """" &amp; X206 &amp; """", ""), IF(V206&lt;&gt;"", """" &amp; V206 &amp; """", ""), IF(W206&lt;&gt;"", """" &amp; W206 &amp; """", ""),
    IF(Y206&lt;&gt;"", """" &amp; Y206 &amp; """", ""),
    IF(Z206&lt;&gt;"", """" &amp; Z206 &amp; """", "")
) &amp; "]"</f>
        <v>["NCBI Virus", "BV-BRC", "PHD", "Taxonomy", "Virus Taxonomy", "NCBI Taxonomy"]</v>
      </c>
      <c r="AB206" s="49" t="s">
        <v>949</v>
      </c>
      <c r="AC206" s="48" t="s">
        <v>1342</v>
      </c>
      <c r="AD206" s="49"/>
      <c r="AE206" s="49"/>
      <c r="AF206" s="49" t="s">
        <v>1330</v>
      </c>
      <c r="AG206" s="49" t="s">
        <v>1392</v>
      </c>
      <c r="AH206" s="49"/>
      <c r="AI206" s="49"/>
      <c r="AJ206" s="49" t="s">
        <v>1216</v>
      </c>
      <c r="AK206" s="49" t="s">
        <v>698</v>
      </c>
      <c r="AL206" s="49" t="s">
        <v>1393</v>
      </c>
      <c r="AM206" s="49" t="s">
        <v>351</v>
      </c>
      <c r="AN206" s="49"/>
      <c r="AO206" s="49"/>
      <c r="AP206" s="49"/>
      <c r="AQ206" s="49"/>
      <c r="AR206" s="49"/>
      <c r="AS206" s="49"/>
      <c r="AT206" s="49"/>
      <c r="AU206" s="49"/>
      <c r="AV206" s="49"/>
      <c r="AW206" s="49"/>
      <c r="AX206" s="54"/>
      <c r="AY206" s="49"/>
      <c r="AZ206" s="48" t="s">
        <v>64</v>
      </c>
      <c r="BA206" s="48" t="s">
        <v>72</v>
      </c>
      <c r="BB206" s="49"/>
      <c r="BC206" s="49" t="s">
        <v>73</v>
      </c>
      <c r="BD206" s="49" t="s">
        <v>702</v>
      </c>
      <c r="BE206" s="48" t="s">
        <v>60</v>
      </c>
    </row>
    <row r="207" spans="1:186" ht="34.5" customHeight="1">
      <c r="A207" s="99" t="s">
        <v>1394</v>
      </c>
      <c r="B207" s="50" t="str">
        <f>LOWER(
  IF(
    RIGHT(
      SUBSTITUTE(SUBSTITUTE(SUBSTITUTE(SUBSTITUTE(SUBSTITUTE(SUBSTITUTE(SUBSTITUTE(C207,"(","_"),")","_"),"/","_"),":","_"),"-","_")," ","_"),"__","_"),
      1
    )="_",
    LEFT(
      SUBSTITUTE(SUBSTITUTE(SUBSTITUTE(SUBSTITUTE(SUBSTITUTE(SUBSTITUTE(SUBSTITUTE(C207,"(","_"),")","_"),"/","_"),":","_"),"-","_")," ","_"),"__","_"),
      LEN(
        SUBSTITUTE(SUBSTITUTE(SUBSTITUTE(SUBSTITUTE(SUBSTITUTE(SUBSTITUTE(SUBSTITUTE(C207,"(","_"),")","_"),"/","_"),":","_"),"-","_")," ","_"),"__","_")
      )-1
    ),
    SUBSTITUTE(SUBSTITUTE(SUBSTITUTE(SUBSTITUTE(SUBSTITUTE(SUBSTITUTE(SUBSTITUTE(C207,"(","_"),")","_"),"/","_"),":","_"),"-","_")," ","_"),"__","_")
  )
)</f>
        <v>ncbi_subgenus</v>
      </c>
      <c r="C207" s="49" t="s">
        <v>1395</v>
      </c>
      <c r="D207" s="50" t="s">
        <v>1396</v>
      </c>
      <c r="E207" s="49" t="s">
        <v>64</v>
      </c>
      <c r="F207" s="49" t="s">
        <v>795</v>
      </c>
      <c r="G207" s="49"/>
      <c r="H207" s="49"/>
      <c r="I207" s="49"/>
      <c r="J207" s="49"/>
      <c r="K207" s="49"/>
      <c r="L207" s="49"/>
      <c r="M207" s="49"/>
      <c r="N207" s="49"/>
      <c r="O207" s="49"/>
      <c r="P207" s="49"/>
      <c r="Q207" s="49"/>
      <c r="R207" s="49"/>
      <c r="S207" s="49" t="s">
        <v>1397</v>
      </c>
      <c r="T207" s="49"/>
      <c r="U207" s="49"/>
      <c r="V207" s="49"/>
      <c r="W207" s="49"/>
      <c r="X207" s="48" t="s">
        <v>698</v>
      </c>
      <c r="Y207" s="48" t="s">
        <v>699</v>
      </c>
      <c r="Z207" s="48" t="s">
        <v>337</v>
      </c>
      <c r="AA207" s="49" t="str">
        <f>"[" &amp; _xlfn.TEXTJOIN(", ", TRUE,
    IF(I207&lt;&gt;"", """" &amp; I$1 &amp; """", ""),
    IF(J207&lt;&gt;"", """" &amp; J$1 &amp; """", ""),
    IF(K207&lt;&gt;"", """" &amp; K$1 &amp; """", ""),
    IF(L207&lt;&gt;"", """" &amp; L$1 &amp; """", ""),
    IF(M207&lt;&gt;"", """" &amp; M$1 &amp; """", ""),    IF(N207&lt;&gt;"", """" &amp; N$1 &amp; """", ""),    IF(O207&lt;&gt;"", """" &amp; O$1 &amp; """", ""),     IF(P207&lt;&gt;"", """" &amp; P$1 &amp; """", ""),     IF(Q207&lt;&gt;"", """" &amp; Q$1 &amp; """", ""), IF(R207&lt;&gt;"", """" &amp; R$1 &amp; """", ""), IF(S207&lt;&gt;"", """" &amp; S$1 &amp; """", ""), IF(T207&lt;&gt;"", """" &amp; T$1 &amp; """", ""), IF(U207&lt;&gt;"", """" &amp; U$1 &amp; """", ""),
    IF(X207&lt;&gt;"", """" &amp; X207 &amp; """", ""), IF(V207&lt;&gt;"", """" &amp; V207 &amp; """", ""), IF(W207&lt;&gt;"", """" &amp; W207 &amp; """", ""),
    IF(Y207&lt;&gt;"", """" &amp; Y207 &amp; """", ""),
    IF(Z207&lt;&gt;"", """" &amp; Z207 &amp; """", "")
) &amp; "]"</f>
        <v>["PHD", "Taxonomy", "Virus Taxonomy", "NCBI Taxonomy"]</v>
      </c>
      <c r="AB207" s="49" t="s">
        <v>1398</v>
      </c>
      <c r="AC207" s="49" t="s">
        <v>70</v>
      </c>
      <c r="AD207" s="49"/>
      <c r="AE207" s="49"/>
      <c r="AF207" s="49"/>
      <c r="AG207" s="49"/>
      <c r="AH207" s="49"/>
      <c r="AI207" s="49"/>
      <c r="AJ207" s="49"/>
      <c r="AK207" s="49"/>
      <c r="AL207" s="49"/>
      <c r="AM207" s="49"/>
      <c r="AN207" s="49"/>
      <c r="AO207" s="49"/>
      <c r="AP207" s="49"/>
      <c r="AQ207" s="49"/>
      <c r="AR207" s="49"/>
      <c r="AS207" s="49"/>
      <c r="AT207" s="49"/>
      <c r="AU207" s="49"/>
      <c r="AV207" s="49"/>
      <c r="AW207" s="49"/>
      <c r="AX207" s="54"/>
      <c r="AY207" s="49"/>
      <c r="AZ207" s="49"/>
      <c r="BA207" s="49"/>
      <c r="BB207" s="49"/>
      <c r="BC207" s="49" t="s">
        <v>73</v>
      </c>
      <c r="BD207" s="49" t="s">
        <v>702</v>
      </c>
      <c r="BE207" s="48"/>
    </row>
    <row r="208" spans="1:186" ht="34.5" customHeight="1">
      <c r="A208" s="99" t="s">
        <v>1399</v>
      </c>
      <c r="B208" s="50" t="str">
        <f>LOWER(
  IF(
    RIGHT(
      SUBSTITUTE(SUBSTITUTE(SUBSTITUTE(SUBSTITUTE(SUBSTITUTE(SUBSTITUTE(SUBSTITUTE(C208,"(","_"),")","_"),"/","_"),":","_"),"-","_")," ","_"),"__","_"),
      1
    )="_",
    LEFT(
      SUBSTITUTE(SUBSTITUTE(SUBSTITUTE(SUBSTITUTE(SUBSTITUTE(SUBSTITUTE(SUBSTITUTE(C208,"(","_"),")","_"),"/","_"),":","_"),"-","_")," ","_"),"__","_"),
      LEN(
        SUBSTITUTE(SUBSTITUTE(SUBSTITUTE(SUBSTITUTE(SUBSTITUTE(SUBSTITUTE(SUBSTITUTE(C208,"(","_"),")","_"),"/","_"),":","_"),"-","_")," ","_"),"__","_")
      )-1
    ),
    SUBSTITUTE(SUBSTITUTE(SUBSTITUTE(SUBSTITUTE(SUBSTITUTE(SUBSTITUTE(SUBSTITUTE(C208,"(","_"),")","_"),"/","_"),":","_"),"-","_")," ","_"),"__","_")
  )
)</f>
        <v>ncbi_species</v>
      </c>
      <c r="C208" s="48" t="s">
        <v>1400</v>
      </c>
      <c r="D208" s="50" t="s">
        <v>1401</v>
      </c>
      <c r="E208" s="49" t="s">
        <v>64</v>
      </c>
      <c r="F208" s="49" t="s">
        <v>795</v>
      </c>
      <c r="G208" s="49" t="s">
        <v>1402</v>
      </c>
      <c r="H208" s="49" t="s">
        <v>1403</v>
      </c>
      <c r="I208" s="49" t="s">
        <v>1404</v>
      </c>
      <c r="J208" s="49"/>
      <c r="K208" s="49"/>
      <c r="L208" s="49"/>
      <c r="M208" s="49"/>
      <c r="N208" s="49" t="s">
        <v>1343</v>
      </c>
      <c r="O208" s="49" t="s">
        <v>1343</v>
      </c>
      <c r="P208" s="49"/>
      <c r="Q208" s="49"/>
      <c r="R208" s="49"/>
      <c r="S208" s="49" t="s">
        <v>1405</v>
      </c>
      <c r="T208" s="49"/>
      <c r="U208" s="49"/>
      <c r="V208" s="50"/>
      <c r="W208" s="50"/>
      <c r="X208" s="48" t="s">
        <v>698</v>
      </c>
      <c r="Y208" s="48" t="s">
        <v>699</v>
      </c>
      <c r="Z208" s="48" t="s">
        <v>337</v>
      </c>
      <c r="AA208" s="49" t="str">
        <f>"[" &amp; _xlfn.TEXTJOIN(", ", TRUE,
    IF(I208&lt;&gt;"", """" &amp; I$1 &amp; """", ""),
    IF(J208&lt;&gt;"", """" &amp; J$1 &amp; """", ""),
    IF(K208&lt;&gt;"", """" &amp; K$1 &amp; """", ""),
    IF(L208&lt;&gt;"", """" &amp; L$1 &amp; """", ""),
    IF(M208&lt;&gt;"", """" &amp; M$1 &amp; """", ""),    IF(N208&lt;&gt;"", """" &amp; N$1 &amp; """", ""),    IF(O208&lt;&gt;"", """" &amp; O$1 &amp; """", ""),     IF(P208&lt;&gt;"", """" &amp; P$1 &amp; """", ""),     IF(Q208&lt;&gt;"", """" &amp; Q$1 &amp; """", ""), IF(R208&lt;&gt;"", """" &amp; R$1 &amp; """", ""), IF(S208&lt;&gt;"", """" &amp; S$1 &amp; """", ""), IF(T208&lt;&gt;"", """" &amp; T$1 &amp; """", ""), IF(U208&lt;&gt;"", """" &amp; U$1 &amp; """", ""),
    IF(X208&lt;&gt;"", """" &amp; X208 &amp; """", ""), IF(V208&lt;&gt;"", """" &amp; V208 &amp; """", ""), IF(W208&lt;&gt;"", """" &amp; W208 &amp; """", ""),
    IF(Y208&lt;&gt;"", """" &amp; Y208 &amp; """", ""),
    IF(Z208&lt;&gt;"", """" &amp; Z208 &amp; """", "")
) &amp; "]"</f>
        <v>["ENA", "NCBI Virus", "BV-BRC", "PHD", "Taxonomy", "Virus Taxonomy", "NCBI Taxonomy"]</v>
      </c>
      <c r="AB208" s="49" t="s">
        <v>949</v>
      </c>
      <c r="AC208" s="48" t="s">
        <v>1406</v>
      </c>
      <c r="AD208" s="49"/>
      <c r="AE208" s="49" t="s">
        <v>82</v>
      </c>
      <c r="AF208" s="49" t="s">
        <v>1343</v>
      </c>
      <c r="AG208" s="49" t="s">
        <v>1407</v>
      </c>
      <c r="AH208" s="49"/>
      <c r="AI208" s="49"/>
      <c r="AJ208" s="49" t="s">
        <v>1216</v>
      </c>
      <c r="AK208" s="49" t="s">
        <v>698</v>
      </c>
      <c r="AL208" s="49" t="s">
        <v>1408</v>
      </c>
      <c r="AM208" s="49" t="s">
        <v>351</v>
      </c>
      <c r="AN208" s="49"/>
      <c r="AO208" s="49"/>
      <c r="AP208" s="49"/>
      <c r="AQ208" s="49"/>
      <c r="AR208" s="49"/>
      <c r="AS208" s="49"/>
      <c r="AT208" s="49"/>
      <c r="AU208" s="49"/>
      <c r="AV208" s="49" t="s">
        <v>130</v>
      </c>
      <c r="AW208" s="49" t="s">
        <v>130</v>
      </c>
      <c r="AX208" s="54"/>
      <c r="AY208" s="49"/>
      <c r="AZ208" s="48" t="s">
        <v>182</v>
      </c>
      <c r="BA208" s="48" t="s">
        <v>119</v>
      </c>
      <c r="BB208" s="49"/>
      <c r="BC208" s="49" t="s">
        <v>73</v>
      </c>
      <c r="BD208" s="49" t="s">
        <v>702</v>
      </c>
      <c r="BE208" s="49" t="s">
        <v>60</v>
      </c>
    </row>
    <row r="209" spans="1:186" ht="34.5" customHeight="1">
      <c r="A209" s="99" t="s">
        <v>1409</v>
      </c>
      <c r="B209" s="50" t="str">
        <f>LOWER(
  IF(
    RIGHT(
      SUBSTITUTE(SUBSTITUTE(SUBSTITUTE(SUBSTITUTE(SUBSTITUTE(SUBSTITUTE(SUBSTITUTE(C209,"(","_"),")","_"),"/","_"),":","_"),"-","_")," ","_"),"__","_"),
      1
    )="_",
    LEFT(
      SUBSTITUTE(SUBSTITUTE(SUBSTITUTE(SUBSTITUTE(SUBSTITUTE(SUBSTITUTE(SUBSTITUTE(C209,"(","_"),")","_"),"/","_"),":","_"),"-","_")," ","_"),"__","_"),
      LEN(
        SUBSTITUTE(SUBSTITUTE(SUBSTITUTE(SUBSTITUTE(SUBSTITUTE(SUBSTITUTE(SUBSTITUTE(C209,"(","_"),")","_"),"/","_"),":","_"),"-","_")," ","_"),"__","_")
      )-1
    ),
    SUBSTITUTE(SUBSTITUTE(SUBSTITUTE(SUBSTITUTE(SUBSTITUTE(SUBSTITUTE(SUBSTITUTE(C209,"(","_"),")","_"),"/","_"),":","_"),"-","_")," ","_"),"__","_")
  )
)</f>
        <v>genotype</v>
      </c>
      <c r="C209" s="49" t="s">
        <v>1410</v>
      </c>
      <c r="D209" s="50" t="s">
        <v>1411</v>
      </c>
      <c r="E209" s="49" t="s">
        <v>64</v>
      </c>
      <c r="F209" s="49" t="s">
        <v>795</v>
      </c>
      <c r="G209" s="49" t="s">
        <v>1412</v>
      </c>
      <c r="H209" s="49" t="s">
        <v>263</v>
      </c>
      <c r="I209" s="49"/>
      <c r="J209" s="49"/>
      <c r="K209" s="49" t="s">
        <v>313</v>
      </c>
      <c r="L209" s="49"/>
      <c r="M209" s="49"/>
      <c r="N209" s="49" t="s">
        <v>1410</v>
      </c>
      <c r="O209" s="49"/>
      <c r="P209" s="49"/>
      <c r="Q209" s="49"/>
      <c r="R209" s="49"/>
      <c r="S209" s="49"/>
      <c r="T209" s="49"/>
      <c r="U209" s="49"/>
      <c r="V209" s="50"/>
      <c r="W209" s="50"/>
      <c r="X209" s="48" t="s">
        <v>68</v>
      </c>
      <c r="Y209" s="48" t="s">
        <v>323</v>
      </c>
      <c r="Z209" s="48"/>
      <c r="AA209" s="49" t="str">
        <f>"[" &amp; _xlfn.TEXTJOIN(", ", TRUE,
    IF(I209&lt;&gt;"", """" &amp; I$1 &amp; """", ""),
    IF(J209&lt;&gt;"", """" &amp; J$1 &amp; """", ""),
    IF(K209&lt;&gt;"", """" &amp; K$1 &amp; """", ""),
    IF(L209&lt;&gt;"", """" &amp; L$1 &amp; """", ""),
    IF(M209&lt;&gt;"", """" &amp; M$1 &amp; """", ""),    IF(N209&lt;&gt;"", """" &amp; N$1 &amp; """", ""),    IF(O209&lt;&gt;"", """" &amp; O$1 &amp; """", ""),     IF(P209&lt;&gt;"", """" &amp; P$1 &amp; """", ""),     IF(Q209&lt;&gt;"", """" &amp; Q$1 &amp; """", ""), IF(R209&lt;&gt;"", """" &amp; R$1 &amp; """", ""), IF(S209&lt;&gt;"", """" &amp; S$1 &amp; """", ""), IF(T209&lt;&gt;"", """" &amp; T$1 &amp; """", ""), IF(U209&lt;&gt;"", """" &amp; U$1 &amp; """", ""),
    IF(X209&lt;&gt;"", """" &amp; X209 &amp; """", ""), IF(V209&lt;&gt;"", """" &amp; V209 &amp; """", ""), IF(W209&lt;&gt;"", """" &amp; W209 &amp; """", ""),
    IF(Y209&lt;&gt;"", """" &amp; Y209 &amp; """", ""),
    IF(Z209&lt;&gt;"", """" &amp; Z209 &amp; """", "")
) &amp; "]"</f>
        <v>["MIGS-VI", "NCBI Virus", "Sample", "Virus Info"]</v>
      </c>
      <c r="AB209" s="49" t="s">
        <v>8</v>
      </c>
      <c r="AC209" s="48" t="s">
        <v>1413</v>
      </c>
      <c r="AD209" s="49"/>
      <c r="AE209" s="49"/>
      <c r="AF209" s="49" t="s">
        <v>1410</v>
      </c>
      <c r="AG209" s="49" t="s">
        <v>1414</v>
      </c>
      <c r="AH209" s="49"/>
      <c r="AI209" s="49"/>
      <c r="AJ209" s="49"/>
      <c r="AK209" s="49"/>
      <c r="AL209" s="49"/>
      <c r="AM209" s="49"/>
      <c r="AN209" s="49"/>
      <c r="AO209" s="49"/>
      <c r="AP209" s="49"/>
      <c r="AQ209" s="49"/>
      <c r="AR209" s="49"/>
      <c r="AS209" s="49"/>
      <c r="AT209" s="49"/>
      <c r="AU209" s="49"/>
      <c r="AV209" s="49"/>
      <c r="AW209" s="49"/>
      <c r="AX209" s="54"/>
      <c r="AY209" s="49"/>
      <c r="AZ209" s="48" t="s">
        <v>64</v>
      </c>
      <c r="BA209" s="48" t="s">
        <v>72</v>
      </c>
      <c r="BB209" s="49"/>
      <c r="BC209" s="49" t="s">
        <v>73</v>
      </c>
      <c r="BD209" s="49" t="s">
        <v>108</v>
      </c>
      <c r="BE209" s="49"/>
    </row>
    <row r="210" spans="1:186" ht="34.5" customHeight="1">
      <c r="A210" s="99" t="s">
        <v>1415</v>
      </c>
      <c r="B210" s="50" t="str">
        <f>LOWER(
  IF(
    RIGHT(
      SUBSTITUTE(SUBSTITUTE(SUBSTITUTE(SUBSTITUTE(SUBSTITUTE(SUBSTITUTE(SUBSTITUTE(C210,"(","_"),")","_"),"/","_"),":","_"),"-","_")," ","_"),"__","_"),
      1
    )="_",
    LEFT(
      SUBSTITUTE(SUBSTITUTE(SUBSTITUTE(SUBSTITUTE(SUBSTITUTE(SUBSTITUTE(SUBSTITUTE(C210,"(","_"),")","_"),"/","_"),":","_"),"-","_")," ","_"),"__","_"),
      LEN(
        SUBSTITUTE(SUBSTITUTE(SUBSTITUTE(SUBSTITUTE(SUBSTITUTE(SUBSTITUTE(SUBSTITUTE(C210,"(","_"),")","_"),"/","_"),":","_"),"-","_")," ","_"),"__","_")
      )-1
    ),
    SUBSTITUTE(SUBSTITUTE(SUBSTITUTE(SUBSTITUTE(SUBSTITUTE(SUBSTITUTE(SUBSTITUTE(C210,"(","_"),")","_"),"/","_"),":","_"),"-","_")," ","_"),"__","_")
  )
)</f>
        <v>isolate</v>
      </c>
      <c r="C210" s="48" t="s">
        <v>1416</v>
      </c>
      <c r="D210" s="50" t="s">
        <v>1417</v>
      </c>
      <c r="E210" s="49" t="s">
        <v>64</v>
      </c>
      <c r="F210" s="49" t="s">
        <v>795</v>
      </c>
      <c r="G210" s="49" t="s">
        <v>1418</v>
      </c>
      <c r="H210" s="49"/>
      <c r="I210" s="49" t="s">
        <v>1419</v>
      </c>
      <c r="J210" s="49"/>
      <c r="K210" s="49"/>
      <c r="L210" s="49"/>
      <c r="M210" s="49"/>
      <c r="N210" s="49" t="s">
        <v>1416</v>
      </c>
      <c r="O210" s="49"/>
      <c r="P210" s="49" t="s">
        <v>1419</v>
      </c>
      <c r="Q210" s="49" t="s">
        <v>1419</v>
      </c>
      <c r="R210" s="49"/>
      <c r="S210" s="49"/>
      <c r="T210" s="49"/>
      <c r="U210" s="49"/>
      <c r="V210" s="50" t="s">
        <v>125</v>
      </c>
      <c r="W210" s="50" t="s">
        <v>126</v>
      </c>
      <c r="X210" s="48" t="s">
        <v>68</v>
      </c>
      <c r="Y210" s="48" t="s">
        <v>323</v>
      </c>
      <c r="Z210" s="48"/>
      <c r="AA210" s="49" t="str">
        <f>"[" &amp; _xlfn.TEXTJOIN(", ", TRUE,
    IF(I210&lt;&gt;"", """" &amp; I$1 &amp; """", ""),
    IF(J210&lt;&gt;"", """" &amp; J$1 &amp; """", ""),
    IF(K210&lt;&gt;"", """" &amp; K$1 &amp; """", ""),
    IF(L210&lt;&gt;"", """" &amp; L$1 &amp; """", ""),
    IF(M210&lt;&gt;"", """" &amp; M$1 &amp; """", ""),    IF(N210&lt;&gt;"", """" &amp; N$1 &amp; """", ""),    IF(O210&lt;&gt;"", """" &amp; O$1 &amp; """", ""),     IF(P210&lt;&gt;"", """" &amp; P$1 &amp; """", ""),     IF(Q210&lt;&gt;"", """" &amp; Q$1 &amp; """", ""), IF(R210&lt;&gt;"", """" &amp; R$1 &amp; """", ""), IF(S210&lt;&gt;"", """" &amp; S$1 &amp; """", ""), IF(T210&lt;&gt;"", """" &amp; T$1 &amp; """", ""), IF(U210&lt;&gt;"", """" &amp; U$1 &amp; """", ""),
    IF(X210&lt;&gt;"", """" &amp; X210 &amp; """", ""), IF(V210&lt;&gt;"", """" &amp; V210 &amp; """", ""), IF(W210&lt;&gt;"", """" &amp; W210 &amp; """", ""),
    IF(Y210&lt;&gt;"", """" &amp; Y210 &amp; """", ""),
    IF(Z210&lt;&gt;"", """" &amp; Z210 &amp; """", "")
) &amp; "]"</f>
        <v>["ENA", "NCBI Virus", "ENA ERC32", "ENA ERC33", "Sample", "ENA Sample", "VJDB Sample", "Virus Info"]</v>
      </c>
      <c r="AB210" s="49" t="s">
        <v>8</v>
      </c>
      <c r="AC210" s="48" t="s">
        <v>1420</v>
      </c>
      <c r="AD210" s="49"/>
      <c r="AE210" s="49" t="s">
        <v>82</v>
      </c>
      <c r="AF210" s="49" t="s">
        <v>1416</v>
      </c>
      <c r="AG210" s="49" t="s">
        <v>1421</v>
      </c>
      <c r="AH210" s="49"/>
      <c r="AI210" s="49"/>
      <c r="AJ210" s="49"/>
      <c r="AK210" s="49"/>
      <c r="AL210" s="49"/>
      <c r="AM210" s="49"/>
      <c r="AN210" s="49"/>
      <c r="AO210" s="49"/>
      <c r="AP210" s="49"/>
      <c r="AQ210" s="49"/>
      <c r="AR210" s="49"/>
      <c r="AS210" s="49" t="s">
        <v>1422</v>
      </c>
      <c r="AT210" s="49"/>
      <c r="AU210" s="49" t="s">
        <v>151</v>
      </c>
      <c r="AV210" s="49" t="s">
        <v>130</v>
      </c>
      <c r="AW210" s="49" t="s">
        <v>130</v>
      </c>
      <c r="AX210" s="54"/>
      <c r="AY210" s="49" t="s">
        <v>131</v>
      </c>
      <c r="AZ210" s="48" t="s">
        <v>64</v>
      </c>
      <c r="BA210" s="48" t="s">
        <v>72</v>
      </c>
      <c r="BB210" s="49"/>
      <c r="BC210" s="49" t="s">
        <v>73</v>
      </c>
      <c r="BD210" s="49" t="s">
        <v>108</v>
      </c>
      <c r="BE210" s="49" t="s">
        <v>60</v>
      </c>
    </row>
    <row r="211" spans="1:186" s="82" customFormat="1" ht="73.5" customHeight="1">
      <c r="A211" s="103" t="s">
        <v>1423</v>
      </c>
      <c r="B211" s="50" t="str">
        <f>LOWER(
  IF(
    RIGHT(
      SUBSTITUTE(SUBSTITUTE(SUBSTITUTE(SUBSTITUTE(SUBSTITUTE(SUBSTITUTE(SUBSTITUTE(C211,"(","_"),")","_"),"/","_"),":","_"),"-","_")," ","_"),"__","_"),
      1
    )="_",
    LEFT(
      SUBSTITUTE(SUBSTITUTE(SUBSTITUTE(SUBSTITUTE(SUBSTITUTE(SUBSTITUTE(SUBSTITUTE(C211,"(","_"),")","_"),"/","_"),":","_"),"-","_")," ","_"),"__","_"),
      LEN(
        SUBSTITUTE(SUBSTITUTE(SUBSTITUTE(SUBSTITUTE(SUBSTITUTE(SUBSTITUTE(SUBSTITUTE(C211,"(","_"),")","_"),"/","_"),":","_"),"-","_")," ","_"),"__","_")
      )-1
    ),
    SUBSTITUTE(SUBSTITUTE(SUBSTITUTE(SUBSTITUTE(SUBSTITUTE(SUBSTITUTE(SUBSTITUTE(C211,"(","_"),")","_"),"/","_"),":","_"),"-","_")," ","_"),"__","_")
  )
)</f>
        <v>host_age</v>
      </c>
      <c r="C211" s="55" t="s">
        <v>929</v>
      </c>
      <c r="D211" s="87" t="s">
        <v>1424</v>
      </c>
      <c r="E211" s="55" t="s">
        <v>334</v>
      </c>
      <c r="F211" s="55" t="s">
        <v>795</v>
      </c>
      <c r="G211" s="55" t="s">
        <v>1425</v>
      </c>
      <c r="H211" s="55" t="s">
        <v>1425</v>
      </c>
      <c r="I211" s="55" t="s">
        <v>1426</v>
      </c>
      <c r="J211" s="55"/>
      <c r="K211" s="55"/>
      <c r="L211" s="55"/>
      <c r="M211" s="55"/>
      <c r="N211" s="55"/>
      <c r="O211" s="55" t="s">
        <v>929</v>
      </c>
      <c r="P211" s="55" t="s">
        <v>1426</v>
      </c>
      <c r="Q211" s="55" t="s">
        <v>1426</v>
      </c>
      <c r="R211" s="55"/>
      <c r="S211" s="55"/>
      <c r="T211" s="55"/>
      <c r="U211" s="55"/>
      <c r="V211" s="87" t="s">
        <v>125</v>
      </c>
      <c r="W211" s="87" t="s">
        <v>126</v>
      </c>
      <c r="X211" s="88" t="s">
        <v>137</v>
      </c>
      <c r="Y211" s="88" t="s">
        <v>195</v>
      </c>
      <c r="Z211" s="88"/>
      <c r="AA211" s="49" t="str">
        <f>"[" &amp; _xlfn.TEXTJOIN(", ", TRUE,
    IF(I211&lt;&gt;"", """" &amp; I$1 &amp; """", ""),
    IF(J211&lt;&gt;"", """" &amp; J$1 &amp; """", ""),
    IF(K211&lt;&gt;"", """" &amp; K$1 &amp; """", ""),
    IF(L211&lt;&gt;"", """" &amp; L$1 &amp; """", ""),
    IF(M211&lt;&gt;"", """" &amp; M$1 &amp; """", ""),    IF(N211&lt;&gt;"", """" &amp; N$1 &amp; """", ""),    IF(O211&lt;&gt;"", """" &amp; O$1 &amp; """", ""),     IF(P211&lt;&gt;"", """" &amp; P$1 &amp; """", ""),     IF(Q211&lt;&gt;"", """" &amp; Q$1 &amp; """", ""), IF(R211&lt;&gt;"", """" &amp; R$1 &amp; """", ""), IF(S211&lt;&gt;"", """" &amp; S$1 &amp; """", ""), IF(T211&lt;&gt;"", """" &amp; T$1 &amp; """", ""), IF(U211&lt;&gt;"", """" &amp; U$1 &amp; """", ""),
    IF(X211&lt;&gt;"", """" &amp; X211 &amp; """", ""), IF(V211&lt;&gt;"", """" &amp; V211 &amp; """", ""), IF(W211&lt;&gt;"", """" &amp; W211 &amp; """", ""),
    IF(Y211&lt;&gt;"", """" &amp; Y211 &amp; """", ""),
    IF(Z211&lt;&gt;"", """" &amp; Z211 &amp; """", "")
) &amp; "]"</f>
        <v>["ENA", "BV-BRC", "ENA ERC32", "ENA ERC33", "Host", "ENA Sample", "VJDB Sample", "Clinical"]</v>
      </c>
      <c r="AB211" s="55" t="s">
        <v>347</v>
      </c>
      <c r="AC211" s="89" t="s">
        <v>1427</v>
      </c>
      <c r="AD211" s="55"/>
      <c r="AE211" s="55"/>
      <c r="AF211" s="55"/>
      <c r="AG211" s="55"/>
      <c r="AH211" s="55"/>
      <c r="AI211" s="55"/>
      <c r="AJ211" s="55" t="s">
        <v>901</v>
      </c>
      <c r="AK211" s="55"/>
      <c r="AL211" s="55" t="s">
        <v>1425</v>
      </c>
      <c r="AM211" s="55" t="s">
        <v>351</v>
      </c>
      <c r="AN211" s="55"/>
      <c r="AO211" s="55"/>
      <c r="AP211" s="55" t="s">
        <v>1428</v>
      </c>
      <c r="AQ211" s="55"/>
      <c r="AR211" s="55"/>
      <c r="AS211" s="55" t="s">
        <v>1429</v>
      </c>
      <c r="AT211" s="55"/>
      <c r="AU211" s="55" t="s">
        <v>151</v>
      </c>
      <c r="AV211" s="55" t="s">
        <v>86</v>
      </c>
      <c r="AW211" s="55" t="s">
        <v>86</v>
      </c>
      <c r="AX211" s="90" t="s">
        <v>1430</v>
      </c>
      <c r="AY211" s="55" t="s">
        <v>131</v>
      </c>
      <c r="AZ211" s="89" t="s">
        <v>64</v>
      </c>
      <c r="BA211" s="89" t="s">
        <v>119</v>
      </c>
      <c r="BB211" s="55"/>
      <c r="BC211" s="55" t="s">
        <v>73</v>
      </c>
      <c r="BD211" s="55" t="s">
        <v>94</v>
      </c>
      <c r="BE211" s="55"/>
      <c r="BF211" s="71"/>
      <c r="BG211" s="71"/>
      <c r="BH211" s="71"/>
      <c r="BI211" s="71"/>
      <c r="BJ211" s="45"/>
      <c r="BK211" s="45"/>
      <c r="BL211" s="45"/>
      <c r="BM211" s="45"/>
      <c r="BN211" s="45"/>
      <c r="BO211" s="45"/>
      <c r="BP211" s="45"/>
      <c r="BQ211" s="45"/>
      <c r="BR211" s="45"/>
      <c r="BS211" s="45"/>
      <c r="BT211" s="45"/>
      <c r="BU211" s="45"/>
      <c r="BV211" s="45"/>
      <c r="BW211" s="45"/>
      <c r="BX211" s="45"/>
      <c r="BY211" s="45"/>
      <c r="BZ211" s="45"/>
      <c r="CA211" s="45"/>
      <c r="CB211" s="45"/>
      <c r="CC211" s="45"/>
      <c r="CD211" s="45"/>
      <c r="CE211" s="45"/>
      <c r="CF211" s="45"/>
      <c r="CG211" s="45"/>
      <c r="CH211" s="45"/>
      <c r="CI211" s="45"/>
      <c r="CJ211" s="45"/>
      <c r="CK211" s="45"/>
      <c r="CL211" s="45"/>
      <c r="CM211" s="45"/>
      <c r="CN211" s="45"/>
      <c r="CO211" s="45"/>
      <c r="CP211" s="45"/>
      <c r="CQ211" s="45"/>
      <c r="CR211" s="45"/>
      <c r="CS211" s="45"/>
      <c r="CT211" s="45"/>
      <c r="CU211" s="45"/>
      <c r="CV211" s="45"/>
      <c r="CW211" s="45"/>
      <c r="CX211" s="45"/>
      <c r="CY211" s="45"/>
      <c r="CZ211" s="45"/>
      <c r="DA211" s="45"/>
      <c r="DB211" s="45"/>
      <c r="DC211" s="45"/>
      <c r="DD211" s="45"/>
      <c r="DE211" s="45"/>
      <c r="DF211" s="45"/>
      <c r="DG211" s="45"/>
      <c r="DH211" s="45"/>
      <c r="DI211" s="45"/>
      <c r="DJ211" s="45"/>
      <c r="DK211" s="45"/>
      <c r="DL211" s="45"/>
      <c r="DM211" s="45"/>
      <c r="DN211" s="45"/>
      <c r="DO211" s="45"/>
      <c r="DP211" s="45"/>
      <c r="DQ211" s="45"/>
      <c r="DR211" s="45"/>
      <c r="DS211" s="45"/>
      <c r="DT211" s="45"/>
      <c r="DU211" s="45"/>
      <c r="DV211" s="45"/>
      <c r="DW211" s="45"/>
      <c r="DX211" s="45"/>
      <c r="DY211" s="45"/>
      <c r="DZ211" s="45"/>
      <c r="EA211" s="45"/>
      <c r="EB211" s="45"/>
      <c r="EC211" s="45"/>
      <c r="ED211" s="45"/>
      <c r="EE211" s="45"/>
      <c r="EF211" s="45"/>
      <c r="EG211" s="45"/>
      <c r="EH211" s="45"/>
      <c r="EI211" s="45"/>
      <c r="EJ211" s="45"/>
      <c r="EK211" s="45"/>
      <c r="EL211" s="45"/>
      <c r="EM211" s="45"/>
      <c r="EN211" s="45"/>
      <c r="EO211" s="45"/>
      <c r="EP211" s="45"/>
      <c r="EQ211" s="45"/>
      <c r="ER211" s="45"/>
      <c r="ES211" s="45"/>
      <c r="ET211" s="45"/>
      <c r="EU211" s="45"/>
      <c r="EV211" s="45"/>
      <c r="EW211" s="45"/>
      <c r="EX211" s="45"/>
      <c r="EY211" s="45"/>
      <c r="EZ211" s="45"/>
      <c r="FA211" s="45"/>
      <c r="FB211" s="45"/>
      <c r="FC211" s="45"/>
      <c r="FD211" s="45"/>
      <c r="FE211" s="45"/>
      <c r="FF211" s="45"/>
      <c r="FG211" s="45"/>
      <c r="FH211" s="45"/>
      <c r="FI211" s="45"/>
      <c r="FJ211" s="45"/>
      <c r="FK211" s="45"/>
      <c r="FL211" s="45"/>
      <c r="FM211" s="45"/>
      <c r="FN211" s="45"/>
      <c r="FO211" s="45"/>
      <c r="FP211" s="45"/>
      <c r="FQ211" s="45"/>
      <c r="FR211" s="45"/>
      <c r="FS211" s="45"/>
      <c r="FT211" s="45"/>
      <c r="FU211" s="45"/>
      <c r="FV211" s="45"/>
      <c r="FW211" s="45"/>
      <c r="FX211" s="45"/>
      <c r="FY211" s="45"/>
      <c r="FZ211" s="45"/>
      <c r="GA211" s="45"/>
      <c r="GB211" s="45"/>
      <c r="GC211" s="45"/>
      <c r="GD211" s="45"/>
    </row>
    <row r="212" spans="1:186" ht="34.5" customHeight="1">
      <c r="A212" s="99" t="s">
        <v>1431</v>
      </c>
      <c r="B212" s="50" t="str">
        <f>LOWER(
  IF(
    RIGHT(
      SUBSTITUTE(SUBSTITUTE(SUBSTITUTE(SUBSTITUTE(SUBSTITUTE(SUBSTITUTE(SUBSTITUTE(C212,"(","_"),")","_"),"/","_"),":","_"),"-","_")," ","_"),"__","_"),
      1
    )="_",
    LEFT(
      SUBSTITUTE(SUBSTITUTE(SUBSTITUTE(SUBSTITUTE(SUBSTITUTE(SUBSTITUTE(SUBSTITUTE(C212,"(","_"),")","_"),"/","_"),":","_"),"-","_")," ","_"),"__","_"),
      LEN(
        SUBSTITUTE(SUBSTITUTE(SUBSTITUTE(SUBSTITUTE(SUBSTITUTE(SUBSTITUTE(SUBSTITUTE(C212,"(","_"),")","_"),"/","_"),":","_"),"-","_")," ","_"),"__","_")
      )-1
    ),
    SUBSTITUTE(SUBSTITUTE(SUBSTITUTE(SUBSTITUTE(SUBSTITUTE(SUBSTITUTE(SUBSTITUTE(C212,"(","_"),")","_"),"/","_"),":","_"),"-","_")," ","_"),"__","_")
  )
)</f>
        <v>ncbi_lineage_ids</v>
      </c>
      <c r="C212" s="48" t="s">
        <v>1432</v>
      </c>
      <c r="D212" s="50" t="s">
        <v>1433</v>
      </c>
      <c r="E212" s="49" t="s">
        <v>334</v>
      </c>
      <c r="F212" s="49" t="s">
        <v>795</v>
      </c>
      <c r="G212" s="49"/>
      <c r="H212" s="49"/>
      <c r="I212" s="49"/>
      <c r="J212" s="49"/>
      <c r="K212" s="49"/>
      <c r="L212" s="49"/>
      <c r="M212" s="49"/>
      <c r="N212" s="49"/>
      <c r="O212" s="49" t="s">
        <v>1434</v>
      </c>
      <c r="P212" s="49"/>
      <c r="Q212" s="49"/>
      <c r="R212" s="49"/>
      <c r="S212" s="49"/>
      <c r="T212" s="49"/>
      <c r="U212" s="49"/>
      <c r="V212" s="50"/>
      <c r="W212" s="50"/>
      <c r="X212" s="48" t="s">
        <v>698</v>
      </c>
      <c r="Y212" s="48" t="s">
        <v>117</v>
      </c>
      <c r="Z212" s="48" t="s">
        <v>337</v>
      </c>
      <c r="AA212" s="49" t="str">
        <f>"[" &amp; _xlfn.TEXTJOIN(", ", TRUE,
    IF(I212&lt;&gt;"", """" &amp; I$1 &amp; """", ""),
    IF(J212&lt;&gt;"", """" &amp; J$1 &amp; """", ""),
    IF(K212&lt;&gt;"", """" &amp; K$1 &amp; """", ""),
    IF(L212&lt;&gt;"", """" &amp; L$1 &amp; """", ""),
    IF(M212&lt;&gt;"", """" &amp; M$1 &amp; """", ""),    IF(N212&lt;&gt;"", """" &amp; N$1 &amp; """", ""),    IF(O212&lt;&gt;"", """" &amp; O$1 &amp; """", ""),     IF(P212&lt;&gt;"", """" &amp; P$1 &amp; """", ""),     IF(Q212&lt;&gt;"", """" &amp; Q$1 &amp; """", ""), IF(R212&lt;&gt;"", """" &amp; R$1 &amp; """", ""), IF(S212&lt;&gt;"", """" &amp; S$1 &amp; """", ""), IF(T212&lt;&gt;"", """" &amp; T$1 &amp; """", ""), IF(U212&lt;&gt;"", """" &amp; U$1 &amp; """", ""),
    IF(X212&lt;&gt;"", """" &amp; X212 &amp; """", ""), IF(V212&lt;&gt;"", """" &amp; V212 &amp; """", ""), IF(W212&lt;&gt;"", """" &amp; W212 &amp; """", ""),
    IF(Y212&lt;&gt;"", """" &amp; Y212 &amp; """", ""),
    IF(Z212&lt;&gt;"", """" &amp; Z212 &amp; """", "")
) &amp; "]"</f>
        <v>["BV-BRC", "Taxonomy", "Identifiers", "NCBI Taxonomy"]</v>
      </c>
      <c r="AB212" s="49" t="s">
        <v>347</v>
      </c>
      <c r="AC212" s="48" t="s">
        <v>70</v>
      </c>
      <c r="AD212" s="49" t="s">
        <v>1435</v>
      </c>
      <c r="AE212" s="49"/>
      <c r="AF212" s="49"/>
      <c r="AG212" s="49"/>
      <c r="AH212" s="49"/>
      <c r="AI212" s="49"/>
      <c r="AJ212" s="49" t="s">
        <v>1216</v>
      </c>
      <c r="AK212" s="49" t="s">
        <v>698</v>
      </c>
      <c r="AL212" s="49" t="s">
        <v>1436</v>
      </c>
      <c r="AM212" s="49" t="s">
        <v>372</v>
      </c>
      <c r="AN212" s="49"/>
      <c r="AO212" s="49" t="s">
        <v>1437</v>
      </c>
      <c r="AP212" s="49"/>
      <c r="AQ212" s="49"/>
      <c r="AR212" s="49"/>
      <c r="AS212" s="49"/>
      <c r="AT212" s="49"/>
      <c r="AU212" s="49"/>
      <c r="AV212" s="49"/>
      <c r="AW212" s="49"/>
      <c r="AX212" s="54"/>
      <c r="AY212" s="49"/>
      <c r="AZ212" s="48" t="s">
        <v>64</v>
      </c>
      <c r="BA212" s="48" t="s">
        <v>72</v>
      </c>
      <c r="BB212" s="49"/>
      <c r="BC212" s="49" t="s">
        <v>73</v>
      </c>
      <c r="BD212" s="49" t="s">
        <v>108</v>
      </c>
      <c r="BE212" s="49"/>
    </row>
    <row r="213" spans="1:186" ht="34.5" customHeight="1">
      <c r="A213" s="99" t="s">
        <v>1438</v>
      </c>
      <c r="B213" s="50" t="str">
        <f>LOWER(
  IF(
    RIGHT(
      SUBSTITUTE(SUBSTITUTE(SUBSTITUTE(SUBSTITUTE(SUBSTITUTE(SUBSTITUTE(SUBSTITUTE(C213,"(","_"),")","_"),"/","_"),":","_"),"-","_")," ","_"),"__","_"),
      1
    )="_",
    LEFT(
      SUBSTITUTE(SUBSTITUTE(SUBSTITUTE(SUBSTITUTE(SUBSTITUTE(SUBSTITUTE(SUBSTITUTE(C213,"(","_"),")","_"),"/","_"),":","_"),"-","_")," ","_"),"__","_"),
      LEN(
        SUBSTITUTE(SUBSTITUTE(SUBSTITUTE(SUBSTITUTE(SUBSTITUTE(SUBSTITUTE(SUBSTITUTE(C213,"(","_"),")","_"),"/","_"),":","_"),"-","_")," ","_"),"__","_")
      )-1
    ),
    SUBSTITUTE(SUBSTITUTE(SUBSTITUTE(SUBSTITUTE(SUBSTITUTE(SUBSTITUTE(SUBSTITUTE(C213,"(","_"),")","_"),"/","_"),":","_"),"-","_")," ","_"),"__","_")
  )
)</f>
        <v>ncbi_lineage_names</v>
      </c>
      <c r="C213" s="49" t="s">
        <v>1439</v>
      </c>
      <c r="D213" s="50" t="s">
        <v>1440</v>
      </c>
      <c r="E213" s="49" t="s">
        <v>98</v>
      </c>
      <c r="F213" s="49" t="s">
        <v>795</v>
      </c>
      <c r="G213" s="49"/>
      <c r="H213" s="49"/>
      <c r="I213" s="49"/>
      <c r="J213" s="49"/>
      <c r="K213" s="49"/>
      <c r="L213" s="49"/>
      <c r="M213" s="49"/>
      <c r="N213" s="49"/>
      <c r="O213" s="49" t="s">
        <v>1441</v>
      </c>
      <c r="P213" s="49"/>
      <c r="Q213" s="49"/>
      <c r="R213" s="49"/>
      <c r="S213" s="49"/>
      <c r="T213" s="49"/>
      <c r="U213" s="49"/>
      <c r="V213" s="49"/>
      <c r="W213" s="49"/>
      <c r="X213" s="48" t="s">
        <v>698</v>
      </c>
      <c r="Y213" s="48" t="s">
        <v>323</v>
      </c>
      <c r="Z213" s="48" t="s">
        <v>337</v>
      </c>
      <c r="AA213" s="49" t="str">
        <f>"[" &amp; _xlfn.TEXTJOIN(", ", TRUE,
    IF(I213&lt;&gt;"", """" &amp; I$1 &amp; """", ""),
    IF(J213&lt;&gt;"", """" &amp; J$1 &amp; """", ""),
    IF(K213&lt;&gt;"", """" &amp; K$1 &amp; """", ""),
    IF(L213&lt;&gt;"", """" &amp; L$1 &amp; """", ""),
    IF(M213&lt;&gt;"", """" &amp; M$1 &amp; """", ""),    IF(N213&lt;&gt;"", """" &amp; N$1 &amp; """", ""),    IF(O213&lt;&gt;"", """" &amp; O$1 &amp; """", ""),     IF(P213&lt;&gt;"", """" &amp; P$1 &amp; """", ""),     IF(Q213&lt;&gt;"", """" &amp; Q$1 &amp; """", ""), IF(R213&lt;&gt;"", """" &amp; R$1 &amp; """", ""), IF(S213&lt;&gt;"", """" &amp; S$1 &amp; """", ""), IF(T213&lt;&gt;"", """" &amp; T$1 &amp; """", ""), IF(U213&lt;&gt;"", """" &amp; U$1 &amp; """", ""),
    IF(X213&lt;&gt;"", """" &amp; X213 &amp; """", ""), IF(V213&lt;&gt;"", """" &amp; V213 &amp; """", ""), IF(W213&lt;&gt;"", """" &amp; W213 &amp; """", ""),
    IF(Y213&lt;&gt;"", """" &amp; Y213 &amp; """", ""),
    IF(Z213&lt;&gt;"", """" &amp; Z213 &amp; """", "")
) &amp; "]"</f>
        <v>["BV-BRC", "Taxonomy", "Virus Info", "NCBI Taxonomy"]</v>
      </c>
      <c r="AB213" s="49" t="s">
        <v>347</v>
      </c>
      <c r="AC213" s="49" t="s">
        <v>70</v>
      </c>
      <c r="AD213" s="49"/>
      <c r="AE213" s="49"/>
      <c r="AF213" s="49"/>
      <c r="AG213" s="49"/>
      <c r="AH213" s="49"/>
      <c r="AI213" s="49" t="s">
        <v>1216</v>
      </c>
      <c r="AJ213" s="49" t="s">
        <v>698</v>
      </c>
      <c r="AK213" s="49" t="s">
        <v>1442</v>
      </c>
      <c r="AL213" s="49" t="s">
        <v>372</v>
      </c>
      <c r="AM213" s="49"/>
      <c r="AN213" s="49"/>
      <c r="AO213" s="49"/>
      <c r="AP213" s="49"/>
      <c r="AQ213" s="49"/>
      <c r="AR213" s="49"/>
      <c r="AS213" s="49"/>
      <c r="AT213" s="49"/>
      <c r="AU213" s="49"/>
      <c r="AV213" s="49"/>
      <c r="AW213" s="49"/>
      <c r="AX213" s="54"/>
      <c r="AY213" s="49"/>
      <c r="AZ213" s="49"/>
      <c r="BA213" s="49"/>
      <c r="BB213" s="49"/>
      <c r="BC213" s="49" t="s">
        <v>73</v>
      </c>
      <c r="BD213" s="49" t="s">
        <v>108</v>
      </c>
      <c r="BE213" s="49"/>
    </row>
    <row r="214" spans="1:186" ht="34.5" customHeight="1">
      <c r="A214" s="99" t="s">
        <v>1443</v>
      </c>
      <c r="B214" s="50" t="str">
        <f>LOWER(
  IF(
    RIGHT(
      SUBSTITUTE(SUBSTITUTE(SUBSTITUTE(SUBSTITUTE(SUBSTITUTE(SUBSTITUTE(SUBSTITUTE(C214,"(","_"),")","_"),"/","_"),":","_"),"-","_")," ","_"),"__","_"),
      1
    )="_",
    LEFT(
      SUBSTITUTE(SUBSTITUTE(SUBSTITUTE(SUBSTITUTE(SUBSTITUTE(SUBSTITUTE(SUBSTITUTE(C214,"(","_"),")","_"),"/","_"),":","_"),"-","_")," ","_"),"__","_"),
      LEN(
        SUBSTITUTE(SUBSTITUTE(SUBSTITUTE(SUBSTITUTE(SUBSTITUTE(SUBSTITUTE(SUBSTITUTE(C214,"(","_"),")","_"),"/","_"),":","_"),"-","_")," ","_"),"__","_")
      )-1
    ),
    SUBSTITUTE(SUBSTITUTE(SUBSTITUTE(SUBSTITUTE(SUBSTITUTE(SUBSTITUTE(SUBSTITUTE(C214,"(","_"),")","_"),"/","_"),":","_"),"-","_")," ","_"),"__","_")
  )
)</f>
        <v>ictv_lineage_names</v>
      </c>
      <c r="C214" s="49" t="s">
        <v>1444</v>
      </c>
      <c r="D214" s="50" t="s">
        <v>1445</v>
      </c>
      <c r="E214" s="49" t="s">
        <v>98</v>
      </c>
      <c r="F214" s="49" t="s">
        <v>795</v>
      </c>
      <c r="G214" s="49"/>
      <c r="H214" s="49"/>
      <c r="I214" s="49"/>
      <c r="J214" s="49"/>
      <c r="K214" s="49"/>
      <c r="L214" s="49"/>
      <c r="M214" s="49"/>
      <c r="N214" s="49"/>
      <c r="O214" s="49"/>
      <c r="P214" s="49"/>
      <c r="Q214" s="49"/>
      <c r="R214" s="49"/>
      <c r="S214" s="49"/>
      <c r="T214" s="49"/>
      <c r="U214" s="49"/>
      <c r="V214" s="49"/>
      <c r="W214" s="49"/>
      <c r="X214" s="48" t="s">
        <v>698</v>
      </c>
      <c r="Y214" s="48" t="s">
        <v>323</v>
      </c>
      <c r="Z214" s="48" t="s">
        <v>324</v>
      </c>
      <c r="AA214" s="49" t="str">
        <f>"[" &amp; _xlfn.TEXTJOIN(", ", TRUE,
    IF(I214&lt;&gt;"", """" &amp; I$1 &amp; """", ""),
    IF(J214&lt;&gt;"", """" &amp; J$1 &amp; """", ""),
    IF(K214&lt;&gt;"", """" &amp; K$1 &amp; """", ""),
    IF(L214&lt;&gt;"", """" &amp; L$1 &amp; """", ""),
    IF(M214&lt;&gt;"", """" &amp; M$1 &amp; """", ""),    IF(N214&lt;&gt;"", """" &amp; N$1 &amp; """", ""),    IF(O214&lt;&gt;"", """" &amp; O$1 &amp; """", ""),     IF(P214&lt;&gt;"", """" &amp; P$1 &amp; """", ""),     IF(Q214&lt;&gt;"", """" &amp; Q$1 &amp; """", ""), IF(R214&lt;&gt;"", """" &amp; R$1 &amp; """", ""), IF(S214&lt;&gt;"", """" &amp; S$1 &amp; """", ""), IF(T214&lt;&gt;"", """" &amp; T$1 &amp; """", ""), IF(U214&lt;&gt;"", """" &amp; U$1 &amp; """", ""),
    IF(X214&lt;&gt;"", """" &amp; X214 &amp; """", ""), IF(V214&lt;&gt;"", """" &amp; V214 &amp; """", ""), IF(W214&lt;&gt;"", """" &amp; W214 &amp; """", ""),
    IF(Y214&lt;&gt;"", """" &amp; Y214 &amp; """", ""),
    IF(Z214&lt;&gt;"", """" &amp; Z214 &amp; """", "")
) &amp; "]"</f>
        <v>["Taxonomy", "Virus Info", "ICTV Taxonomy"]</v>
      </c>
      <c r="AB214" s="49" t="s">
        <v>18</v>
      </c>
      <c r="AC214" s="49" t="s">
        <v>70</v>
      </c>
      <c r="AD214" s="49"/>
      <c r="AE214" s="49"/>
      <c r="AF214" s="49"/>
      <c r="AG214" s="49"/>
      <c r="AH214" s="49"/>
      <c r="AI214" s="49"/>
      <c r="AJ214" s="49"/>
      <c r="AK214" s="49"/>
      <c r="AL214" s="49"/>
      <c r="AM214" s="49"/>
      <c r="AN214" s="49"/>
      <c r="AO214" s="49"/>
      <c r="AP214" s="49"/>
      <c r="AQ214" s="49"/>
      <c r="AR214" s="49"/>
      <c r="AS214" s="49"/>
      <c r="AT214" s="49"/>
      <c r="AU214" s="49"/>
      <c r="AV214" s="49"/>
      <c r="AW214" s="49"/>
      <c r="AX214" s="54"/>
      <c r="AY214" s="49"/>
      <c r="AZ214" s="49"/>
      <c r="BA214" s="49"/>
      <c r="BB214" s="49"/>
      <c r="BC214" s="49" t="s">
        <v>73</v>
      </c>
      <c r="BD214" s="49" t="s">
        <v>108</v>
      </c>
      <c r="BE214" s="49"/>
    </row>
    <row r="215" spans="1:186" ht="34.5" customHeight="1">
      <c r="A215" s="99" t="s">
        <v>1446</v>
      </c>
      <c r="B215" s="50" t="str">
        <f>LOWER(
  IF(
    RIGHT(
      SUBSTITUTE(SUBSTITUTE(SUBSTITUTE(SUBSTITUTE(SUBSTITUTE(SUBSTITUTE(SUBSTITUTE(C215,"(","_"),")","_"),"/","_"),":","_"),"-","_")," ","_"),"__","_"),
      1
    )="_",
    LEFT(
      SUBSTITUTE(SUBSTITUTE(SUBSTITUTE(SUBSTITUTE(SUBSTITUTE(SUBSTITUTE(SUBSTITUTE(C215,"(","_"),")","_"),"/","_"),":","_"),"-","_")," ","_"),"__","_"),
      LEN(
        SUBSTITUTE(SUBSTITUTE(SUBSTITUTE(SUBSTITUTE(SUBSTITUTE(SUBSTITUTE(SUBSTITUTE(C215,"(","_"),")","_"),"/","_"),":","_"),"-","_")," ","_"),"__","_")
      )-1
    ),
    SUBSTITUTE(SUBSTITUTE(SUBSTITUTE(SUBSTITUTE(SUBSTITUTE(SUBSTITUTE(SUBSTITUTE(C215,"(","_"),")","_"),"/","_"),":","_"),"-","_")," ","_"),"__","_")
  )
)</f>
        <v>ictv_exemplar</v>
      </c>
      <c r="C215" s="49" t="s">
        <v>1447</v>
      </c>
      <c r="D215" s="50" t="s">
        <v>1448</v>
      </c>
      <c r="E215" s="49" t="s">
        <v>735</v>
      </c>
      <c r="F215" s="49" t="s">
        <v>795</v>
      </c>
      <c r="G215" s="49"/>
      <c r="H215" s="49"/>
      <c r="I215" s="49"/>
      <c r="J215" s="49"/>
      <c r="K215" s="49"/>
      <c r="L215" s="49"/>
      <c r="M215" s="49"/>
      <c r="N215" s="49"/>
      <c r="O215" s="49"/>
      <c r="P215" s="49"/>
      <c r="Q215" s="49"/>
      <c r="R215" s="49"/>
      <c r="S215" s="49"/>
      <c r="T215" s="49"/>
      <c r="U215" s="49"/>
      <c r="V215" s="49"/>
      <c r="W215" s="49"/>
      <c r="X215" s="48" t="s">
        <v>736</v>
      </c>
      <c r="Y215" s="48" t="s">
        <v>737</v>
      </c>
      <c r="Z215" s="48"/>
      <c r="AA215" s="49" t="str">
        <f>"[" &amp; _xlfn.TEXTJOIN(", ", TRUE,
    IF(I215&lt;&gt;"", """" &amp; I$1 &amp; """", ""),
    IF(J215&lt;&gt;"", """" &amp; J$1 &amp; """", ""),
    IF(K215&lt;&gt;"", """" &amp; K$1 &amp; """", ""),
    IF(L215&lt;&gt;"", """" &amp; L$1 &amp; """", ""),
    IF(M215&lt;&gt;"", """" &amp; M$1 &amp; """", ""),    IF(N215&lt;&gt;"", """" &amp; N$1 &amp; """", ""),    IF(O215&lt;&gt;"", """" &amp; O$1 &amp; """", ""),     IF(P215&lt;&gt;"", """" &amp; P$1 &amp; """", ""),     IF(Q215&lt;&gt;"", """" &amp; Q$1 &amp; """", ""), IF(R215&lt;&gt;"", """" &amp; R$1 &amp; """", ""), IF(S215&lt;&gt;"", """" &amp; S$1 &amp; """", ""), IF(T215&lt;&gt;"", """" &amp; T$1 &amp; """", ""), IF(U215&lt;&gt;"", """" &amp; U$1 &amp; """", ""),
    IF(X215&lt;&gt;"", """" &amp; X215 &amp; """", ""), IF(V215&lt;&gt;"", """" &amp; V215 &amp; """", ""), IF(W215&lt;&gt;"", """" &amp; W215 &amp; """", ""),
    IF(Y215&lt;&gt;"", """" &amp; Y215 &amp; """", ""),
    IF(Z215&lt;&gt;"", """" &amp; Z215 &amp; """", "")
) &amp; "]"</f>
        <v>["Source", "Flags"]</v>
      </c>
      <c r="AB215" s="49" t="s">
        <v>325</v>
      </c>
      <c r="AC215" s="49" t="s">
        <v>70</v>
      </c>
      <c r="AD215" s="49"/>
      <c r="AE215" s="49"/>
      <c r="AF215" s="49"/>
      <c r="AG215" s="49"/>
      <c r="AH215" s="49"/>
      <c r="AI215" s="49"/>
      <c r="AJ215" s="49"/>
      <c r="AK215" s="49"/>
      <c r="AL215" s="49"/>
      <c r="AM215" s="49"/>
      <c r="AN215" s="49"/>
      <c r="AO215" s="49"/>
      <c r="AP215" s="49"/>
      <c r="AQ215" s="49"/>
      <c r="AR215" s="49"/>
      <c r="AS215" s="49"/>
      <c r="AT215" s="49"/>
      <c r="AU215" s="49"/>
      <c r="AV215" s="49"/>
      <c r="AW215" s="49"/>
      <c r="AX215" s="54"/>
      <c r="AY215" s="49"/>
      <c r="AZ215" s="49"/>
      <c r="BA215" s="49"/>
      <c r="BB215" s="49"/>
      <c r="BC215" s="49" t="s">
        <v>73</v>
      </c>
      <c r="BD215" s="49" t="s">
        <v>108</v>
      </c>
      <c r="BE215" s="49"/>
      <c r="GD215" s="82"/>
    </row>
    <row r="216" spans="1:186" ht="34.5" customHeight="1">
      <c r="A216" s="99" t="s">
        <v>1449</v>
      </c>
      <c r="B216" s="50" t="str">
        <f>LOWER(
  IF(
    RIGHT(
      SUBSTITUTE(SUBSTITUTE(SUBSTITUTE(SUBSTITUTE(SUBSTITUTE(SUBSTITUTE(SUBSTITUTE(C216,"(","_"),")","_"),"/","_"),":","_"),"-","_")," ","_"),"__","_"),
      1
    )="_",
    LEFT(
      SUBSTITUTE(SUBSTITUTE(SUBSTITUTE(SUBSTITUTE(SUBSTITUTE(SUBSTITUTE(SUBSTITUTE(C216,"(","_"),")","_"),"/","_"),":","_"),"-","_")," ","_"),"__","_"),
      LEN(
        SUBSTITUTE(SUBSTITUTE(SUBSTITUTE(SUBSTITUTE(SUBSTITUTE(SUBSTITUTE(SUBSTITUTE(C216,"(","_"),")","_"),"/","_"),":","_"),"-","_")," ","_"),"__","_")
      )-1
    ),
    SUBSTITUTE(SUBSTITUTE(SUBSTITUTE(SUBSTITUTE(SUBSTITUTE(SUBSTITUTE(SUBSTITUTE(C216,"(","_"),")","_"),"/","_"),":","_"),"-","_")," ","_"),"__","_")
  )
)</f>
        <v>ictv_host_group</v>
      </c>
      <c r="C216" s="49" t="s">
        <v>1450</v>
      </c>
      <c r="D216" s="50" t="s">
        <v>1451</v>
      </c>
      <c r="E216" s="49" t="s">
        <v>64</v>
      </c>
      <c r="F216" s="49" t="s">
        <v>795</v>
      </c>
      <c r="G216" s="49"/>
      <c r="H216" s="49"/>
      <c r="I216" s="49"/>
      <c r="J216" s="49"/>
      <c r="K216" s="49"/>
      <c r="L216" s="49"/>
      <c r="M216" s="49"/>
      <c r="N216" s="49"/>
      <c r="O216" s="49"/>
      <c r="P216" s="49"/>
      <c r="Q216" s="49"/>
      <c r="R216" s="49"/>
      <c r="S216" s="49"/>
      <c r="T216" s="49"/>
      <c r="U216" s="49"/>
      <c r="V216" s="49"/>
      <c r="W216" s="49"/>
      <c r="X216" s="48" t="s">
        <v>137</v>
      </c>
      <c r="Y216" s="48" t="s">
        <v>901</v>
      </c>
      <c r="Z216" s="48"/>
      <c r="AA216" s="49" t="str">
        <f>"[" &amp; _xlfn.TEXTJOIN(", ", TRUE,
    IF(I216&lt;&gt;"", """" &amp; I$1 &amp; """", ""),
    IF(J216&lt;&gt;"", """" &amp; J$1 &amp; """", ""),
    IF(K216&lt;&gt;"", """" &amp; K$1 &amp; """", ""),
    IF(L216&lt;&gt;"", """" &amp; L$1 &amp; """", ""),
    IF(M216&lt;&gt;"", """" &amp; M$1 &amp; """", ""),    IF(N216&lt;&gt;"", """" &amp; N$1 &amp; """", ""),    IF(O216&lt;&gt;"", """" &amp; O$1 &amp; """", ""),     IF(P216&lt;&gt;"", """" &amp; P$1 &amp; """", ""),     IF(Q216&lt;&gt;"", """" &amp; Q$1 &amp; """", ""), IF(R216&lt;&gt;"", """" &amp; R$1 &amp; """", ""), IF(S216&lt;&gt;"", """" &amp; S$1 &amp; """", ""), IF(T216&lt;&gt;"", """" &amp; T$1 &amp; """", ""), IF(U216&lt;&gt;"", """" &amp; U$1 &amp; """", ""),
    IF(X216&lt;&gt;"", """" &amp; X216 &amp; """", ""), IF(V216&lt;&gt;"", """" &amp; V216 &amp; """", ""), IF(W216&lt;&gt;"", """" &amp; W216 &amp; """", ""),
    IF(Y216&lt;&gt;"", """" &amp; Y216 &amp; """", ""),
    IF(Z216&lt;&gt;"", """" &amp; Z216 &amp; """", "")
) &amp; "]"</f>
        <v>["Host", "Host Info"]</v>
      </c>
      <c r="AB216" s="49" t="s">
        <v>325</v>
      </c>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54"/>
      <c r="AY216" s="49"/>
      <c r="AZ216" s="49"/>
      <c r="BA216" s="49"/>
      <c r="BB216" s="49" t="s">
        <v>1452</v>
      </c>
      <c r="BC216" s="49" t="s">
        <v>73</v>
      </c>
      <c r="BD216" s="49" t="s">
        <v>142</v>
      </c>
      <c r="BE216" s="49" t="s">
        <v>60</v>
      </c>
    </row>
    <row r="217" spans="1:186" ht="34.5" customHeight="1">
      <c r="A217" s="103" t="s">
        <v>1453</v>
      </c>
      <c r="B217" s="50" t="str">
        <f>LOWER(
  IF(
    RIGHT(
      SUBSTITUTE(SUBSTITUTE(SUBSTITUTE(SUBSTITUTE(SUBSTITUTE(SUBSTITUTE(SUBSTITUTE(C217,"(","_"),")","_"),"/","_"),":","_"),"-","_")," ","_"),"__","_"),
      1
    )="_",
    LEFT(
      SUBSTITUTE(SUBSTITUTE(SUBSTITUTE(SUBSTITUTE(SUBSTITUTE(SUBSTITUTE(SUBSTITUTE(C217,"(","_"),")","_"),"/","_"),":","_"),"-","_")," ","_"),"__","_"),
      LEN(
        SUBSTITUTE(SUBSTITUTE(SUBSTITUTE(SUBSTITUTE(SUBSTITUTE(SUBSTITUTE(SUBSTITUTE(C217,"(","_"),")","_"),"/","_"),":","_"),"-","_")," ","_"),"__","_")
      )-1
    ),
    SUBSTITUTE(SUBSTITUTE(SUBSTITUTE(SUBSTITUTE(SUBSTITUTE(SUBSTITUTE(SUBSTITUTE(C217,"(","_"),")","_"),"/","_"),":","_"),"-","_")," ","_"),"__","_")
  )
)</f>
        <v>bv_brc_host_age</v>
      </c>
      <c r="C217" s="55" t="s">
        <v>1454</v>
      </c>
      <c r="D217" s="87" t="s">
        <v>1455</v>
      </c>
      <c r="E217" s="49" t="s">
        <v>98</v>
      </c>
      <c r="F217" s="55" t="s">
        <v>795</v>
      </c>
      <c r="G217" s="55"/>
      <c r="H217" s="55"/>
      <c r="I217" s="55"/>
      <c r="J217" s="55"/>
      <c r="K217" s="55"/>
      <c r="L217" s="55"/>
      <c r="M217" s="55"/>
      <c r="N217" s="55"/>
      <c r="O217" s="55" t="s">
        <v>929</v>
      </c>
      <c r="P217" s="55"/>
      <c r="Q217" s="55"/>
      <c r="R217" s="55"/>
      <c r="S217" s="55"/>
      <c r="T217" s="55"/>
      <c r="U217" s="55"/>
      <c r="V217" s="55"/>
      <c r="W217" s="55"/>
      <c r="X217" s="48" t="s">
        <v>137</v>
      </c>
      <c r="Y217" s="48" t="s">
        <v>195</v>
      </c>
      <c r="Z217" s="48"/>
      <c r="AA217" s="49" t="str">
        <f>"[" &amp; _xlfn.TEXTJOIN(", ", TRUE,
    IF(I217&lt;&gt;"", """" &amp; I$1 &amp; """", ""),
    IF(J217&lt;&gt;"", """" &amp; J$1 &amp; """", ""),
    IF(K217&lt;&gt;"", """" &amp; K$1 &amp; """", ""),
    IF(L217&lt;&gt;"", """" &amp; L$1 &amp; """", ""),
    IF(M217&lt;&gt;"", """" &amp; M$1 &amp; """", ""),    IF(N217&lt;&gt;"", """" &amp; N$1 &amp; """", ""),    IF(O217&lt;&gt;"", """" &amp; O$1 &amp; """", ""),     IF(P217&lt;&gt;"", """" &amp; P$1 &amp; """", ""),     IF(Q217&lt;&gt;"", """" &amp; Q$1 &amp; """", ""), IF(R217&lt;&gt;"", """" &amp; R$1 &amp; """", ""), IF(S217&lt;&gt;"", """" &amp; S$1 &amp; """", ""), IF(T217&lt;&gt;"", """" &amp; T$1 &amp; """", ""), IF(U217&lt;&gt;"", """" &amp; U$1 &amp; """", ""),
    IF(X217&lt;&gt;"", """" &amp; X217 &amp; """", ""), IF(V217&lt;&gt;"", """" &amp; V217 &amp; """", ""), IF(W217&lt;&gt;"", """" &amp; W217 &amp; """", ""),
    IF(Y217&lt;&gt;"", """" &amp; Y217 &amp; """", ""),
    IF(Z217&lt;&gt;"", """" &amp; Z217 &amp; """", "")
) &amp; "]"</f>
        <v>["BV-BRC", "Host", "Clinical"]</v>
      </c>
      <c r="AB217" s="55" t="s">
        <v>347</v>
      </c>
      <c r="AC217" s="55" t="s">
        <v>1456</v>
      </c>
      <c r="AD217" s="55"/>
      <c r="AE217" s="55"/>
      <c r="AF217" s="55"/>
      <c r="AG217" s="55"/>
      <c r="AH217" s="55"/>
      <c r="AI217" s="55"/>
      <c r="AJ217" s="55" t="s">
        <v>901</v>
      </c>
      <c r="AK217" s="55"/>
      <c r="AL217" s="55" t="s">
        <v>1425</v>
      </c>
      <c r="AM217" s="55" t="s">
        <v>351</v>
      </c>
      <c r="AN217" s="55"/>
      <c r="AO217" s="55"/>
      <c r="AP217" s="55"/>
      <c r="AQ217" s="55"/>
      <c r="AR217" s="55"/>
      <c r="AS217" s="55"/>
      <c r="AT217" s="55"/>
      <c r="AU217" s="55"/>
      <c r="AV217" s="55"/>
      <c r="AW217" s="55"/>
      <c r="AX217" s="90"/>
      <c r="AY217" s="55"/>
      <c r="AZ217" s="55"/>
      <c r="BA217" s="55"/>
      <c r="BB217" s="55"/>
      <c r="BC217" s="55" t="s">
        <v>73</v>
      </c>
      <c r="BD217" s="55" t="s">
        <v>94</v>
      </c>
      <c r="BE217" s="55"/>
      <c r="BF217" s="71"/>
      <c r="BG217" s="71"/>
      <c r="BH217" s="71"/>
      <c r="BI217" s="71"/>
      <c r="BJ217" s="71"/>
      <c r="BK217" s="71"/>
      <c r="BL217" s="71"/>
      <c r="BM217" s="71"/>
      <c r="BN217" s="71"/>
      <c r="BO217" s="71"/>
      <c r="BP217" s="71"/>
      <c r="BQ217" s="71"/>
      <c r="BR217" s="71"/>
      <c r="BS217" s="71"/>
      <c r="BT217" s="71"/>
      <c r="BU217" s="71"/>
      <c r="BV217" s="71"/>
      <c r="BW217" s="71"/>
      <c r="BX217" s="71"/>
      <c r="BY217" s="71"/>
      <c r="BZ217" s="71"/>
      <c r="CA217" s="71"/>
      <c r="CB217" s="71"/>
      <c r="CC217" s="71"/>
      <c r="CD217" s="71"/>
      <c r="CE217" s="71"/>
      <c r="CF217" s="71"/>
      <c r="CG217" s="71"/>
      <c r="CH217" s="71"/>
      <c r="CI217" s="71"/>
      <c r="CJ217" s="71"/>
      <c r="CK217" s="71"/>
      <c r="CL217" s="71"/>
      <c r="CM217" s="71"/>
      <c r="CN217" s="71"/>
      <c r="CO217" s="71"/>
      <c r="CP217" s="71"/>
      <c r="CQ217" s="71"/>
      <c r="CR217" s="71"/>
      <c r="CS217" s="71"/>
      <c r="CT217" s="71"/>
      <c r="CU217" s="71"/>
      <c r="CV217" s="71"/>
      <c r="CW217" s="71"/>
      <c r="CX217" s="71"/>
      <c r="CY217" s="71"/>
      <c r="CZ217" s="71"/>
      <c r="DA217" s="71"/>
      <c r="DB217" s="71"/>
      <c r="DC217" s="71"/>
      <c r="DD217" s="71"/>
      <c r="DE217" s="71"/>
      <c r="DF217" s="71"/>
      <c r="DG217" s="71"/>
      <c r="DH217" s="71"/>
      <c r="DI217" s="71"/>
      <c r="DJ217" s="71"/>
      <c r="DK217" s="71"/>
      <c r="DL217" s="71"/>
      <c r="DM217" s="71"/>
      <c r="DN217" s="71"/>
      <c r="DO217" s="71"/>
      <c r="DP217" s="71"/>
      <c r="DQ217" s="71"/>
      <c r="DR217" s="71"/>
      <c r="DS217" s="71"/>
      <c r="DT217" s="71"/>
      <c r="DU217" s="71"/>
      <c r="DV217" s="71"/>
      <c r="DW217" s="71"/>
      <c r="DX217" s="71"/>
      <c r="DY217" s="71"/>
      <c r="DZ217" s="71"/>
      <c r="EA217" s="71"/>
      <c r="EB217" s="71"/>
      <c r="EC217" s="71"/>
      <c r="ED217" s="71"/>
      <c r="EE217" s="71"/>
      <c r="EF217" s="71"/>
      <c r="EG217" s="71"/>
      <c r="EH217" s="71"/>
      <c r="EI217" s="71"/>
      <c r="EJ217" s="71"/>
      <c r="EK217" s="71"/>
      <c r="EL217" s="71"/>
      <c r="EM217" s="71"/>
      <c r="EN217" s="71"/>
      <c r="EO217" s="71"/>
      <c r="EP217" s="71"/>
      <c r="EQ217" s="71"/>
      <c r="ER217" s="71"/>
      <c r="ES217" s="71"/>
      <c r="ET217" s="71"/>
      <c r="EU217" s="71"/>
      <c r="EV217" s="71"/>
      <c r="EW217" s="71"/>
      <c r="EX217" s="71"/>
      <c r="EY217" s="71"/>
      <c r="EZ217" s="71"/>
      <c r="FA217" s="71"/>
      <c r="FB217" s="71"/>
      <c r="FC217" s="71"/>
      <c r="FD217" s="71"/>
      <c r="FE217" s="71"/>
      <c r="FF217" s="71"/>
      <c r="FG217" s="71"/>
      <c r="FH217" s="71"/>
      <c r="FI217" s="71"/>
      <c r="FJ217" s="71"/>
      <c r="FK217" s="71"/>
      <c r="FL217" s="71"/>
      <c r="FM217" s="71"/>
      <c r="FN217" s="71"/>
      <c r="FO217" s="71"/>
      <c r="FP217" s="71"/>
      <c r="FQ217" s="71"/>
      <c r="FR217" s="71"/>
      <c r="FS217" s="71"/>
      <c r="FT217" s="71"/>
      <c r="FU217" s="71"/>
      <c r="FV217" s="71"/>
      <c r="FW217" s="71"/>
      <c r="FX217" s="71"/>
      <c r="FY217" s="71"/>
      <c r="FZ217" s="71"/>
      <c r="GA217" s="71"/>
      <c r="GB217" s="71"/>
      <c r="GC217" s="71"/>
    </row>
    <row r="218" spans="1:186" ht="34.5" customHeight="1">
      <c r="A218" s="99" t="s">
        <v>1457</v>
      </c>
      <c r="B218" s="50" t="str">
        <f>LOWER(
  IF(
    RIGHT(
      SUBSTITUTE(SUBSTITUTE(SUBSTITUTE(SUBSTITUTE(SUBSTITUTE(SUBSTITUTE(SUBSTITUTE(C218,"(","_"),")","_"),"/","_"),":","_"),"-","_")," ","_"),"__","_"),
      1
    )="_",
    LEFT(
      SUBSTITUTE(SUBSTITUTE(SUBSTITUTE(SUBSTITUTE(SUBSTITUTE(SUBSTITUTE(SUBSTITUTE(C218,"(","_"),")","_"),"/","_"),":","_"),"-","_")," ","_"),"__","_"),
      LEN(
        SUBSTITUTE(SUBSTITUTE(SUBSTITUTE(SUBSTITUTE(SUBSTITUTE(SUBSTITUTE(SUBSTITUTE(C218,"(","_"),")","_"),"/","_"),":","_"),"-","_")," ","_"),"__","_")
      )-1
    ),
    SUBSTITUTE(SUBSTITUTE(SUBSTITUTE(SUBSTITUTE(SUBSTITUTE(SUBSTITUTE(SUBSTITUTE(C218,"(","_"),")","_"),"/","_"),":","_"),"-","_")," ","_"),"__","_")
  )
)</f>
        <v>host_gtdb_species_name</v>
      </c>
      <c r="C218" s="49" t="s">
        <v>1458</v>
      </c>
      <c r="D218" s="91" t="s">
        <v>1459</v>
      </c>
      <c r="E218" s="49" t="s">
        <v>64</v>
      </c>
      <c r="F218" s="73" t="s">
        <v>795</v>
      </c>
      <c r="G218" s="49"/>
      <c r="H218" s="49"/>
      <c r="I218" s="49"/>
      <c r="J218" s="49"/>
      <c r="K218" s="49"/>
      <c r="L218" s="49"/>
      <c r="M218" s="49"/>
      <c r="N218" s="49"/>
      <c r="O218" s="49"/>
      <c r="P218" s="49"/>
      <c r="Q218" s="49"/>
      <c r="R218" s="73" t="s">
        <v>1460</v>
      </c>
      <c r="S218" s="73" t="s">
        <v>1460</v>
      </c>
      <c r="T218" s="73" t="s">
        <v>1460</v>
      </c>
      <c r="U218" s="73" t="s">
        <v>1461</v>
      </c>
      <c r="V218" s="49"/>
      <c r="W218" s="49"/>
      <c r="X218" s="48" t="s">
        <v>137</v>
      </c>
      <c r="Y218" s="48" t="s">
        <v>1045</v>
      </c>
      <c r="Z218" s="48" t="s">
        <v>1462</v>
      </c>
      <c r="AA218" s="49" t="str">
        <f>"[" &amp; _xlfn.TEXTJOIN(", ", TRUE,
    IF(I218&lt;&gt;"", """" &amp; I$1 &amp; """", ""),
    IF(J218&lt;&gt;"", """" &amp; J$1 &amp; """", ""),
    IF(K218&lt;&gt;"", """" &amp; K$1 &amp; """", ""),
    IF(L218&lt;&gt;"", """" &amp; L$1 &amp; """", ""),
    IF(M218&lt;&gt;"", """" &amp; M$1 &amp; """", ""),    IF(N218&lt;&gt;"", """" &amp; N$1 &amp; """", ""),    IF(O218&lt;&gt;"", """" &amp; O$1 &amp; """", ""),     IF(P218&lt;&gt;"", """" &amp; P$1 &amp; """", ""),     IF(Q218&lt;&gt;"", """" &amp; Q$1 &amp; """", ""), IF(R218&lt;&gt;"", """" &amp; R$1 &amp; """", ""), IF(S218&lt;&gt;"", """" &amp; S$1 &amp; """", ""), IF(T218&lt;&gt;"", """" &amp; T$1 &amp; """", ""), IF(U218&lt;&gt;"", """" &amp; U$1 &amp; """", ""),
    IF(X218&lt;&gt;"", """" &amp; X218 &amp; """", ""), IF(V218&lt;&gt;"", """" &amp; V218 &amp; """", ""), IF(W218&lt;&gt;"", """" &amp; W218 &amp; """", ""),
    IF(Y218&lt;&gt;"", """" &amp; Y218 &amp; """", ""),
    IF(Z218&lt;&gt;"", """" &amp; Z218 &amp; """", "")
) &amp; "]"</f>
        <v>["IMG/VR", "PHD", "PhiSpy", "GTDB", "Host", "Host Taxonomy", "GTDB Taxonomy"]</v>
      </c>
      <c r="AB218" s="49" t="s">
        <v>768</v>
      </c>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54"/>
      <c r="AY218" s="49"/>
      <c r="AZ218" s="49"/>
      <c r="BA218" s="49"/>
      <c r="BB218" s="49"/>
      <c r="BC218" s="49" t="s">
        <v>73</v>
      </c>
      <c r="BD218" s="49" t="s">
        <v>108</v>
      </c>
      <c r="BE218" s="49"/>
    </row>
    <row r="219" spans="1:186" ht="34.5" customHeight="1">
      <c r="A219" s="99" t="s">
        <v>1463</v>
      </c>
      <c r="B219" s="50" t="str">
        <f>LOWER(
  IF(
    RIGHT(
      SUBSTITUTE(SUBSTITUTE(SUBSTITUTE(SUBSTITUTE(SUBSTITUTE(SUBSTITUTE(SUBSTITUTE(C219,"(","_"),")","_"),"/","_"),":","_"),"-","_")," ","_"),"__","_"),
      1
    )="_",
    LEFT(
      SUBSTITUTE(SUBSTITUTE(SUBSTITUTE(SUBSTITUTE(SUBSTITUTE(SUBSTITUTE(SUBSTITUTE(C219,"(","_"),")","_"),"/","_"),":","_"),"-","_")," ","_"),"__","_"),
      LEN(
        SUBSTITUTE(SUBSTITUTE(SUBSTITUTE(SUBSTITUTE(SUBSTITUTE(SUBSTITUTE(SUBSTITUTE(C219,"(","_"),")","_"),"/","_"),":","_"),"-","_")," ","_"),"__","_")
      )-1
    ),
    SUBSTITUTE(SUBSTITUTE(SUBSTITUTE(SUBSTITUTE(SUBSTITUTE(SUBSTITUTE(SUBSTITUTE(C219,"(","_"),")","_"),"/","_"),":","_"),"-","_")," ","_"),"__","_")
  )
)</f>
        <v>unique_representative</v>
      </c>
      <c r="C219" s="49" t="s">
        <v>1464</v>
      </c>
      <c r="D219" s="50" t="s">
        <v>1465</v>
      </c>
      <c r="E219" s="49" t="s">
        <v>735</v>
      </c>
      <c r="F219" s="49" t="s">
        <v>795</v>
      </c>
      <c r="G219" s="49"/>
      <c r="H219" s="49"/>
      <c r="I219" s="49"/>
      <c r="J219" s="49"/>
      <c r="K219" s="49"/>
      <c r="L219" s="49"/>
      <c r="M219" s="49"/>
      <c r="N219" s="49"/>
      <c r="O219" s="49"/>
      <c r="P219" s="49"/>
      <c r="Q219" s="49"/>
      <c r="R219" s="49"/>
      <c r="S219" s="49"/>
      <c r="T219" s="49"/>
      <c r="U219" s="49"/>
      <c r="V219" s="49"/>
      <c r="W219" s="49"/>
      <c r="X219" s="48" t="s">
        <v>288</v>
      </c>
      <c r="Y219" s="48" t="s">
        <v>737</v>
      </c>
      <c r="Z219" s="48"/>
      <c r="AA219" s="49" t="str">
        <f>"[" &amp; _xlfn.TEXTJOIN(", ", TRUE,
    IF(I219&lt;&gt;"", """" &amp; I$1 &amp; """", ""),
    IF(J219&lt;&gt;"", """" &amp; J$1 &amp; """", ""),
    IF(K219&lt;&gt;"", """" &amp; K$1 &amp; """", ""),
    IF(L219&lt;&gt;"", """" &amp; L$1 &amp; """", ""),
    IF(M219&lt;&gt;"", """" &amp; M$1 &amp; """", ""),    IF(N219&lt;&gt;"", """" &amp; N$1 &amp; """", ""),    IF(O219&lt;&gt;"", """" &amp; O$1 &amp; """", ""),     IF(P219&lt;&gt;"", """" &amp; P$1 &amp; """", ""),     IF(Q219&lt;&gt;"", """" &amp; Q$1 &amp; """", ""), IF(R219&lt;&gt;"", """" &amp; R$1 &amp; """", ""), IF(S219&lt;&gt;"", """" &amp; S$1 &amp; """", ""), IF(T219&lt;&gt;"", """" &amp; T$1 &amp; """", ""), IF(U219&lt;&gt;"", """" &amp; U$1 &amp; """", ""),
    IF(X219&lt;&gt;"", """" &amp; X219 &amp; """", ""), IF(V219&lt;&gt;"", """" &amp; V219 &amp; """", ""), IF(W219&lt;&gt;"", """" &amp; W219 &amp; """", ""),
    IF(Y219&lt;&gt;"", """" &amp; Y219 &amp; """", ""),
    IF(Z219&lt;&gt;"", """" &amp; Z219 &amp; """", "")
) &amp; "]"</f>
        <v>["Analysis", "Flags"]</v>
      </c>
      <c r="AB219" s="49" t="s">
        <v>18</v>
      </c>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c r="BA219" s="49"/>
      <c r="BB219" s="49"/>
      <c r="BC219" s="49" t="s">
        <v>73</v>
      </c>
      <c r="BD219" s="49" t="s">
        <v>108</v>
      </c>
      <c r="BE219" s="49"/>
    </row>
    <row r="220" spans="1:186" s="80" customFormat="1" ht="34.5" customHeight="1">
      <c r="A220" s="99" t="s">
        <v>1466</v>
      </c>
      <c r="B220" s="50" t="str">
        <f>LOWER(
  IF(
    RIGHT(
      SUBSTITUTE(SUBSTITUTE(SUBSTITUTE(SUBSTITUTE(SUBSTITUTE(SUBSTITUTE(SUBSTITUTE(C220,"(","_"),")","_"),"/","_"),":","_"),"-","_")," ","_"),"__","_"),
      1
    )="_",
    LEFT(
      SUBSTITUTE(SUBSTITUTE(SUBSTITUTE(SUBSTITUTE(SUBSTITUTE(SUBSTITUTE(SUBSTITUTE(C220,"(","_"),")","_"),"/","_"),":","_"),"-","_")," ","_"),"__","_"),
      LEN(
        SUBSTITUTE(SUBSTITUTE(SUBSTITUTE(SUBSTITUTE(SUBSTITUTE(SUBSTITUTE(SUBSTITUTE(C220,"(","_"),")","_"),"/","_"),":","_"),"-","_")," ","_"),"__","_")
      )-1
    ),
    SUBSTITUTE(SUBSTITUTE(SUBSTITUTE(SUBSTITUTE(SUBSTITUTE(SUBSTITUTE(SUBSTITUTE(C220,"(","_"),")","_"),"/","_"),":","_"),"-","_")," ","_"),"__","_")
  )
)</f>
        <v>unique_reference</v>
      </c>
      <c r="C220" s="49" t="s">
        <v>1467</v>
      </c>
      <c r="D220" s="50" t="s">
        <v>1468</v>
      </c>
      <c r="E220" s="49" t="s">
        <v>98</v>
      </c>
      <c r="F220" s="49" t="s">
        <v>795</v>
      </c>
      <c r="G220" s="49"/>
      <c r="H220" s="49"/>
      <c r="I220" s="49"/>
      <c r="J220" s="49"/>
      <c r="K220" s="49"/>
      <c r="L220" s="49"/>
      <c r="M220" s="49"/>
      <c r="N220" s="49"/>
      <c r="O220" s="49"/>
      <c r="P220" s="49"/>
      <c r="Q220" s="49"/>
      <c r="R220" s="49"/>
      <c r="S220" s="49"/>
      <c r="T220" s="49"/>
      <c r="U220" s="49"/>
      <c r="V220" s="49"/>
      <c r="W220" s="49"/>
      <c r="X220" s="48" t="s">
        <v>685</v>
      </c>
      <c r="Y220" s="48" t="s">
        <v>288</v>
      </c>
      <c r="Z220" s="48" t="s">
        <v>93</v>
      </c>
      <c r="AA220" s="49" t="str">
        <f>"[" &amp; _xlfn.TEXTJOIN(", ", TRUE,
    IF(I220&lt;&gt;"", """" &amp; I$1 &amp; """", ""),
    IF(J220&lt;&gt;"", """" &amp; J$1 &amp; """", ""),
    IF(K220&lt;&gt;"", """" &amp; K$1 &amp; """", ""),
    IF(L220&lt;&gt;"", """" &amp; L$1 &amp; """", ""),
    IF(M220&lt;&gt;"", """" &amp; M$1 &amp; """", ""),    IF(N220&lt;&gt;"", """" &amp; N$1 &amp; """", ""),    IF(O220&lt;&gt;"", """" &amp; O$1 &amp; """", ""),     IF(P220&lt;&gt;"", """" &amp; P$1 &amp; """", ""),     IF(Q220&lt;&gt;"", """" &amp; Q$1 &amp; """", ""), IF(R220&lt;&gt;"", """" &amp; R$1 &amp; """", ""), IF(S220&lt;&gt;"", """" &amp; S$1 &amp; """", ""), IF(T220&lt;&gt;"", """" &amp; T$1 &amp; """", ""), IF(U220&lt;&gt;"", """" &amp; U$1 &amp; """", ""),
    IF(X220&lt;&gt;"", """" &amp; X220 &amp; """", ""), IF(V220&lt;&gt;"", """" &amp; V220 &amp; """", ""), IF(W220&lt;&gt;"", """" &amp; W220 &amp; """", ""),
    IF(Y220&lt;&gt;"", """" &amp; Y220 &amp; """", ""),
    IF(Z220&lt;&gt;"", """" &amp; Z220 &amp; """", "")
) &amp; "]"</f>
        <v>["Internal", "Analysis", "Workflows"]</v>
      </c>
      <c r="AB220" s="49" t="s">
        <v>18</v>
      </c>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49"/>
      <c r="BB220" s="49"/>
      <c r="BC220" s="49" t="s">
        <v>73</v>
      </c>
      <c r="BD220" s="49" t="s">
        <v>499</v>
      </c>
      <c r="BE220" s="49"/>
      <c r="BF220" s="45"/>
      <c r="BG220" s="45"/>
      <c r="BH220" s="45"/>
      <c r="BI220" s="45"/>
      <c r="BJ220" s="45"/>
      <c r="BK220" s="45"/>
      <c r="BL220" s="45"/>
      <c r="BM220" s="45"/>
      <c r="BN220" s="45"/>
      <c r="BO220" s="45"/>
      <c r="BP220" s="45"/>
      <c r="BQ220" s="45"/>
      <c r="BR220" s="45"/>
      <c r="BS220" s="45"/>
      <c r="BT220" s="45"/>
      <c r="BU220" s="45"/>
      <c r="BV220" s="45"/>
      <c r="BW220" s="45"/>
      <c r="BX220" s="45"/>
      <c r="BY220" s="45"/>
      <c r="BZ220" s="45"/>
      <c r="CA220" s="45"/>
      <c r="CB220" s="45"/>
      <c r="CC220" s="45"/>
      <c r="CD220" s="45"/>
      <c r="CE220" s="45"/>
      <c r="CF220" s="45"/>
      <c r="CG220" s="45"/>
      <c r="CH220" s="45"/>
      <c r="CI220" s="45"/>
      <c r="CJ220" s="45"/>
      <c r="CK220" s="45"/>
      <c r="CL220" s="45"/>
      <c r="CM220" s="45"/>
      <c r="CN220" s="45"/>
      <c r="CO220" s="45"/>
      <c r="CP220" s="45"/>
      <c r="CQ220" s="45"/>
      <c r="CR220" s="45"/>
      <c r="CS220" s="45"/>
      <c r="CT220" s="45"/>
      <c r="CU220" s="45"/>
      <c r="CV220" s="45"/>
      <c r="CW220" s="45"/>
      <c r="CX220" s="45"/>
      <c r="CY220" s="45"/>
      <c r="CZ220" s="45"/>
      <c r="DA220" s="45"/>
      <c r="DB220" s="45"/>
      <c r="DC220" s="45"/>
      <c r="DD220" s="45"/>
      <c r="DE220" s="45"/>
      <c r="DF220" s="45"/>
      <c r="DG220" s="45"/>
      <c r="DH220" s="45"/>
      <c r="DI220" s="45"/>
      <c r="DJ220" s="45"/>
      <c r="DK220" s="45"/>
      <c r="DL220" s="45"/>
      <c r="DM220" s="45"/>
      <c r="DN220" s="45"/>
      <c r="DO220" s="45"/>
      <c r="DP220" s="45"/>
      <c r="DQ220" s="45"/>
      <c r="DR220" s="45"/>
      <c r="DS220" s="45"/>
      <c r="DT220" s="45"/>
      <c r="DU220" s="45"/>
      <c r="DV220" s="45"/>
      <c r="DW220" s="45"/>
      <c r="DX220" s="45"/>
      <c r="DY220" s="45"/>
      <c r="DZ220" s="45"/>
      <c r="EA220" s="45"/>
      <c r="EB220" s="45"/>
      <c r="EC220" s="45"/>
      <c r="ED220" s="45"/>
      <c r="EE220" s="45"/>
      <c r="EF220" s="45"/>
      <c r="EG220" s="45"/>
      <c r="EH220" s="45"/>
      <c r="EI220" s="45"/>
      <c r="EJ220" s="45"/>
      <c r="EK220" s="45"/>
      <c r="EL220" s="45"/>
      <c r="EM220" s="45"/>
      <c r="EN220" s="45"/>
      <c r="EO220" s="45"/>
      <c r="EP220" s="45"/>
      <c r="EQ220" s="45"/>
      <c r="ER220" s="45"/>
      <c r="ES220" s="45"/>
      <c r="ET220" s="45"/>
      <c r="EU220" s="45"/>
      <c r="EV220" s="45"/>
      <c r="EW220" s="45"/>
      <c r="EX220" s="45"/>
      <c r="EY220" s="45"/>
      <c r="EZ220" s="45"/>
      <c r="FA220" s="45"/>
      <c r="FB220" s="45"/>
      <c r="FC220" s="45"/>
      <c r="FD220" s="45"/>
      <c r="FE220" s="45"/>
      <c r="FF220" s="45"/>
      <c r="FG220" s="45"/>
      <c r="FH220" s="45"/>
      <c r="FI220" s="45"/>
      <c r="FJ220" s="45"/>
      <c r="FK220" s="45"/>
      <c r="FL220" s="45"/>
      <c r="FM220" s="45"/>
      <c r="FN220" s="45"/>
      <c r="FO220" s="45"/>
      <c r="FP220" s="45"/>
      <c r="FQ220" s="45"/>
      <c r="FR220" s="45"/>
      <c r="FS220" s="45"/>
      <c r="FT220" s="45"/>
      <c r="FU220" s="45"/>
      <c r="FV220" s="45"/>
      <c r="FW220" s="45"/>
      <c r="FX220" s="45"/>
      <c r="FY220" s="45"/>
      <c r="FZ220" s="45"/>
      <c r="GA220" s="45"/>
      <c r="GB220" s="45"/>
      <c r="GC220" s="45"/>
      <c r="GD220" s="45"/>
    </row>
    <row r="221" spans="1:186" s="92" customFormat="1" ht="34.5" customHeight="1">
      <c r="A221" s="99" t="s">
        <v>1469</v>
      </c>
      <c r="B221" s="50" t="str">
        <f>LOWER(
  IF(
    RIGHT(
      SUBSTITUTE(SUBSTITUTE(SUBSTITUTE(SUBSTITUTE(SUBSTITUTE(SUBSTITUTE(SUBSTITUTE(C221,"(","_"),")","_"),"/","_"),":","_"),"-","_")," ","_"),"__","_"),
      1
    )="_",
    LEFT(
      SUBSTITUTE(SUBSTITUTE(SUBSTITUTE(SUBSTITUTE(SUBSTITUTE(SUBSTITUTE(SUBSTITUTE(C221,"(","_"),")","_"),"/","_"),":","_"),"-","_")," ","_"),"__","_"),
      LEN(
        SUBSTITUTE(SUBSTITUTE(SUBSTITUTE(SUBSTITUTE(SUBSTITUTE(SUBSTITUTE(SUBSTITUTE(C221,"(","_"),")","_"),"/","_"),":","_"),"-","_")," ","_"),"__","_")
      )-1
    ),
    SUBSTITUTE(SUBSTITUTE(SUBSTITUTE(SUBSTITUTE(SUBSTITUTE(SUBSTITUTE(SUBSTITUTE(C221,"(","_"),")","_"),"/","_"),":","_"),"-","_")," ","_"),"__","_")
  )
)</f>
        <v>cluster_representative</v>
      </c>
      <c r="C221" s="49" t="s">
        <v>1470</v>
      </c>
      <c r="D221" s="50" t="s">
        <v>1471</v>
      </c>
      <c r="E221" s="49" t="s">
        <v>735</v>
      </c>
      <c r="F221" s="49" t="s">
        <v>795</v>
      </c>
      <c r="G221" s="49"/>
      <c r="H221" s="49"/>
      <c r="I221" s="49"/>
      <c r="J221" s="49"/>
      <c r="K221" s="49"/>
      <c r="L221" s="49"/>
      <c r="M221" s="49"/>
      <c r="N221" s="49"/>
      <c r="O221" s="49"/>
      <c r="P221" s="49"/>
      <c r="Q221" s="49"/>
      <c r="R221" s="49"/>
      <c r="S221" s="49"/>
      <c r="T221" s="49"/>
      <c r="U221" s="49"/>
      <c r="V221" s="49"/>
      <c r="W221" s="49"/>
      <c r="X221" s="48" t="s">
        <v>288</v>
      </c>
      <c r="Y221" s="48" t="s">
        <v>737</v>
      </c>
      <c r="Z221" s="48"/>
      <c r="AA221" s="49" t="str">
        <f>"[" &amp; _xlfn.TEXTJOIN(", ", TRUE,
    IF(I221&lt;&gt;"", """" &amp; I$1 &amp; """", ""),
    IF(J221&lt;&gt;"", """" &amp; J$1 &amp; """", ""),
    IF(K221&lt;&gt;"", """" &amp; K$1 &amp; """", ""),
    IF(L221&lt;&gt;"", """" &amp; L$1 &amp; """", ""),
    IF(M221&lt;&gt;"", """" &amp; M$1 &amp; """", ""),    IF(N221&lt;&gt;"", """" &amp; N$1 &amp; """", ""),    IF(O221&lt;&gt;"", """" &amp; O$1 &amp; """", ""),     IF(P221&lt;&gt;"", """" &amp; P$1 &amp; """", ""),     IF(Q221&lt;&gt;"", """" &amp; Q$1 &amp; """", ""), IF(R221&lt;&gt;"", """" &amp; R$1 &amp; """", ""), IF(S221&lt;&gt;"", """" &amp; S$1 &amp; """", ""), IF(T221&lt;&gt;"", """" &amp; T$1 &amp; """", ""), IF(U221&lt;&gt;"", """" &amp; U$1 &amp; """", ""),
    IF(X221&lt;&gt;"", """" &amp; X221 &amp; """", ""), IF(V221&lt;&gt;"", """" &amp; V221 &amp; """", ""), IF(W221&lt;&gt;"", """" &amp; W221 &amp; """", ""),
    IF(Y221&lt;&gt;"", """" &amp; Y221 &amp; """", ""),
    IF(Z221&lt;&gt;"", """" &amp; Z221 &amp; """", "")
) &amp; "]"</f>
        <v>["Analysis", "Flags"]</v>
      </c>
      <c r="AB221" s="49" t="s">
        <v>18</v>
      </c>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54"/>
      <c r="AY221" s="49"/>
      <c r="AZ221" s="49"/>
      <c r="BA221" s="49"/>
      <c r="BB221" s="49"/>
      <c r="BC221" s="49" t="s">
        <v>73</v>
      </c>
      <c r="BD221" s="49" t="s">
        <v>108</v>
      </c>
      <c r="BE221" s="49"/>
      <c r="BF221" s="45"/>
      <c r="BG221" s="45"/>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5"/>
      <c r="CI221" s="45"/>
      <c r="CJ221" s="45"/>
      <c r="CK221" s="45"/>
      <c r="CL221" s="45"/>
      <c r="CM221" s="45"/>
      <c r="CN221" s="45"/>
      <c r="CO221" s="45"/>
      <c r="CP221" s="45"/>
      <c r="CQ221" s="45"/>
      <c r="CR221" s="45"/>
      <c r="CS221" s="45"/>
      <c r="CT221" s="45"/>
      <c r="CU221" s="45"/>
      <c r="CV221" s="45"/>
      <c r="CW221" s="45"/>
      <c r="CX221" s="45"/>
      <c r="CY221" s="45"/>
      <c r="CZ221" s="45"/>
      <c r="DA221" s="45"/>
      <c r="DB221" s="45"/>
      <c r="DC221" s="45"/>
      <c r="DD221" s="45"/>
      <c r="DE221" s="45"/>
      <c r="DF221" s="45"/>
      <c r="DG221" s="45"/>
      <c r="DH221" s="45"/>
      <c r="DI221" s="45"/>
      <c r="DJ221" s="45"/>
      <c r="DK221" s="45"/>
      <c r="DL221" s="45"/>
      <c r="DM221" s="45"/>
      <c r="DN221" s="45"/>
      <c r="DO221" s="45"/>
      <c r="DP221" s="45"/>
      <c r="DQ221" s="45"/>
      <c r="DR221" s="45"/>
      <c r="DS221" s="45"/>
      <c r="DT221" s="45"/>
      <c r="DU221" s="45"/>
      <c r="DV221" s="45"/>
      <c r="DW221" s="45"/>
      <c r="DX221" s="45"/>
      <c r="DY221" s="45"/>
      <c r="DZ221" s="45"/>
      <c r="EA221" s="45"/>
      <c r="EB221" s="45"/>
      <c r="EC221" s="45"/>
      <c r="ED221" s="45"/>
      <c r="EE221" s="45"/>
      <c r="EF221" s="45"/>
      <c r="EG221" s="45"/>
      <c r="EH221" s="45"/>
      <c r="EI221" s="45"/>
      <c r="EJ221" s="45"/>
      <c r="EK221" s="45"/>
      <c r="EL221" s="45"/>
      <c r="EM221" s="45"/>
      <c r="EN221" s="45"/>
      <c r="EO221" s="45"/>
      <c r="EP221" s="45"/>
      <c r="EQ221" s="45"/>
      <c r="ER221" s="45"/>
      <c r="ES221" s="45"/>
      <c r="ET221" s="45"/>
      <c r="EU221" s="45"/>
      <c r="EV221" s="45"/>
      <c r="EW221" s="45"/>
      <c r="EX221" s="45"/>
      <c r="EY221" s="45"/>
      <c r="EZ221" s="45"/>
      <c r="FA221" s="45"/>
      <c r="FB221" s="45"/>
      <c r="FC221" s="45"/>
      <c r="FD221" s="45"/>
      <c r="FE221" s="45"/>
      <c r="FF221" s="45"/>
      <c r="FG221" s="45"/>
      <c r="FH221" s="45"/>
      <c r="FI221" s="45"/>
      <c r="FJ221" s="45"/>
      <c r="FK221" s="45"/>
      <c r="FL221" s="45"/>
      <c r="FM221" s="45"/>
      <c r="FN221" s="45"/>
      <c r="FO221" s="45"/>
      <c r="FP221" s="45"/>
      <c r="FQ221" s="45"/>
      <c r="FR221" s="45"/>
      <c r="FS221" s="45"/>
      <c r="FT221" s="45"/>
      <c r="FU221" s="45"/>
      <c r="FV221" s="45"/>
      <c r="FW221" s="45"/>
      <c r="FX221" s="45"/>
      <c r="FY221" s="45"/>
      <c r="FZ221" s="45"/>
      <c r="GA221" s="45"/>
      <c r="GB221" s="45"/>
      <c r="GC221" s="45"/>
      <c r="GD221" s="45"/>
    </row>
    <row r="222" spans="1:186" s="92" customFormat="1" ht="34.5" customHeight="1">
      <c r="A222" s="99" t="s">
        <v>1472</v>
      </c>
      <c r="B222" s="50" t="str">
        <f>LOWER(
  IF(
    RIGHT(
      SUBSTITUTE(SUBSTITUTE(SUBSTITUTE(SUBSTITUTE(SUBSTITUTE(SUBSTITUTE(SUBSTITUTE(C222,"(","_"),")","_"),"/","_"),":","_"),"-","_")," ","_"),"__","_"),
      1
    )="_",
    LEFT(
      SUBSTITUTE(SUBSTITUTE(SUBSTITUTE(SUBSTITUTE(SUBSTITUTE(SUBSTITUTE(SUBSTITUTE(C222,"(","_"),")","_"),"/","_"),":","_"),"-","_")," ","_"),"__","_"),
      LEN(
        SUBSTITUTE(SUBSTITUTE(SUBSTITUTE(SUBSTITUTE(SUBSTITUTE(SUBSTITUTE(SUBSTITUTE(C222,"(","_"),")","_"),"/","_"),":","_"),"-","_")," ","_"),"__","_")
      )-1
    ),
    SUBSTITUTE(SUBSTITUTE(SUBSTITUTE(SUBSTITUTE(SUBSTITUTE(SUBSTITUTE(SUBSTITUTE(C222,"(","_"),")","_"),"/","_"),":","_"),"-","_")," ","_"),"__","_")
  )
)</f>
        <v>cluster_reference</v>
      </c>
      <c r="C222" s="49" t="s">
        <v>1473</v>
      </c>
      <c r="D222" s="50" t="s">
        <v>1474</v>
      </c>
      <c r="E222" s="49" t="s">
        <v>98</v>
      </c>
      <c r="F222" s="49" t="s">
        <v>795</v>
      </c>
      <c r="G222" s="49"/>
      <c r="H222" s="49"/>
      <c r="I222" s="49"/>
      <c r="J222" s="49"/>
      <c r="K222" s="49"/>
      <c r="L222" s="49"/>
      <c r="M222" s="49"/>
      <c r="N222" s="49"/>
      <c r="O222" s="49"/>
      <c r="P222" s="49"/>
      <c r="Q222" s="49"/>
      <c r="R222" s="49"/>
      <c r="S222" s="49"/>
      <c r="T222" s="49"/>
      <c r="U222" s="49"/>
      <c r="V222" s="49"/>
      <c r="W222" s="49"/>
      <c r="X222" s="48" t="s">
        <v>288</v>
      </c>
      <c r="Y222" s="48"/>
      <c r="Z222" s="48"/>
      <c r="AA222" s="49" t="str">
        <f>"[" &amp; _xlfn.TEXTJOIN(", ", TRUE,
    IF(I222&lt;&gt;"", """" &amp; I$1 &amp; """", ""),
    IF(J222&lt;&gt;"", """" &amp; J$1 &amp; """", ""),
    IF(K222&lt;&gt;"", """" &amp; K$1 &amp; """", ""),
    IF(L222&lt;&gt;"", """" &amp; L$1 &amp; """", ""),
    IF(M222&lt;&gt;"", """" &amp; M$1 &amp; """", ""),    IF(N222&lt;&gt;"", """" &amp; N$1 &amp; """", ""),    IF(O222&lt;&gt;"", """" &amp; O$1 &amp; """", ""),     IF(P222&lt;&gt;"", """" &amp; P$1 &amp; """", ""),     IF(Q222&lt;&gt;"", """" &amp; Q$1 &amp; """", ""), IF(R222&lt;&gt;"", """" &amp; R$1 &amp; """", ""), IF(S222&lt;&gt;"", """" &amp; S$1 &amp; """", ""), IF(T222&lt;&gt;"", """" &amp; T$1 &amp; """", ""), IF(U222&lt;&gt;"", """" &amp; U$1 &amp; """", ""),
    IF(X222&lt;&gt;"", """" &amp; X222 &amp; """", ""), IF(V222&lt;&gt;"", """" &amp; V222 &amp; """", ""), IF(W222&lt;&gt;"", """" &amp; W222 &amp; """", ""),
    IF(Y222&lt;&gt;"", """" &amp; Y222 &amp; """", ""),
    IF(Z222&lt;&gt;"", """" &amp; Z222 &amp; """", "")
) &amp; "]"</f>
        <v>["Analysis"]</v>
      </c>
      <c r="AB222" s="49" t="s">
        <v>18</v>
      </c>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54"/>
      <c r="AY222" s="49"/>
      <c r="AZ222" s="49"/>
      <c r="BA222" s="49"/>
      <c r="BB222" s="49"/>
      <c r="BC222" s="49" t="s">
        <v>73</v>
      </c>
      <c r="BD222" s="49" t="s">
        <v>108</v>
      </c>
      <c r="BE222" s="49"/>
      <c r="BF222" s="45"/>
      <c r="BG222" s="45"/>
      <c r="BH222" s="45"/>
      <c r="BI222" s="45"/>
      <c r="BJ222" s="45"/>
      <c r="BK222" s="45"/>
      <c r="BL222" s="45"/>
      <c r="BM222" s="45"/>
      <c r="BN222" s="45"/>
      <c r="BO222" s="45"/>
      <c r="BP222" s="45"/>
      <c r="BQ222" s="45"/>
      <c r="BR222" s="45"/>
      <c r="BS222" s="45"/>
      <c r="BT222" s="45"/>
      <c r="BU222" s="45"/>
      <c r="BV222" s="45"/>
      <c r="BW222" s="45"/>
      <c r="BX222" s="45"/>
      <c r="BY222" s="45"/>
      <c r="BZ222" s="45"/>
      <c r="CA222" s="45"/>
      <c r="CB222" s="45"/>
      <c r="CC222" s="45"/>
      <c r="CD222" s="45"/>
      <c r="CE222" s="45"/>
      <c r="CF222" s="45"/>
      <c r="CG222" s="45"/>
      <c r="CH222" s="45"/>
      <c r="CI222" s="45"/>
      <c r="CJ222" s="45"/>
      <c r="CK222" s="45"/>
      <c r="CL222" s="45"/>
      <c r="CM222" s="45"/>
      <c r="CN222" s="45"/>
      <c r="CO222" s="45"/>
      <c r="CP222" s="45"/>
      <c r="CQ222" s="45"/>
      <c r="CR222" s="45"/>
      <c r="CS222" s="45"/>
      <c r="CT222" s="45"/>
      <c r="CU222" s="45"/>
      <c r="CV222" s="45"/>
      <c r="CW222" s="45"/>
      <c r="CX222" s="45"/>
      <c r="CY222" s="45"/>
      <c r="CZ222" s="45"/>
      <c r="DA222" s="45"/>
      <c r="DB222" s="45"/>
      <c r="DC222" s="45"/>
      <c r="DD222" s="45"/>
      <c r="DE222" s="45"/>
      <c r="DF222" s="45"/>
      <c r="DG222" s="45"/>
      <c r="DH222" s="45"/>
      <c r="DI222" s="45"/>
      <c r="DJ222" s="45"/>
      <c r="DK222" s="45"/>
      <c r="DL222" s="45"/>
      <c r="DM222" s="45"/>
      <c r="DN222" s="45"/>
      <c r="DO222" s="45"/>
      <c r="DP222" s="45"/>
      <c r="DQ222" s="45"/>
      <c r="DR222" s="45"/>
      <c r="DS222" s="45"/>
      <c r="DT222" s="45"/>
      <c r="DU222" s="45"/>
      <c r="DV222" s="45"/>
      <c r="DW222" s="45"/>
      <c r="DX222" s="45"/>
      <c r="DY222" s="45"/>
      <c r="DZ222" s="45"/>
      <c r="EA222" s="45"/>
      <c r="EB222" s="45"/>
      <c r="EC222" s="45"/>
      <c r="ED222" s="45"/>
      <c r="EE222" s="45"/>
      <c r="EF222" s="45"/>
      <c r="EG222" s="45"/>
      <c r="EH222" s="45"/>
      <c r="EI222" s="45"/>
      <c r="EJ222" s="45"/>
      <c r="EK222" s="45"/>
      <c r="EL222" s="45"/>
      <c r="EM222" s="45"/>
      <c r="EN222" s="45"/>
      <c r="EO222" s="45"/>
      <c r="EP222" s="45"/>
      <c r="EQ222" s="45"/>
      <c r="ER222" s="45"/>
      <c r="ES222" s="45"/>
      <c r="ET222" s="45"/>
      <c r="EU222" s="45"/>
      <c r="EV222" s="45"/>
      <c r="EW222" s="45"/>
      <c r="EX222" s="45"/>
      <c r="EY222" s="45"/>
      <c r="EZ222" s="45"/>
      <c r="FA222" s="45"/>
      <c r="FB222" s="45"/>
      <c r="FC222" s="45"/>
      <c r="FD222" s="45"/>
      <c r="FE222" s="45"/>
      <c r="FF222" s="45"/>
      <c r="FG222" s="45"/>
      <c r="FH222" s="45"/>
      <c r="FI222" s="45"/>
      <c r="FJ222" s="45"/>
      <c r="FK222" s="45"/>
      <c r="FL222" s="45"/>
      <c r="FM222" s="45"/>
      <c r="FN222" s="45"/>
      <c r="FO222" s="45"/>
      <c r="FP222" s="45"/>
      <c r="FQ222" s="45"/>
      <c r="FR222" s="45"/>
      <c r="FS222" s="45"/>
      <c r="FT222" s="45"/>
      <c r="FU222" s="45"/>
      <c r="FV222" s="45"/>
      <c r="FW222" s="45"/>
      <c r="FX222" s="45"/>
      <c r="FY222" s="45"/>
      <c r="FZ222" s="45"/>
      <c r="GA222" s="45"/>
      <c r="GB222" s="45"/>
      <c r="GC222" s="45"/>
      <c r="GD222" s="45"/>
    </row>
    <row r="223" spans="1:186" s="92" customFormat="1" ht="34.5" customHeight="1">
      <c r="A223" s="103" t="s">
        <v>1475</v>
      </c>
      <c r="B223" s="50" t="str">
        <f>LOWER(
  IF(
    RIGHT(
      SUBSTITUTE(SUBSTITUTE(SUBSTITUTE(SUBSTITUTE(SUBSTITUTE(SUBSTITUTE(SUBSTITUTE(C223,"(","_"),")","_"),"/","_"),":","_"),"-","_")," ","_"),"__","_"),
      1
    )="_",
    LEFT(
      SUBSTITUTE(SUBSTITUTE(SUBSTITUTE(SUBSTITUTE(SUBSTITUTE(SUBSTITUTE(SUBSTITUTE(C223,"(","_"),")","_"),"/","_"),":","_"),"-","_")," ","_"),"__","_"),
      LEN(
        SUBSTITUTE(SUBSTITUTE(SUBSTITUTE(SUBSTITUTE(SUBSTITUTE(SUBSTITUTE(SUBSTITUTE(C223,"(","_"),")","_"),"/","_"),":","_"),"-","_")," ","_"),"__","_")
      )-1
    ),
    SUBSTITUTE(SUBSTITUTE(SUBSTITUTE(SUBSTITUTE(SUBSTITUTE(SUBSTITUTE(SUBSTITUTE(C223,"(","_"),")","_"),"/","_"),":","_"),"-","_")," ","_"),"__","_")
  )
)</f>
        <v>predicted_method</v>
      </c>
      <c r="C223" s="55" t="s">
        <v>1476</v>
      </c>
      <c r="D223" s="87" t="s">
        <v>1477</v>
      </c>
      <c r="E223" s="55" t="s">
        <v>64</v>
      </c>
      <c r="F223" s="55" t="s">
        <v>795</v>
      </c>
      <c r="G223" s="55"/>
      <c r="H223" s="55"/>
      <c r="I223" s="55"/>
      <c r="J223" s="55"/>
      <c r="K223" s="55"/>
      <c r="L223" s="55"/>
      <c r="M223" s="55"/>
      <c r="N223" s="55"/>
      <c r="O223" s="55"/>
      <c r="P223" s="55"/>
      <c r="Q223" s="55"/>
      <c r="R223" s="55"/>
      <c r="S223" s="55"/>
      <c r="T223" s="55"/>
      <c r="U223" s="55"/>
      <c r="V223" s="55"/>
      <c r="W223" s="55"/>
      <c r="X223" s="48" t="s">
        <v>288</v>
      </c>
      <c r="Y223" s="48"/>
      <c r="Z223" s="48" t="s">
        <v>93</v>
      </c>
      <c r="AA223" s="49" t="str">
        <f>"[" &amp; _xlfn.TEXTJOIN(", ", TRUE,
    IF(I223&lt;&gt;"", """" &amp; I$1 &amp; """", ""),
    IF(J223&lt;&gt;"", """" &amp; J$1 &amp; """", ""),
    IF(K223&lt;&gt;"", """" &amp; K$1 &amp; """", ""),
    IF(L223&lt;&gt;"", """" &amp; L$1 &amp; """", ""),
    IF(M223&lt;&gt;"", """" &amp; M$1 &amp; """", ""),    IF(N223&lt;&gt;"", """" &amp; N$1 &amp; """", ""),    IF(O223&lt;&gt;"", """" &amp; O$1 &amp; """", ""),     IF(P223&lt;&gt;"", """" &amp; P$1 &amp; """", ""),     IF(Q223&lt;&gt;"", """" &amp; Q$1 &amp; """", ""), IF(R223&lt;&gt;"", """" &amp; R$1 &amp; """", ""), IF(S223&lt;&gt;"", """" &amp; S$1 &amp; """", ""), IF(T223&lt;&gt;"", """" &amp; T$1 &amp; """", ""), IF(U223&lt;&gt;"", """" &amp; U$1 &amp; """", ""),
    IF(X223&lt;&gt;"", """" &amp; X223 &amp; """", ""), IF(V223&lt;&gt;"", """" &amp; V223 &amp; """", ""), IF(W223&lt;&gt;"", """" &amp; W223 &amp; """", ""),
    IF(Y223&lt;&gt;"", """" &amp; Y223 &amp; """", ""),
    IF(Z223&lt;&gt;"", """" &amp; Z223 &amp; """", "")
) &amp; "]"</f>
        <v>["Analysis", "Workflows"]</v>
      </c>
      <c r="AB223" s="55" t="s">
        <v>768</v>
      </c>
      <c r="AC223" s="55"/>
      <c r="AD223" s="55"/>
      <c r="AE223" s="55"/>
      <c r="AF223" s="55"/>
      <c r="AG223" s="55"/>
      <c r="AH223" s="55"/>
      <c r="AI223" s="55"/>
      <c r="AJ223" s="55"/>
      <c r="AK223" s="55"/>
      <c r="AL223" s="55"/>
      <c r="AM223" s="55"/>
      <c r="AN223" s="55"/>
      <c r="AO223" s="55"/>
      <c r="AP223" s="55"/>
      <c r="AQ223" s="55"/>
      <c r="AR223" s="55"/>
      <c r="AS223" s="55"/>
      <c r="AT223" s="55"/>
      <c r="AU223" s="55"/>
      <c r="AV223" s="55"/>
      <c r="AW223" s="55"/>
      <c r="AX223" s="90"/>
      <c r="AY223" s="55"/>
      <c r="AZ223" s="55"/>
      <c r="BA223" s="55"/>
      <c r="BB223" s="55"/>
      <c r="BC223" s="55" t="s">
        <v>73</v>
      </c>
      <c r="BD223" s="55" t="s">
        <v>142</v>
      </c>
      <c r="BE223" s="55"/>
      <c r="BF223" s="71"/>
      <c r="BG223" s="71"/>
      <c r="BH223" s="71"/>
      <c r="BI223" s="71"/>
      <c r="BJ223" s="71"/>
      <c r="BK223" s="71"/>
      <c r="BL223" s="71"/>
      <c r="BM223" s="71"/>
      <c r="BN223" s="71"/>
      <c r="BO223" s="71"/>
      <c r="BP223" s="71"/>
      <c r="BQ223" s="71"/>
      <c r="BR223" s="71"/>
      <c r="BS223" s="71"/>
      <c r="BT223" s="71"/>
      <c r="BU223" s="71"/>
      <c r="BV223" s="71"/>
      <c r="BW223" s="71"/>
      <c r="BX223" s="71"/>
      <c r="BY223" s="71"/>
      <c r="BZ223" s="71"/>
      <c r="CA223" s="71"/>
      <c r="CB223" s="71"/>
      <c r="CC223" s="71"/>
      <c r="CD223" s="71"/>
      <c r="CE223" s="71"/>
      <c r="CF223" s="71"/>
      <c r="CG223" s="71"/>
      <c r="CH223" s="71"/>
      <c r="CI223" s="71"/>
      <c r="CJ223" s="71"/>
      <c r="CK223" s="71"/>
      <c r="CL223" s="71"/>
      <c r="CM223" s="71"/>
      <c r="CN223" s="71"/>
      <c r="CO223" s="71"/>
      <c r="CP223" s="71"/>
      <c r="CQ223" s="71"/>
      <c r="CR223" s="71"/>
      <c r="CS223" s="71"/>
      <c r="CT223" s="71"/>
      <c r="CU223" s="71"/>
      <c r="CV223" s="71"/>
      <c r="CW223" s="71"/>
      <c r="CX223" s="71"/>
      <c r="CY223" s="71"/>
      <c r="CZ223" s="71"/>
      <c r="DA223" s="71"/>
      <c r="DB223" s="71"/>
      <c r="DC223" s="71"/>
      <c r="DD223" s="71"/>
      <c r="DE223" s="71"/>
      <c r="DF223" s="71"/>
      <c r="DG223" s="71"/>
      <c r="DH223" s="71"/>
      <c r="DI223" s="71"/>
      <c r="DJ223" s="71"/>
      <c r="DK223" s="71"/>
      <c r="DL223" s="71"/>
      <c r="DM223" s="71"/>
      <c r="DN223" s="71"/>
      <c r="DO223" s="71"/>
      <c r="DP223" s="71"/>
      <c r="DQ223" s="71"/>
      <c r="DR223" s="71"/>
      <c r="DS223" s="71"/>
      <c r="DT223" s="71"/>
      <c r="DU223" s="71"/>
      <c r="DV223" s="71"/>
      <c r="DW223" s="71"/>
      <c r="DX223" s="71"/>
      <c r="DY223" s="71"/>
      <c r="DZ223" s="71"/>
      <c r="EA223" s="71"/>
      <c r="EB223" s="71"/>
      <c r="EC223" s="71"/>
      <c r="ED223" s="71"/>
      <c r="EE223" s="71"/>
      <c r="EF223" s="71"/>
      <c r="EG223" s="71"/>
      <c r="EH223" s="71"/>
      <c r="EI223" s="71"/>
      <c r="EJ223" s="71"/>
      <c r="EK223" s="71"/>
      <c r="EL223" s="71"/>
      <c r="EM223" s="71"/>
      <c r="EN223" s="71"/>
      <c r="EO223" s="71"/>
      <c r="EP223" s="71"/>
      <c r="EQ223" s="71"/>
      <c r="ER223" s="71"/>
      <c r="ES223" s="71"/>
      <c r="ET223" s="71"/>
      <c r="EU223" s="71"/>
      <c r="EV223" s="71"/>
      <c r="EW223" s="71"/>
      <c r="EX223" s="71"/>
      <c r="EY223" s="71"/>
      <c r="EZ223" s="71"/>
      <c r="FA223" s="71"/>
      <c r="FB223" s="71"/>
      <c r="FC223" s="71"/>
      <c r="FD223" s="71"/>
      <c r="FE223" s="71"/>
      <c r="FF223" s="71"/>
      <c r="FG223" s="71"/>
      <c r="FH223" s="71"/>
      <c r="FI223" s="71"/>
      <c r="FJ223" s="71"/>
      <c r="FK223" s="71"/>
      <c r="FL223" s="71"/>
      <c r="FM223" s="71"/>
      <c r="FN223" s="71"/>
      <c r="FO223" s="71"/>
      <c r="FP223" s="71"/>
      <c r="FQ223" s="71"/>
      <c r="FR223" s="71"/>
      <c r="FS223" s="71"/>
      <c r="FT223" s="71"/>
      <c r="FU223" s="71"/>
      <c r="FV223" s="71"/>
      <c r="FW223" s="71"/>
      <c r="FX223" s="71"/>
      <c r="FY223" s="71"/>
      <c r="FZ223" s="71"/>
      <c r="GA223" s="71"/>
      <c r="GB223" s="71"/>
      <c r="GC223" s="71"/>
      <c r="GD223" s="71"/>
    </row>
    <row r="224" spans="1:186" s="92" customFormat="1" ht="34.5" customHeight="1">
      <c r="A224" s="104" t="s">
        <v>1478</v>
      </c>
      <c r="B224" s="50" t="str">
        <f>LOWER(
  IF(
    RIGHT(
      SUBSTITUTE(SUBSTITUTE(SUBSTITUTE(SUBSTITUTE(SUBSTITUTE(SUBSTITUTE(SUBSTITUTE(C224,"(","_"),")","_"),"/","_"),":","_"),"-","_")," ","_"),"__","_"),
      1
    )="_",
    LEFT(
      SUBSTITUTE(SUBSTITUTE(SUBSTITUTE(SUBSTITUTE(SUBSTITUTE(SUBSTITUTE(SUBSTITUTE(C224,"(","_"),")","_"),"/","_"),":","_"),"-","_")," ","_"),"__","_"),
      LEN(
        SUBSTITUTE(SUBSTITUTE(SUBSTITUTE(SUBSTITUTE(SUBSTITUTE(SUBSTITUTE(SUBSTITUTE(C224,"(","_"),")","_"),"/","_"),":","_"),"-","_")," ","_"),"__","_")
      )-1
    ),
    SUBSTITUTE(SUBSTITUTE(SUBSTITUTE(SUBSTITUTE(SUBSTITUTE(SUBSTITUTE(SUBSTITUTE(C224,"(","_"),")","_"),"/","_"),":","_"),"-","_")," ","_"),"__","_")
  )
)</f>
        <v>host_accession</v>
      </c>
      <c r="C224" s="53" t="s">
        <v>1479</v>
      </c>
      <c r="D224" s="84" t="s">
        <v>1480</v>
      </c>
      <c r="E224" s="53" t="s">
        <v>98</v>
      </c>
      <c r="F224" s="53" t="s">
        <v>795</v>
      </c>
      <c r="G224" s="53"/>
      <c r="H224" s="53"/>
      <c r="I224" s="53"/>
      <c r="J224" s="53"/>
      <c r="K224" s="53"/>
      <c r="L224" s="53"/>
      <c r="M224" s="53"/>
      <c r="N224" s="53"/>
      <c r="O224" s="53"/>
      <c r="P224" s="53"/>
      <c r="Q224" s="53"/>
      <c r="R224" s="93" t="s">
        <v>801</v>
      </c>
      <c r="S224" s="93"/>
      <c r="T224" s="93" t="s">
        <v>801</v>
      </c>
      <c r="U224" s="53"/>
      <c r="V224" s="53"/>
      <c r="W224" s="53"/>
      <c r="X224" s="48" t="s">
        <v>137</v>
      </c>
      <c r="Y224" s="48" t="s">
        <v>117</v>
      </c>
      <c r="Z224" s="48"/>
      <c r="AA224" s="49" t="str">
        <f>"[" &amp; _xlfn.TEXTJOIN(", ", TRUE,
    IF(I224&lt;&gt;"", """" &amp; I$1 &amp; """", ""),
    IF(J224&lt;&gt;"", """" &amp; J$1 &amp; """", ""),
    IF(K224&lt;&gt;"", """" &amp; K$1 &amp; """", ""),
    IF(L224&lt;&gt;"", """" &amp; L$1 &amp; """", ""),
    IF(M224&lt;&gt;"", """" &amp; M$1 &amp; """", ""),    IF(N224&lt;&gt;"", """" &amp; N$1 &amp; """", ""),    IF(O224&lt;&gt;"", """" &amp; O$1 &amp; """", ""),     IF(P224&lt;&gt;"", """" &amp; P$1 &amp; """", ""),     IF(Q224&lt;&gt;"", """" &amp; Q$1 &amp; """", ""), IF(R224&lt;&gt;"", """" &amp; R$1 &amp; """", ""), IF(S224&lt;&gt;"", """" &amp; S$1 &amp; """", ""), IF(T224&lt;&gt;"", """" &amp; T$1 &amp; """", ""), IF(U224&lt;&gt;"", """" &amp; U$1 &amp; """", ""),
    IF(X224&lt;&gt;"", """" &amp; X224 &amp; """", ""), IF(V224&lt;&gt;"", """" &amp; V224 &amp; """", ""), IF(W224&lt;&gt;"", """" &amp; W224 &amp; """", ""),
    IF(Y224&lt;&gt;"", """" &amp; Y224 &amp; """", ""),
    IF(Z224&lt;&gt;"", """" &amp; Z224 &amp; """", "")
) &amp; "]"</f>
        <v>["IMG/VR", "PhiSpy", "Host", "Identifiers"]</v>
      </c>
      <c r="AB224" s="53" t="s">
        <v>18</v>
      </c>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85"/>
      <c r="AY224" s="53"/>
      <c r="AZ224" s="53"/>
      <c r="BA224" s="53"/>
      <c r="BB224" s="53"/>
      <c r="BC224" s="53" t="s">
        <v>73</v>
      </c>
      <c r="BD224" s="53" t="s">
        <v>142</v>
      </c>
      <c r="BE224" s="53" t="s">
        <v>60</v>
      </c>
      <c r="BF224" s="82"/>
      <c r="BG224" s="82"/>
      <c r="BH224" s="82"/>
      <c r="BI224" s="82"/>
      <c r="BJ224" s="82"/>
      <c r="BK224" s="82"/>
      <c r="BL224" s="82"/>
      <c r="BM224" s="82"/>
      <c r="BN224" s="82"/>
      <c r="BO224" s="82"/>
      <c r="BP224" s="82"/>
      <c r="BQ224" s="82"/>
      <c r="BR224" s="82"/>
      <c r="BS224" s="82"/>
      <c r="BT224" s="82"/>
      <c r="BU224" s="82"/>
      <c r="BV224" s="82"/>
      <c r="BW224" s="82"/>
      <c r="BX224" s="82"/>
      <c r="BY224" s="82"/>
      <c r="BZ224" s="82"/>
      <c r="CA224" s="82"/>
      <c r="CB224" s="82"/>
      <c r="CC224" s="82"/>
      <c r="CD224" s="82"/>
      <c r="CE224" s="82"/>
      <c r="CF224" s="82"/>
      <c r="CG224" s="82"/>
      <c r="CH224" s="82"/>
      <c r="CI224" s="82"/>
      <c r="CJ224" s="82"/>
      <c r="CK224" s="82"/>
      <c r="CL224" s="82"/>
      <c r="CM224" s="82"/>
      <c r="CN224" s="82"/>
      <c r="CO224" s="82"/>
      <c r="CP224" s="82"/>
      <c r="CQ224" s="82"/>
      <c r="CR224" s="82"/>
      <c r="CS224" s="82"/>
      <c r="CT224" s="82"/>
      <c r="CU224" s="82"/>
      <c r="CV224" s="82"/>
      <c r="CW224" s="82"/>
      <c r="CX224" s="82"/>
      <c r="CY224" s="82"/>
      <c r="CZ224" s="82"/>
      <c r="DA224" s="82"/>
      <c r="DB224" s="82"/>
      <c r="DC224" s="82"/>
      <c r="DD224" s="82"/>
      <c r="DE224" s="82"/>
      <c r="DF224" s="82"/>
      <c r="DG224" s="82"/>
      <c r="DH224" s="82"/>
      <c r="DI224" s="82"/>
      <c r="DJ224" s="82"/>
      <c r="DK224" s="82"/>
      <c r="DL224" s="82"/>
      <c r="DM224" s="82"/>
      <c r="DN224" s="82"/>
      <c r="DO224" s="82"/>
      <c r="DP224" s="82"/>
      <c r="DQ224" s="82"/>
      <c r="DR224" s="82"/>
      <c r="DS224" s="82"/>
      <c r="DT224" s="82"/>
      <c r="DU224" s="82"/>
      <c r="DV224" s="82"/>
      <c r="DW224" s="82"/>
      <c r="DX224" s="82"/>
      <c r="DY224" s="82"/>
      <c r="DZ224" s="82"/>
      <c r="EA224" s="82"/>
      <c r="EB224" s="82"/>
      <c r="EC224" s="82"/>
      <c r="ED224" s="82"/>
      <c r="EE224" s="82"/>
      <c r="EF224" s="82"/>
      <c r="EG224" s="82"/>
      <c r="EH224" s="82"/>
      <c r="EI224" s="82"/>
      <c r="EJ224" s="82"/>
      <c r="EK224" s="82"/>
      <c r="EL224" s="82"/>
      <c r="EM224" s="82"/>
      <c r="EN224" s="82"/>
      <c r="EO224" s="82"/>
      <c r="EP224" s="82"/>
      <c r="EQ224" s="82"/>
      <c r="ER224" s="82"/>
      <c r="ES224" s="82"/>
      <c r="ET224" s="82"/>
      <c r="EU224" s="82"/>
      <c r="EV224" s="82"/>
      <c r="EW224" s="82"/>
      <c r="EX224" s="82"/>
      <c r="EY224" s="82"/>
      <c r="EZ224" s="82"/>
      <c r="FA224" s="82"/>
      <c r="FB224" s="82"/>
      <c r="FC224" s="82"/>
      <c r="FD224" s="82"/>
      <c r="FE224" s="82"/>
      <c r="FF224" s="82"/>
      <c r="FG224" s="82"/>
      <c r="FH224" s="82"/>
      <c r="FI224" s="82"/>
      <c r="FJ224" s="82"/>
      <c r="FK224" s="82"/>
      <c r="FL224" s="82"/>
      <c r="FM224" s="82"/>
      <c r="FN224" s="82"/>
      <c r="FO224" s="82"/>
      <c r="FP224" s="82"/>
      <c r="FQ224" s="82"/>
      <c r="FR224" s="82"/>
      <c r="FS224" s="82"/>
      <c r="FT224" s="82"/>
      <c r="FU224" s="82"/>
      <c r="FV224" s="82"/>
      <c r="FW224" s="82"/>
      <c r="FX224" s="82"/>
      <c r="FY224" s="82"/>
      <c r="FZ224" s="82"/>
      <c r="GA224" s="82"/>
      <c r="GB224" s="82"/>
      <c r="GC224" s="82"/>
      <c r="GD224" s="45"/>
    </row>
    <row r="225" spans="1:186" ht="34.5" customHeight="1">
      <c r="A225" s="99" t="s">
        <v>1481</v>
      </c>
      <c r="B225" s="50" t="str">
        <f>LOWER(
  IF(
    RIGHT(
      SUBSTITUTE(SUBSTITUTE(SUBSTITUTE(SUBSTITUTE(SUBSTITUTE(SUBSTITUTE(SUBSTITUTE(C225,"(","_"),")","_"),"/","_"),":","_"),"-","_")," ","_"),"__","_"),
      1
    )="_",
    LEFT(
      SUBSTITUTE(SUBSTITUTE(SUBSTITUTE(SUBSTITUTE(SUBSTITUTE(SUBSTITUTE(SUBSTITUTE(C225,"(","_"),")","_"),"/","_"),":","_"),"-","_")," ","_"),"__","_"),
      LEN(
        SUBSTITUTE(SUBSTITUTE(SUBSTITUTE(SUBSTITUTE(SUBSTITUTE(SUBSTITUTE(SUBSTITUTE(C225,"(","_"),")","_"),"/","_"),":","_"),"-","_")," ","_"),"__","_")
      )-1
    ),
    SUBSTITUTE(SUBSTITUTE(SUBSTITUTE(SUBSTITUTE(SUBSTITUTE(SUBSTITUTE(SUBSTITUTE(C225,"(","_"),")","_"),"/","_"),":","_"),"-","_")," ","_"),"__","_")
  )
)</f>
        <v>host_bioproject_accession</v>
      </c>
      <c r="C225" s="49" t="s">
        <v>1482</v>
      </c>
      <c r="D225" s="50" t="s">
        <v>1483</v>
      </c>
      <c r="E225" s="49" t="s">
        <v>98</v>
      </c>
      <c r="F225" s="49" t="s">
        <v>795</v>
      </c>
      <c r="G225" s="49"/>
      <c r="H225" s="49"/>
      <c r="I225" s="49"/>
      <c r="J225" s="49"/>
      <c r="K225" s="49"/>
      <c r="L225" s="49"/>
      <c r="M225" s="49"/>
      <c r="N225" s="49"/>
      <c r="O225" s="49"/>
      <c r="P225" s="49"/>
      <c r="Q225" s="49"/>
      <c r="R225" s="73" t="s">
        <v>1484</v>
      </c>
      <c r="S225" s="73"/>
      <c r="T225" s="73" t="s">
        <v>1484</v>
      </c>
      <c r="U225" s="49"/>
      <c r="V225" s="50"/>
      <c r="W225" s="49"/>
      <c r="X225" s="48" t="s">
        <v>137</v>
      </c>
      <c r="Y225" s="48" t="s">
        <v>117</v>
      </c>
      <c r="Z225" s="48"/>
      <c r="AA225" s="49" t="str">
        <f>"[" &amp; _xlfn.TEXTJOIN(", ", TRUE,
    IF(I225&lt;&gt;"", """" &amp; I$1 &amp; """", ""),
    IF(J225&lt;&gt;"", """" &amp; J$1 &amp; """", ""),
    IF(K225&lt;&gt;"", """" &amp; K$1 &amp; """", ""),
    IF(L225&lt;&gt;"", """" &amp; L$1 &amp; """", ""),
    IF(M225&lt;&gt;"", """" &amp; M$1 &amp; """", ""),    IF(N225&lt;&gt;"", """" &amp; N$1 &amp; """", ""),    IF(O225&lt;&gt;"", """" &amp; O$1 &amp; """", ""),     IF(P225&lt;&gt;"", """" &amp; P$1 &amp; """", ""),     IF(Q225&lt;&gt;"", """" &amp; Q$1 &amp; """", ""), IF(R225&lt;&gt;"", """" &amp; R$1 &amp; """", ""), IF(S225&lt;&gt;"", """" &amp; S$1 &amp; """", ""), IF(T225&lt;&gt;"", """" &amp; T$1 &amp; """", ""), IF(U225&lt;&gt;"", """" &amp; U$1 &amp; """", ""),
    IF(X225&lt;&gt;"", """" &amp; X225 &amp; """", ""), IF(V225&lt;&gt;"", """" &amp; V225 &amp; """", ""), IF(W225&lt;&gt;"", """" &amp; W225 &amp; """", ""),
    IF(Y225&lt;&gt;"", """" &amp; Y225 &amp; """", ""),
    IF(Z225&lt;&gt;"", """" &amp; Z225 &amp; """", "")
) &amp; "]"</f>
        <v>["IMG/VR", "PhiSpy", "Host", "Identifiers"]</v>
      </c>
      <c r="AB225" s="49" t="s">
        <v>768</v>
      </c>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54"/>
      <c r="AY225" s="49"/>
      <c r="AZ225" s="48"/>
      <c r="BA225" s="48"/>
      <c r="BB225" s="49"/>
      <c r="BC225" s="49" t="s">
        <v>73</v>
      </c>
      <c r="BD225" s="49" t="s">
        <v>108</v>
      </c>
      <c r="BE225" s="49"/>
    </row>
    <row r="226" spans="1:186" ht="34.5" customHeight="1">
      <c r="A226" s="99" t="s">
        <v>1485</v>
      </c>
      <c r="B226" s="50" t="str">
        <f>LOWER(
  IF(
    RIGHT(
      SUBSTITUTE(SUBSTITUTE(SUBSTITUTE(SUBSTITUTE(SUBSTITUTE(SUBSTITUTE(SUBSTITUTE(C226,"(","_"),")","_"),"/","_"),":","_"),"-","_")," ","_"),"__","_"),
      1
    )="_",
    LEFT(
      SUBSTITUTE(SUBSTITUTE(SUBSTITUTE(SUBSTITUTE(SUBSTITUTE(SUBSTITUTE(SUBSTITUTE(C226,"(","_"),")","_"),"/","_"),":","_"),"-","_")," ","_"),"__","_"),
      LEN(
        SUBSTITUTE(SUBSTITUTE(SUBSTITUTE(SUBSTITUTE(SUBSTITUTE(SUBSTITUTE(SUBSTITUTE(C226,"(","_"),")","_"),"/","_"),":","_"),"-","_")," ","_"),"__","_")
      )-1
    ),
    SUBSTITUTE(SUBSTITUTE(SUBSTITUTE(SUBSTITUTE(SUBSTITUTE(SUBSTITUTE(SUBSTITUTE(C226,"(","_"),")","_"),"/","_"),":","_"),"-","_")," ","_"),"__","_")
  )
)</f>
        <v>host_biosample_accession</v>
      </c>
      <c r="C226" s="49" t="s">
        <v>1486</v>
      </c>
      <c r="D226" s="50" t="s">
        <v>1487</v>
      </c>
      <c r="E226" s="49" t="s">
        <v>98</v>
      </c>
      <c r="F226" s="49" t="s">
        <v>795</v>
      </c>
      <c r="G226" s="49"/>
      <c r="H226" s="49"/>
      <c r="I226" s="49"/>
      <c r="J226" s="49"/>
      <c r="K226" s="49"/>
      <c r="L226" s="49"/>
      <c r="M226" s="49"/>
      <c r="N226" s="49"/>
      <c r="O226" s="49"/>
      <c r="P226" s="49"/>
      <c r="Q226" s="49"/>
      <c r="R226" s="73" t="s">
        <v>1488</v>
      </c>
      <c r="S226" s="73"/>
      <c r="T226" s="73" t="s">
        <v>1488</v>
      </c>
      <c r="U226" s="49"/>
      <c r="V226" s="50"/>
      <c r="W226" s="50"/>
      <c r="X226" s="48" t="s">
        <v>137</v>
      </c>
      <c r="Y226" s="48" t="s">
        <v>117</v>
      </c>
      <c r="Z226" s="48"/>
      <c r="AA226" s="49" t="str">
        <f>"[" &amp; _xlfn.TEXTJOIN(", ", TRUE,
    IF(I226&lt;&gt;"", """" &amp; I$1 &amp; """", ""),
    IF(J226&lt;&gt;"", """" &amp; J$1 &amp; """", ""),
    IF(K226&lt;&gt;"", """" &amp; K$1 &amp; """", ""),
    IF(L226&lt;&gt;"", """" &amp; L$1 &amp; """", ""),
    IF(M226&lt;&gt;"", """" &amp; M$1 &amp; """", ""),    IF(N226&lt;&gt;"", """" &amp; N$1 &amp; """", ""),    IF(O226&lt;&gt;"", """" &amp; O$1 &amp; """", ""),     IF(P226&lt;&gt;"", """" &amp; P$1 &amp; """", ""),     IF(Q226&lt;&gt;"", """" &amp; Q$1 &amp; """", ""), IF(R226&lt;&gt;"", """" &amp; R$1 &amp; """", ""), IF(S226&lt;&gt;"", """" &amp; S$1 &amp; """", ""), IF(T226&lt;&gt;"", """" &amp; T$1 &amp; """", ""), IF(U226&lt;&gt;"", """" &amp; U$1 &amp; """", ""),
    IF(X226&lt;&gt;"", """" &amp; X226 &amp; """", ""), IF(V226&lt;&gt;"", """" &amp; V226 &amp; """", ""), IF(W226&lt;&gt;"", """" &amp; W226 &amp; """", ""),
    IF(Y226&lt;&gt;"", """" &amp; Y226 &amp; """", ""),
    IF(Z226&lt;&gt;"", """" &amp; Z226 &amp; """", "")
) &amp; "]"</f>
        <v>["IMG/VR", "PhiSpy", "Host", "Identifiers"]</v>
      </c>
      <c r="AB226" s="49" t="s">
        <v>768</v>
      </c>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54"/>
      <c r="AY226" s="49"/>
      <c r="AZ226" s="48"/>
      <c r="BA226" s="48"/>
      <c r="BB226" s="49"/>
      <c r="BC226" s="49" t="s">
        <v>73</v>
      </c>
      <c r="BD226" s="49" t="s">
        <v>108</v>
      </c>
      <c r="BE226" s="49"/>
    </row>
    <row r="227" spans="1:186" ht="34.5" customHeight="1">
      <c r="A227" s="99" t="s">
        <v>1489</v>
      </c>
      <c r="B227" s="50" t="str">
        <f>LOWER(
  IF(
    RIGHT(
      SUBSTITUTE(SUBSTITUTE(SUBSTITUTE(SUBSTITUTE(SUBSTITUTE(SUBSTITUTE(SUBSTITUTE(C227,"(","_"),")","_"),"/","_"),":","_"),"-","_")," ","_"),"__","_"),
      1
    )="_",
    LEFT(
      SUBSTITUTE(SUBSTITUTE(SUBSTITUTE(SUBSTITUTE(SUBSTITUTE(SUBSTITUTE(SUBSTITUTE(C227,"(","_"),")","_"),"/","_"),":","_"),"-","_")," ","_"),"__","_"),
      LEN(
        SUBSTITUTE(SUBSTITUTE(SUBSTITUTE(SUBSTITUTE(SUBSTITUTE(SUBSTITUTE(SUBSTITUTE(C227,"(","_"),")","_"),"/","_"),":","_"),"-","_")," ","_"),"__","_")
      )-1
    ),
    SUBSTITUTE(SUBSTITUTE(SUBSTITUTE(SUBSTITUTE(SUBSTITUTE(SUBSTITUTE(SUBSTITUTE(C227,"(","_"),")","_"),"/","_"),":","_"),"-","_")," ","_"),"__","_")
  )
)</f>
        <v>host_country</v>
      </c>
      <c r="C227" s="49" t="s">
        <v>1490</v>
      </c>
      <c r="D227" s="50" t="s">
        <v>1491</v>
      </c>
      <c r="E227" s="49" t="s">
        <v>64</v>
      </c>
      <c r="F227" s="49" t="s">
        <v>795</v>
      </c>
      <c r="G227" s="49"/>
      <c r="H227" s="49"/>
      <c r="I227" s="49"/>
      <c r="J227" s="49"/>
      <c r="K227" s="49"/>
      <c r="L227" s="49"/>
      <c r="M227" s="49"/>
      <c r="N227" s="49"/>
      <c r="O227" s="49"/>
      <c r="P227" s="49"/>
      <c r="Q227" s="49"/>
      <c r="R227" s="73" t="s">
        <v>1492</v>
      </c>
      <c r="S227" s="73"/>
      <c r="T227" s="73" t="s">
        <v>1492</v>
      </c>
      <c r="U227" s="49"/>
      <c r="V227" s="50"/>
      <c r="W227" s="50"/>
      <c r="X227" s="48" t="s">
        <v>137</v>
      </c>
      <c r="Y227" s="48" t="s">
        <v>81</v>
      </c>
      <c r="Z227" s="48"/>
      <c r="AA227" s="49" t="str">
        <f>"[" &amp; _xlfn.TEXTJOIN(", ", TRUE,
    IF(I227&lt;&gt;"", """" &amp; I$1 &amp; """", ""),
    IF(J227&lt;&gt;"", """" &amp; J$1 &amp; """", ""),
    IF(K227&lt;&gt;"", """" &amp; K$1 &amp; """", ""),
    IF(L227&lt;&gt;"", """" &amp; L$1 &amp; """", ""),
    IF(M227&lt;&gt;"", """" &amp; M$1 &amp; """", ""),    IF(N227&lt;&gt;"", """" &amp; N$1 &amp; """", ""),    IF(O227&lt;&gt;"", """" &amp; O$1 &amp; """", ""),     IF(P227&lt;&gt;"", """" &amp; P$1 &amp; """", ""),     IF(Q227&lt;&gt;"", """" &amp; Q$1 &amp; """", ""), IF(R227&lt;&gt;"", """" &amp; R$1 &amp; """", ""), IF(S227&lt;&gt;"", """" &amp; S$1 &amp; """", ""), IF(T227&lt;&gt;"", """" &amp; T$1 &amp; """", ""), IF(U227&lt;&gt;"", """" &amp; U$1 &amp; """", ""),
    IF(X227&lt;&gt;"", """" &amp; X227 &amp; """", ""), IF(V227&lt;&gt;"", """" &amp; V227 &amp; """", ""), IF(W227&lt;&gt;"", """" &amp; W227 &amp; """", ""),
    IF(Y227&lt;&gt;"", """" &amp; Y227 &amp; """", ""),
    IF(Z227&lt;&gt;"", """" &amp; Z227 &amp; """", "")
) &amp; "]"</f>
        <v>["IMG/VR", "PhiSpy", "Host", "Collection"]</v>
      </c>
      <c r="AB227" s="49" t="s">
        <v>768</v>
      </c>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54" t="s">
        <v>1009</v>
      </c>
      <c r="AY227" s="49" t="s">
        <v>1010</v>
      </c>
      <c r="AZ227" s="48"/>
      <c r="BA227" s="48"/>
      <c r="BB227" s="49"/>
      <c r="BC227" s="49" t="s">
        <v>73</v>
      </c>
      <c r="BD227" s="49" t="s">
        <v>108</v>
      </c>
      <c r="BE227" s="49"/>
    </row>
    <row r="228" spans="1:186" ht="34.5" customHeight="1">
      <c r="A228" s="99" t="s">
        <v>1493</v>
      </c>
      <c r="B228" s="50" t="str">
        <f>LOWER(
  IF(
    RIGHT(
      SUBSTITUTE(SUBSTITUTE(SUBSTITUTE(SUBSTITUTE(SUBSTITUTE(SUBSTITUTE(SUBSTITUTE(C228,"(","_"),")","_"),"/","_"),":","_"),"-","_")," ","_"),"__","_"),
      1
    )="_",
    LEFT(
      SUBSTITUTE(SUBSTITUTE(SUBSTITUTE(SUBSTITUTE(SUBSTITUTE(SUBSTITUTE(SUBSTITUTE(C228,"(","_"),")","_"),"/","_"),":","_"),"-","_")," ","_"),"__","_"),
      LEN(
        SUBSTITUTE(SUBSTITUTE(SUBSTITUTE(SUBSTITUTE(SUBSTITUTE(SUBSTITUTE(SUBSTITUTE(C228,"(","_"),")","_"),"/","_"),":","_"),"-","_")," ","_"),"__","_")
      )-1
    ),
    SUBSTITUTE(SUBSTITUTE(SUBSTITUTE(SUBSTITUTE(SUBSTITUTE(SUBSTITUTE(SUBSTITUTE(C228,"(","_"),")","_"),"/","_"),":","_"),"-","_")," ","_"),"__","_")
  )
)</f>
        <v>host_collection_date</v>
      </c>
      <c r="C228" s="49" t="s">
        <v>1494</v>
      </c>
      <c r="D228" s="50" t="s">
        <v>1495</v>
      </c>
      <c r="E228" s="49" t="s">
        <v>292</v>
      </c>
      <c r="F228" s="49" t="s">
        <v>795</v>
      </c>
      <c r="G228" s="49"/>
      <c r="H228" s="49"/>
      <c r="I228" s="49"/>
      <c r="J228" s="49"/>
      <c r="K228" s="49"/>
      <c r="L228" s="49"/>
      <c r="M228" s="49"/>
      <c r="N228" s="49"/>
      <c r="O228" s="49"/>
      <c r="P228" s="49"/>
      <c r="Q228" s="49"/>
      <c r="R228" s="73" t="s">
        <v>1496</v>
      </c>
      <c r="S228" s="73"/>
      <c r="T228" s="73" t="s">
        <v>1496</v>
      </c>
      <c r="U228" s="49"/>
      <c r="V228" s="50"/>
      <c r="W228" s="50"/>
      <c r="X228" s="48" t="s">
        <v>137</v>
      </c>
      <c r="Y228" s="48" t="s">
        <v>81</v>
      </c>
      <c r="Z228" s="48"/>
      <c r="AA228" s="49" t="str">
        <f>"[" &amp; _xlfn.TEXTJOIN(", ", TRUE,
    IF(I228&lt;&gt;"", """" &amp; I$1 &amp; """", ""),
    IF(J228&lt;&gt;"", """" &amp; J$1 &amp; """", ""),
    IF(K228&lt;&gt;"", """" &amp; K$1 &amp; """", ""),
    IF(L228&lt;&gt;"", """" &amp; L$1 &amp; """", ""),
    IF(M228&lt;&gt;"", """" &amp; M$1 &amp; """", ""),    IF(N228&lt;&gt;"", """" &amp; N$1 &amp; """", ""),    IF(O228&lt;&gt;"", """" &amp; O$1 &amp; """", ""),     IF(P228&lt;&gt;"", """" &amp; P$1 &amp; """", ""),     IF(Q228&lt;&gt;"", """" &amp; Q$1 &amp; """", ""), IF(R228&lt;&gt;"", """" &amp; R$1 &amp; """", ""), IF(S228&lt;&gt;"", """" &amp; S$1 &amp; """", ""), IF(T228&lt;&gt;"", """" &amp; T$1 &amp; """", ""), IF(U228&lt;&gt;"", """" &amp; U$1 &amp; """", ""),
    IF(X228&lt;&gt;"", """" &amp; X228 &amp; """", ""), IF(V228&lt;&gt;"", """" &amp; V228 &amp; """", ""), IF(W228&lt;&gt;"", """" &amp; W228 &amp; """", ""),
    IF(Y228&lt;&gt;"", """" &amp; Y228 &amp; """", ""),
    IF(Z228&lt;&gt;"", """" &amp; Z228 &amp; """", "")
) &amp; "]"</f>
        <v>["IMG/VR", "PhiSpy", "Host", "Collection"]</v>
      </c>
      <c r="AB228" s="49" t="s">
        <v>768</v>
      </c>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54" t="s">
        <v>1497</v>
      </c>
      <c r="AY228" s="49" t="s">
        <v>996</v>
      </c>
      <c r="AZ228" s="48"/>
      <c r="BA228" s="48"/>
      <c r="BB228" s="49"/>
      <c r="BC228" s="49" t="s">
        <v>73</v>
      </c>
      <c r="BD228" s="49" t="s">
        <v>94</v>
      </c>
      <c r="BE228" s="49"/>
    </row>
    <row r="229" spans="1:186" ht="34.5" customHeight="1">
      <c r="A229" s="99" t="s">
        <v>1498</v>
      </c>
      <c r="B229" s="50" t="str">
        <f>LOWER(
  IF(
    RIGHT(
      SUBSTITUTE(SUBSTITUTE(SUBSTITUTE(SUBSTITUTE(SUBSTITUTE(SUBSTITUTE(SUBSTITUTE(C229,"(","_"),")","_"),"/","_"),":","_"),"-","_")," ","_"),"__","_"),
      1
    )="_",
    LEFT(
      SUBSTITUTE(SUBSTITUTE(SUBSTITUTE(SUBSTITUTE(SUBSTITUTE(SUBSTITUTE(SUBSTITUTE(C229,"(","_"),")","_"),"/","_"),":","_"),"-","_")," ","_"),"__","_"),
      LEN(
        SUBSTITUTE(SUBSTITUTE(SUBSTITUTE(SUBSTITUTE(SUBSTITUTE(SUBSTITUTE(SUBSTITUTE(C229,"(","_"),")","_"),"/","_"),":","_"),"-","_")," ","_"),"__","_")
      )-1
    ),
    SUBSTITUTE(SUBSTITUTE(SUBSTITUTE(SUBSTITUTE(SUBSTITUTE(SUBSTITUTE(SUBSTITUTE(C229,"(","_"),")","_"),"/","_"),":","_"),"-","_")," ","_"),"__","_")
  )
)</f>
        <v>host_imgm_taxon_oid</v>
      </c>
      <c r="C229" s="49" t="s">
        <v>1499</v>
      </c>
      <c r="D229" s="94" t="s">
        <v>1500</v>
      </c>
      <c r="E229" s="49" t="s">
        <v>98</v>
      </c>
      <c r="F229" s="49" t="s">
        <v>795</v>
      </c>
      <c r="G229" s="49"/>
      <c r="H229" s="49"/>
      <c r="I229" s="49"/>
      <c r="J229" s="49"/>
      <c r="K229" s="49"/>
      <c r="L229" s="49"/>
      <c r="M229" s="49"/>
      <c r="N229" s="49"/>
      <c r="O229" s="49"/>
      <c r="P229" s="49"/>
      <c r="Q229" s="49"/>
      <c r="R229" s="49" t="s">
        <v>1501</v>
      </c>
      <c r="S229" s="49"/>
      <c r="T229" s="49"/>
      <c r="U229" s="49"/>
      <c r="V229" s="49"/>
      <c r="W229" s="49"/>
      <c r="X229" s="48" t="s">
        <v>137</v>
      </c>
      <c r="Y229" s="48" t="s">
        <v>117</v>
      </c>
      <c r="Z229" s="48"/>
      <c r="AA229" s="49" t="str">
        <f>"[" &amp; _xlfn.TEXTJOIN(", ", TRUE,
    IF(I229&lt;&gt;"", """" &amp; I$1 &amp; """", ""),
    IF(J229&lt;&gt;"", """" &amp; J$1 &amp; """", ""),
    IF(K229&lt;&gt;"", """" &amp; K$1 &amp; """", ""),
    IF(L229&lt;&gt;"", """" &amp; L$1 &amp; """", ""),
    IF(M229&lt;&gt;"", """" &amp; M$1 &amp; """", ""),    IF(N229&lt;&gt;"", """" &amp; N$1 &amp; """", ""),    IF(O229&lt;&gt;"", """" &amp; O$1 &amp; """", ""),     IF(P229&lt;&gt;"", """" &amp; P$1 &amp; """", ""),     IF(Q229&lt;&gt;"", """" &amp; Q$1 &amp; """", ""), IF(R229&lt;&gt;"", """" &amp; R$1 &amp; """", ""), IF(S229&lt;&gt;"", """" &amp; S$1 &amp; """", ""), IF(T229&lt;&gt;"", """" &amp; T$1 &amp; """", ""), IF(U229&lt;&gt;"", """" &amp; U$1 &amp; """", ""),
    IF(X229&lt;&gt;"", """" &amp; X229 &amp; """", ""), IF(V229&lt;&gt;"", """" &amp; V229 &amp; """", ""), IF(W229&lt;&gt;"", """" &amp; W229 &amp; """", ""),
    IF(Y229&lt;&gt;"", """" &amp; Y229 &amp; """", ""),
    IF(Z229&lt;&gt;"", """" &amp; Z229 &amp; """", "")
) &amp; "]"</f>
        <v>["IMG/VR", "Host", "Identifiers"]</v>
      </c>
      <c r="AB229" s="49" t="s">
        <v>768</v>
      </c>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54"/>
      <c r="AY229" s="49"/>
      <c r="AZ229" s="49"/>
      <c r="BA229" s="49"/>
      <c r="BB229" s="49"/>
      <c r="BC229" s="49" t="s">
        <v>73</v>
      </c>
      <c r="BD229" s="49" t="s">
        <v>108</v>
      </c>
      <c r="BE229" s="49"/>
    </row>
    <row r="230" spans="1:186" ht="34.5" customHeight="1">
      <c r="A230" s="99" t="s">
        <v>1502</v>
      </c>
      <c r="B230" s="50" t="str">
        <f>LOWER(
  IF(
    RIGHT(
      SUBSTITUTE(SUBSTITUTE(SUBSTITUTE(SUBSTITUTE(SUBSTITUTE(SUBSTITUTE(SUBSTITUTE(C230,"(","_"),")","_"),"/","_"),":","_"),"-","_")," ","_"),"__","_"),
      1
    )="_",
    LEFT(
      SUBSTITUTE(SUBSTITUTE(SUBSTITUTE(SUBSTITUTE(SUBSTITUTE(SUBSTITUTE(SUBSTITUTE(C230,"(","_"),")","_"),"/","_"),":","_"),"-","_")," ","_"),"__","_"),
      LEN(
        SUBSTITUTE(SUBSTITUTE(SUBSTITUTE(SUBSTITUTE(SUBSTITUTE(SUBSTITUTE(SUBSTITUTE(C230,"(","_"),")","_"),"/","_"),":","_"),"-","_")," ","_"),"__","_")
      )-1
    ),
    SUBSTITUTE(SUBSTITUTE(SUBSTITUTE(SUBSTITUTE(SUBSTITUTE(SUBSTITUTE(SUBSTITUTE(C230,"(","_"),")","_"),"/","_"),":","_"),"-","_")," ","_"),"__","_")
  )
)</f>
        <v>host_average_sequence_depth</v>
      </c>
      <c r="C230" s="49" t="s">
        <v>1503</v>
      </c>
      <c r="D230" s="50" t="s">
        <v>1504</v>
      </c>
      <c r="E230" s="49" t="s">
        <v>92</v>
      </c>
      <c r="F230" s="49" t="s">
        <v>795</v>
      </c>
      <c r="G230" s="49"/>
      <c r="H230" s="49"/>
      <c r="I230" s="49"/>
      <c r="J230" s="49"/>
      <c r="K230" s="49"/>
      <c r="L230" s="49"/>
      <c r="M230" s="49"/>
      <c r="N230" s="49"/>
      <c r="O230" s="49"/>
      <c r="P230" s="49"/>
      <c r="Q230" s="49"/>
      <c r="R230" s="73" t="s">
        <v>1505</v>
      </c>
      <c r="S230" s="73"/>
      <c r="T230" s="73" t="s">
        <v>1505</v>
      </c>
      <c r="U230" s="49"/>
      <c r="V230" s="49"/>
      <c r="W230" s="49"/>
      <c r="X230" s="48" t="s">
        <v>137</v>
      </c>
      <c r="Y230" s="48"/>
      <c r="Z230" s="48" t="s">
        <v>93</v>
      </c>
      <c r="AA230" s="49" t="str">
        <f>"[" &amp; _xlfn.TEXTJOIN(", ", TRUE,
    IF(I230&lt;&gt;"", """" &amp; I$1 &amp; """", ""),
    IF(J230&lt;&gt;"", """" &amp; J$1 &amp; """", ""),
    IF(K230&lt;&gt;"", """" &amp; K$1 &amp; """", ""),
    IF(L230&lt;&gt;"", """" &amp; L$1 &amp; """", ""),
    IF(M230&lt;&gt;"", """" &amp; M$1 &amp; """", ""),    IF(N230&lt;&gt;"", """" &amp; N$1 &amp; """", ""),    IF(O230&lt;&gt;"", """" &amp; O$1 &amp; """", ""),     IF(P230&lt;&gt;"", """" &amp; P$1 &amp; """", ""),     IF(Q230&lt;&gt;"", """" &amp; Q$1 &amp; """", ""), IF(R230&lt;&gt;"", """" &amp; R$1 &amp; """", ""), IF(S230&lt;&gt;"", """" &amp; S$1 &amp; """", ""), IF(T230&lt;&gt;"", """" &amp; T$1 &amp; """", ""), IF(U230&lt;&gt;"", """" &amp; U$1 &amp; """", ""),
    IF(X230&lt;&gt;"", """" &amp; X230 &amp; """", ""), IF(V230&lt;&gt;"", """" &amp; V230 &amp; """", ""), IF(W230&lt;&gt;"", """" &amp; W230 &amp; """", ""),
    IF(Y230&lt;&gt;"", """" &amp; Y230 &amp; """", ""),
    IF(Z230&lt;&gt;"", """" &amp; Z230 &amp; """", "")
) &amp; "]"</f>
        <v>["IMG/VR", "PhiSpy", "Host", "Workflows"]</v>
      </c>
      <c r="AB230" s="49" t="s">
        <v>768</v>
      </c>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54" t="s">
        <v>1227</v>
      </c>
      <c r="AY230" s="49" t="s">
        <v>1228</v>
      </c>
      <c r="AZ230" s="48"/>
      <c r="BA230" s="48"/>
      <c r="BB230" s="49"/>
      <c r="BC230" s="49" t="s">
        <v>73</v>
      </c>
      <c r="BD230" s="49" t="s">
        <v>94</v>
      </c>
      <c r="BE230" s="49"/>
    </row>
    <row r="231" spans="1:186" ht="34.5" customHeight="1">
      <c r="A231" s="99" t="s">
        <v>1506</v>
      </c>
      <c r="B231" s="50" t="str">
        <f>LOWER(
  IF(
    RIGHT(
      SUBSTITUTE(SUBSTITUTE(SUBSTITUTE(SUBSTITUTE(SUBSTITUTE(SUBSTITUTE(SUBSTITUTE(C231,"(","_"),")","_"),"/","_"),":","_"),"-","_")," ","_"),"__","_"),
      1
    )="_",
    LEFT(
      SUBSTITUTE(SUBSTITUTE(SUBSTITUTE(SUBSTITUTE(SUBSTITUTE(SUBSTITUTE(SUBSTITUTE(C231,"(","_"),")","_"),"/","_"),":","_"),"-","_")," ","_"),"__","_"),
      LEN(
        SUBSTITUTE(SUBSTITUTE(SUBSTITUTE(SUBSTITUTE(SUBSTITUTE(SUBSTITUTE(SUBSTITUTE(C231,"(","_"),")","_"),"/","_"),":","_"),"-","_")," ","_"),"__","_")
      )-1
    ),
    SUBSTITUTE(SUBSTITUTE(SUBSTITUTE(SUBSTITUTE(SUBSTITUTE(SUBSTITUTE(SUBSTITUTE(C231,"(","_"),")","_"),"/","_"),":","_"),"-","_")," ","_"),"__","_")
  )
)</f>
        <v>host_sequencing_platform</v>
      </c>
      <c r="C231" s="49" t="s">
        <v>1507</v>
      </c>
      <c r="D231" s="50" t="s">
        <v>1508</v>
      </c>
      <c r="E231" s="49" t="s">
        <v>64</v>
      </c>
      <c r="F231" s="49" t="s">
        <v>795</v>
      </c>
      <c r="G231" s="49"/>
      <c r="H231" s="49"/>
      <c r="I231" s="49"/>
      <c r="J231" s="49"/>
      <c r="K231" s="49"/>
      <c r="L231" s="49"/>
      <c r="M231" s="49"/>
      <c r="N231" s="49"/>
      <c r="O231" s="49"/>
      <c r="P231" s="49"/>
      <c r="Q231" s="49"/>
      <c r="R231" s="73" t="s">
        <v>1509</v>
      </c>
      <c r="S231" s="73"/>
      <c r="T231" s="73" t="s">
        <v>1509</v>
      </c>
      <c r="U231" s="49"/>
      <c r="V231" s="49"/>
      <c r="W231" s="49"/>
      <c r="X231" s="49" t="s">
        <v>93</v>
      </c>
      <c r="Y231" s="49"/>
      <c r="Z231" s="49" t="s">
        <v>137</v>
      </c>
      <c r="AA231" s="49" t="str">
        <f>"[" &amp; _xlfn.TEXTJOIN(", ", TRUE,
    IF(I231&lt;&gt;"", """" &amp; I$1 &amp; """", ""),
    IF(J231&lt;&gt;"", """" &amp; J$1 &amp; """", ""),
    IF(K231&lt;&gt;"", """" &amp; K$1 &amp; """", ""),
    IF(L231&lt;&gt;"", """" &amp; L$1 &amp; """", ""),
    IF(M231&lt;&gt;"", """" &amp; M$1 &amp; """", ""),    IF(N231&lt;&gt;"", """" &amp; N$1 &amp; """", ""),    IF(O231&lt;&gt;"", """" &amp; O$1 &amp; """", ""),     IF(P231&lt;&gt;"", """" &amp; P$1 &amp; """", ""),     IF(Q231&lt;&gt;"", """" &amp; Q$1 &amp; """", ""), IF(R231&lt;&gt;"", """" &amp; R$1 &amp; """", ""), IF(S231&lt;&gt;"", """" &amp; S$1 &amp; """", ""), IF(T231&lt;&gt;"", """" &amp; T$1 &amp; """", ""), IF(U231&lt;&gt;"", """" &amp; U$1 &amp; """", ""),
    IF(X231&lt;&gt;"", """" &amp; X231 &amp; """", ""), IF(V231&lt;&gt;"", """" &amp; V231 &amp; """", ""), IF(W231&lt;&gt;"", """" &amp; W231 &amp; """", ""),
    IF(Y231&lt;&gt;"", """" &amp; Y231 &amp; """", ""),
    IF(Z231&lt;&gt;"", """" &amp; Z231 &amp; """", "")
) &amp; "]"</f>
        <v>["IMG/VR", "PhiSpy", "Workflows", "Host"]</v>
      </c>
      <c r="AB231" s="49" t="s">
        <v>768</v>
      </c>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54" t="s">
        <v>1251</v>
      </c>
      <c r="AY231" s="49" t="s">
        <v>141</v>
      </c>
      <c r="AZ231" s="49"/>
      <c r="BA231" s="49"/>
      <c r="BB231" s="49"/>
      <c r="BC231" s="49" t="s">
        <v>73</v>
      </c>
      <c r="BD231" s="49" t="s">
        <v>108</v>
      </c>
      <c r="BE231" s="49"/>
      <c r="BF231" s="71"/>
      <c r="BG231" s="71"/>
      <c r="BH231" s="71"/>
      <c r="BI231" s="71"/>
    </row>
    <row r="232" spans="1:186" ht="34.5" customHeight="1">
      <c r="A232" s="104" t="s">
        <v>1510</v>
      </c>
      <c r="B232" s="50" t="str">
        <f>LOWER(
  IF(
    RIGHT(
      SUBSTITUTE(SUBSTITUTE(SUBSTITUTE(SUBSTITUTE(SUBSTITUTE(SUBSTITUTE(SUBSTITUTE(C232,"(","_"),")","_"),"/","_"),":","_"),"-","_")," ","_"),"__","_"),
      1
    )="_",
    LEFT(
      SUBSTITUTE(SUBSTITUTE(SUBSTITUTE(SUBSTITUTE(SUBSTITUTE(SUBSTITUTE(SUBSTITUTE(C232,"(","_"),")","_"),"/","_"),":","_"),"-","_")," ","_"),"__","_"),
      LEN(
        SUBSTITUTE(SUBSTITUTE(SUBSTITUTE(SUBSTITUTE(SUBSTITUTE(SUBSTITUTE(SUBSTITUTE(C232,"(","_"),")","_"),"/","_"),":","_"),"-","_")," ","_"),"__","_")
      )-1
    ),
    SUBSTITUTE(SUBSTITUTE(SUBSTITUTE(SUBSTITUTE(SUBSTITUTE(SUBSTITUTE(SUBSTITUTE(C232,"(","_"),")","_"),"/","_"),":","_"),"-","_")," ","_"),"__","_")
  )
)</f>
        <v>host_association_method</v>
      </c>
      <c r="C232" s="53" t="s">
        <v>1511</v>
      </c>
      <c r="D232" s="84" t="s">
        <v>1512</v>
      </c>
      <c r="E232" s="53" t="s">
        <v>64</v>
      </c>
      <c r="F232" s="53" t="s">
        <v>795</v>
      </c>
      <c r="G232" s="53"/>
      <c r="H232" s="53"/>
      <c r="I232" s="53"/>
      <c r="J232" s="53"/>
      <c r="K232" s="53"/>
      <c r="L232" s="53"/>
      <c r="M232" s="53"/>
      <c r="N232" s="53"/>
      <c r="O232" s="53"/>
      <c r="P232" s="53"/>
      <c r="Q232" s="53"/>
      <c r="R232" s="93" t="s">
        <v>801</v>
      </c>
      <c r="S232" s="93"/>
      <c r="T232" s="93" t="s">
        <v>801</v>
      </c>
      <c r="U232" s="53"/>
      <c r="V232" s="53"/>
      <c r="W232" s="53"/>
      <c r="X232" s="53" t="s">
        <v>93</v>
      </c>
      <c r="Y232" s="53"/>
      <c r="Z232" s="53" t="s">
        <v>137</v>
      </c>
      <c r="AA232" s="49" t="str">
        <f>"[" &amp; _xlfn.TEXTJOIN(", ", TRUE,
    IF(I232&lt;&gt;"", """" &amp; I$1 &amp; """", ""),
    IF(J232&lt;&gt;"", """" &amp; J$1 &amp; """", ""),
    IF(K232&lt;&gt;"", """" &amp; K$1 &amp; """", ""),
    IF(L232&lt;&gt;"", """" &amp; L$1 &amp; """", ""),
    IF(M232&lt;&gt;"", """" &amp; M$1 &amp; """", ""),    IF(N232&lt;&gt;"", """" &amp; N$1 &amp; """", ""),    IF(O232&lt;&gt;"", """" &amp; O$1 &amp; """", ""),     IF(P232&lt;&gt;"", """" &amp; P$1 &amp; """", ""),     IF(Q232&lt;&gt;"", """" &amp; Q$1 &amp; """", ""), IF(R232&lt;&gt;"", """" &amp; R$1 &amp; """", ""), IF(S232&lt;&gt;"", """" &amp; S$1 &amp; """", ""), IF(T232&lt;&gt;"", """" &amp; T$1 &amp; """", ""), IF(U232&lt;&gt;"", """" &amp; U$1 &amp; """", ""),
    IF(X232&lt;&gt;"", """" &amp; X232 &amp; """", ""), IF(V232&lt;&gt;"", """" &amp; V232 &amp; """", ""), IF(W232&lt;&gt;"", """" &amp; W232 &amp; """", ""),
    IF(Y232&lt;&gt;"", """" &amp; Y232 &amp; """", ""),
    IF(Z232&lt;&gt;"", """" &amp; Z232 &amp; """", "")
) &amp; "]"</f>
        <v>["IMG/VR", "PhiSpy", "Workflows", "Host"]</v>
      </c>
      <c r="AB232" s="53" t="s">
        <v>18</v>
      </c>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85"/>
      <c r="AY232" s="53"/>
      <c r="AZ232" s="53"/>
      <c r="BA232" s="53"/>
      <c r="BB232" s="53"/>
      <c r="BC232" s="53" t="s">
        <v>73</v>
      </c>
      <c r="BD232" s="53" t="s">
        <v>108</v>
      </c>
      <c r="BE232" s="53"/>
      <c r="GD232" s="82"/>
    </row>
    <row r="233" spans="1:186" ht="34.5" customHeight="1">
      <c r="A233" s="105" t="s">
        <v>1513</v>
      </c>
      <c r="B233" s="50" t="str">
        <f>LOWER(
  IF(
    RIGHT(
      SUBSTITUTE(SUBSTITUTE(SUBSTITUTE(SUBSTITUTE(SUBSTITUTE(SUBSTITUTE(SUBSTITUTE(C233,"(","_"),")","_"),"/","_"),":","_"),"-","_")," ","_"),"__","_"),
      1
    )="_",
    LEFT(
      SUBSTITUTE(SUBSTITUTE(SUBSTITUTE(SUBSTITUTE(SUBSTITUTE(SUBSTITUTE(SUBSTITUTE(C233,"(","_"),")","_"),"/","_"),":","_"),"-","_")," ","_"),"__","_"),
      LEN(
        SUBSTITUTE(SUBSTITUTE(SUBSTITUTE(SUBSTITUTE(SUBSTITUTE(SUBSTITUTE(SUBSTITUTE(C233,"(","_"),")","_"),"/","_"),":","_"),"-","_")," ","_"),"__","_")
      )-1
    ),
    SUBSTITUTE(SUBSTITUTE(SUBSTITUTE(SUBSTITUTE(SUBSTITUTE(SUBSTITUTE(SUBSTITUTE(C233,"(","_"),")","_"),"/","_"),":","_"),"-","_")," ","_"),"__","_")
  )
)</f>
        <v>ncbi_clade</v>
      </c>
      <c r="C233" s="56" t="s">
        <v>1514</v>
      </c>
      <c r="D233" s="95" t="s">
        <v>1515</v>
      </c>
      <c r="E233" s="56" t="s">
        <v>64</v>
      </c>
      <c r="F233" s="56" t="s">
        <v>795</v>
      </c>
      <c r="G233" s="56"/>
      <c r="H233" s="56"/>
      <c r="I233" s="56"/>
      <c r="J233" s="56"/>
      <c r="K233" s="56"/>
      <c r="L233" s="56"/>
      <c r="M233" s="56"/>
      <c r="N233" s="56"/>
      <c r="O233" s="56"/>
      <c r="P233" s="56"/>
      <c r="Q233" s="56"/>
      <c r="R233" s="56"/>
      <c r="S233" s="56"/>
      <c r="T233" s="56"/>
      <c r="U233" s="56"/>
      <c r="V233" s="56"/>
      <c r="W233" s="56"/>
      <c r="X233" s="56" t="s">
        <v>68</v>
      </c>
      <c r="Y233" s="56" t="s">
        <v>698</v>
      </c>
      <c r="Z233" s="56" t="s">
        <v>337</v>
      </c>
      <c r="AA233" s="49" t="str">
        <f>"[" &amp; _xlfn.TEXTJOIN(", ", TRUE,
    IF(I233&lt;&gt;"", """" &amp; I$1 &amp; """", ""),
    IF(J233&lt;&gt;"", """" &amp; J$1 &amp; """", ""),
    IF(K233&lt;&gt;"", """" &amp; K$1 &amp; """", ""),
    IF(L233&lt;&gt;"", """" &amp; L$1 &amp; """", ""),
    IF(M233&lt;&gt;"", """" &amp; M$1 &amp; """", ""),    IF(N233&lt;&gt;"", """" &amp; N$1 &amp; """", ""),    IF(O233&lt;&gt;"", """" &amp; O$1 &amp; """", ""),     IF(P233&lt;&gt;"", """" &amp; P$1 &amp; """", ""),     IF(Q233&lt;&gt;"", """" &amp; Q$1 &amp; """", ""), IF(R233&lt;&gt;"", """" &amp; R$1 &amp; """", ""), IF(S233&lt;&gt;"", """" &amp; S$1 &amp; """", ""), IF(T233&lt;&gt;"", """" &amp; T$1 &amp; """", ""), IF(U233&lt;&gt;"", """" &amp; U$1 &amp; """", ""),
    IF(X233&lt;&gt;"", """" &amp; X233 &amp; """", ""), IF(V233&lt;&gt;"", """" &amp; V233 &amp; """", ""), IF(W233&lt;&gt;"", """" &amp; W233 &amp; """", ""),
    IF(Y233&lt;&gt;"", """" &amp; Y233 &amp; """", ""),
    IF(Z233&lt;&gt;"", """" &amp; Z233 &amp; """", "")
) &amp; "]"</f>
        <v>["Sample", "Taxonomy", "NCBI Taxonomy"]</v>
      </c>
      <c r="AB233" s="56" t="s">
        <v>337</v>
      </c>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96"/>
      <c r="AY233" s="56"/>
      <c r="AZ233" s="56"/>
      <c r="BA233" s="56"/>
      <c r="BB233" s="56"/>
      <c r="BC233" s="56"/>
      <c r="BD233" s="56" t="s">
        <v>108</v>
      </c>
      <c r="BE233" s="56"/>
      <c r="BF233" s="92"/>
      <c r="BG233" s="92"/>
      <c r="BH233" s="92"/>
      <c r="BI233" s="92"/>
      <c r="BJ233" s="92"/>
      <c r="BK233" s="92"/>
      <c r="BL233" s="92"/>
      <c r="BM233" s="92"/>
      <c r="BN233" s="92"/>
      <c r="BO233" s="92"/>
      <c r="BP233" s="92"/>
      <c r="BQ233" s="92"/>
      <c r="BR233" s="92"/>
      <c r="BS233" s="92"/>
      <c r="BT233" s="92"/>
      <c r="BU233" s="92"/>
      <c r="BV233" s="92"/>
      <c r="BW233" s="92"/>
      <c r="BX233" s="92"/>
      <c r="BY233" s="92"/>
      <c r="BZ233" s="92"/>
      <c r="CA233" s="92"/>
      <c r="CB233" s="92"/>
      <c r="CC233" s="92"/>
      <c r="CD233" s="92"/>
      <c r="CE233" s="92"/>
      <c r="CF233" s="92"/>
      <c r="CG233" s="92"/>
      <c r="CH233" s="92"/>
      <c r="CI233" s="92"/>
      <c r="CJ233" s="92"/>
      <c r="CK233" s="92"/>
      <c r="CL233" s="92"/>
      <c r="CM233" s="92"/>
      <c r="CN233" s="92"/>
      <c r="CO233" s="92"/>
      <c r="CP233" s="92"/>
      <c r="CQ233" s="92"/>
      <c r="CR233" s="92"/>
      <c r="CS233" s="92"/>
      <c r="CT233" s="92"/>
      <c r="CU233" s="92"/>
      <c r="CV233" s="92"/>
      <c r="CW233" s="92"/>
      <c r="CX233" s="92"/>
      <c r="CY233" s="92"/>
      <c r="CZ233" s="92"/>
      <c r="DA233" s="92"/>
      <c r="DB233" s="92"/>
      <c r="DC233" s="92"/>
      <c r="DD233" s="92"/>
      <c r="DE233" s="92"/>
      <c r="DF233" s="92"/>
      <c r="DG233" s="92"/>
      <c r="DH233" s="92"/>
      <c r="DI233" s="92"/>
      <c r="DJ233" s="92"/>
      <c r="DK233" s="92"/>
      <c r="DL233" s="92"/>
      <c r="DM233" s="92"/>
      <c r="DN233" s="92"/>
      <c r="DO233" s="92"/>
      <c r="DP233" s="92"/>
      <c r="DQ233" s="92"/>
      <c r="DR233" s="92"/>
      <c r="DS233" s="92"/>
      <c r="DT233" s="92"/>
      <c r="DU233" s="92"/>
      <c r="DV233" s="92"/>
      <c r="DW233" s="92"/>
      <c r="DX233" s="92"/>
      <c r="DY233" s="92"/>
      <c r="DZ233" s="92"/>
      <c r="EA233" s="92"/>
      <c r="EB233" s="92"/>
      <c r="EC233" s="92"/>
      <c r="ED233" s="92"/>
      <c r="EE233" s="92"/>
      <c r="EF233" s="92"/>
      <c r="EG233" s="92"/>
      <c r="EH233" s="92"/>
      <c r="EI233" s="92"/>
      <c r="EJ233" s="92"/>
      <c r="EK233" s="92"/>
      <c r="EL233" s="92"/>
      <c r="EM233" s="92"/>
      <c r="EN233" s="92"/>
      <c r="EO233" s="92"/>
      <c r="EP233" s="92"/>
      <c r="EQ233" s="92"/>
      <c r="ER233" s="92"/>
      <c r="ES233" s="92"/>
      <c r="ET233" s="92"/>
      <c r="EU233" s="92"/>
      <c r="EV233" s="92"/>
      <c r="EW233" s="92"/>
      <c r="EX233" s="92"/>
      <c r="EY233" s="92"/>
      <c r="EZ233" s="92"/>
      <c r="FA233" s="92"/>
      <c r="FB233" s="92"/>
      <c r="FC233" s="92"/>
      <c r="FD233" s="92"/>
      <c r="FE233" s="92"/>
      <c r="FF233" s="92"/>
      <c r="FG233" s="92"/>
      <c r="FH233" s="92"/>
      <c r="FI233" s="92"/>
      <c r="FJ233" s="92"/>
      <c r="FK233" s="92"/>
      <c r="FL233" s="92"/>
      <c r="FM233" s="92"/>
      <c r="FN233" s="92"/>
      <c r="FO233" s="92"/>
      <c r="FP233" s="92"/>
      <c r="FQ233" s="92"/>
      <c r="FR233" s="92"/>
      <c r="FS233" s="92"/>
      <c r="FT233" s="92"/>
      <c r="FU233" s="92"/>
      <c r="FV233" s="92"/>
      <c r="FW233" s="92"/>
      <c r="FX233" s="92"/>
      <c r="FY233" s="92"/>
      <c r="FZ233" s="92"/>
      <c r="GA233" s="92"/>
      <c r="GB233" s="92"/>
      <c r="GC233" s="92"/>
      <c r="GD233" s="92"/>
    </row>
    <row r="234" spans="1:186" ht="34.5" customHeight="1">
      <c r="A234" s="105" t="s">
        <v>1516</v>
      </c>
      <c r="B234" s="50" t="str">
        <f>LOWER(
  IF(
    RIGHT(
      SUBSTITUTE(SUBSTITUTE(SUBSTITUTE(SUBSTITUTE(SUBSTITUTE(SUBSTITUTE(SUBSTITUTE(C234,"(","_"),")","_"),"/","_"),":","_"),"-","_")," ","_"),"__","_"),
      1
    )="_",
    LEFT(
      SUBSTITUTE(SUBSTITUTE(SUBSTITUTE(SUBSTITUTE(SUBSTITUTE(SUBSTITUTE(SUBSTITUTE(C234,"(","_"),")","_"),"/","_"),":","_"),"-","_")," ","_"),"__","_"),
      LEN(
        SUBSTITUTE(SUBSTITUTE(SUBSTITUTE(SUBSTITUTE(SUBSTITUTE(SUBSTITUTE(SUBSTITUTE(C234,"(","_"),")","_"),"/","_"),":","_"),"-","_")," ","_"),"__","_")
      )-1
    ),
    SUBSTITUTE(SUBSTITUTE(SUBSTITUTE(SUBSTITUTE(SUBSTITUTE(SUBSTITUTE(SUBSTITUTE(C234,"(","_"),")","_"),"/","_"),":","_"),"-","_")," ","_"),"__","_")
  )
)</f>
        <v>ncbi_genotype</v>
      </c>
      <c r="C234" s="56" t="s">
        <v>1517</v>
      </c>
      <c r="D234" s="95" t="s">
        <v>1518</v>
      </c>
      <c r="E234" s="56" t="s">
        <v>64</v>
      </c>
      <c r="F234" s="56" t="s">
        <v>795</v>
      </c>
      <c r="G234" s="56"/>
      <c r="H234" s="56"/>
      <c r="I234" s="56"/>
      <c r="J234" s="56"/>
      <c r="K234" s="56"/>
      <c r="L234" s="56"/>
      <c r="M234" s="56"/>
      <c r="N234" s="56"/>
      <c r="O234" s="56"/>
      <c r="P234" s="56"/>
      <c r="Q234" s="56"/>
      <c r="R234" s="56"/>
      <c r="S234" s="56"/>
      <c r="T234" s="56"/>
      <c r="U234" s="56"/>
      <c r="V234" s="56"/>
      <c r="W234" s="56"/>
      <c r="X234" s="56" t="s">
        <v>68</v>
      </c>
      <c r="Y234" s="56" t="s">
        <v>698</v>
      </c>
      <c r="Z234" s="56" t="s">
        <v>337</v>
      </c>
      <c r="AA234" s="49" t="str">
        <f>"[" &amp; _xlfn.TEXTJOIN(", ", TRUE,
    IF(I234&lt;&gt;"", """" &amp; I$1 &amp; """", ""),
    IF(J234&lt;&gt;"", """" &amp; J$1 &amp; """", ""),
    IF(K234&lt;&gt;"", """" &amp; K$1 &amp; """", ""),
    IF(L234&lt;&gt;"", """" &amp; L$1 &amp; """", ""),
    IF(M234&lt;&gt;"", """" &amp; M$1 &amp; """", ""),    IF(N234&lt;&gt;"", """" &amp; N$1 &amp; """", ""),    IF(O234&lt;&gt;"", """" &amp; O$1 &amp; """", ""),     IF(P234&lt;&gt;"", """" &amp; P$1 &amp; """", ""),     IF(Q234&lt;&gt;"", """" &amp; Q$1 &amp; """", ""), IF(R234&lt;&gt;"", """" &amp; R$1 &amp; """", ""), IF(S234&lt;&gt;"", """" &amp; S$1 &amp; """", ""), IF(T234&lt;&gt;"", """" &amp; T$1 &amp; """", ""), IF(U234&lt;&gt;"", """" &amp; U$1 &amp; """", ""),
    IF(X234&lt;&gt;"", """" &amp; X234 &amp; """", ""), IF(V234&lt;&gt;"", """" &amp; V234 &amp; """", ""), IF(W234&lt;&gt;"", """" &amp; W234 &amp; """", ""),
    IF(Y234&lt;&gt;"", """" &amp; Y234 &amp; """", ""),
    IF(Z234&lt;&gt;"", """" &amp; Z234 &amp; """", "")
) &amp; "]"</f>
        <v>["Sample", "Taxonomy", "NCBI Taxonomy"]</v>
      </c>
      <c r="AB234" s="56" t="s">
        <v>337</v>
      </c>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96"/>
      <c r="AY234" s="56"/>
      <c r="AZ234" s="56"/>
      <c r="BA234" s="56"/>
      <c r="BB234" s="56"/>
      <c r="BC234" s="56"/>
      <c r="BD234" s="56" t="s">
        <v>108</v>
      </c>
      <c r="BE234" s="56"/>
      <c r="BF234" s="92"/>
      <c r="BG234" s="92"/>
      <c r="BH234" s="92"/>
      <c r="BI234" s="92"/>
      <c r="BJ234" s="92"/>
      <c r="BK234" s="92"/>
      <c r="BL234" s="92"/>
      <c r="BM234" s="92"/>
      <c r="BN234" s="92"/>
      <c r="BO234" s="92"/>
      <c r="BP234" s="92"/>
      <c r="BQ234" s="92"/>
      <c r="BR234" s="92"/>
      <c r="BS234" s="92"/>
      <c r="BT234" s="92"/>
      <c r="BU234" s="92"/>
      <c r="BV234" s="92"/>
      <c r="BW234" s="92"/>
      <c r="BX234" s="92"/>
      <c r="BY234" s="92"/>
      <c r="BZ234" s="92"/>
      <c r="CA234" s="92"/>
      <c r="CB234" s="92"/>
      <c r="CC234" s="92"/>
      <c r="CD234" s="92"/>
      <c r="CE234" s="92"/>
      <c r="CF234" s="92"/>
      <c r="CG234" s="92"/>
      <c r="CH234" s="92"/>
      <c r="CI234" s="92"/>
      <c r="CJ234" s="92"/>
      <c r="CK234" s="92"/>
      <c r="CL234" s="92"/>
      <c r="CM234" s="92"/>
      <c r="CN234" s="92"/>
      <c r="CO234" s="92"/>
      <c r="CP234" s="92"/>
      <c r="CQ234" s="92"/>
      <c r="CR234" s="92"/>
      <c r="CS234" s="92"/>
      <c r="CT234" s="92"/>
      <c r="CU234" s="92"/>
      <c r="CV234" s="92"/>
      <c r="CW234" s="92"/>
      <c r="CX234" s="92"/>
      <c r="CY234" s="92"/>
      <c r="CZ234" s="92"/>
      <c r="DA234" s="92"/>
      <c r="DB234" s="92"/>
      <c r="DC234" s="92"/>
      <c r="DD234" s="92"/>
      <c r="DE234" s="92"/>
      <c r="DF234" s="92"/>
      <c r="DG234" s="92"/>
      <c r="DH234" s="92"/>
      <c r="DI234" s="92"/>
      <c r="DJ234" s="92"/>
      <c r="DK234" s="92"/>
      <c r="DL234" s="92"/>
      <c r="DM234" s="92"/>
      <c r="DN234" s="92"/>
      <c r="DO234" s="92"/>
      <c r="DP234" s="92"/>
      <c r="DQ234" s="92"/>
      <c r="DR234" s="92"/>
      <c r="DS234" s="92"/>
      <c r="DT234" s="92"/>
      <c r="DU234" s="92"/>
      <c r="DV234" s="92"/>
      <c r="DW234" s="92"/>
      <c r="DX234" s="92"/>
      <c r="DY234" s="92"/>
      <c r="DZ234" s="92"/>
      <c r="EA234" s="92"/>
      <c r="EB234" s="92"/>
      <c r="EC234" s="92"/>
      <c r="ED234" s="92"/>
      <c r="EE234" s="92"/>
      <c r="EF234" s="92"/>
      <c r="EG234" s="92"/>
      <c r="EH234" s="92"/>
      <c r="EI234" s="92"/>
      <c r="EJ234" s="92"/>
      <c r="EK234" s="92"/>
      <c r="EL234" s="92"/>
      <c r="EM234" s="92"/>
      <c r="EN234" s="92"/>
      <c r="EO234" s="92"/>
      <c r="EP234" s="92"/>
      <c r="EQ234" s="92"/>
      <c r="ER234" s="92"/>
      <c r="ES234" s="92"/>
      <c r="ET234" s="92"/>
      <c r="EU234" s="92"/>
      <c r="EV234" s="92"/>
      <c r="EW234" s="92"/>
      <c r="EX234" s="92"/>
      <c r="EY234" s="92"/>
      <c r="EZ234" s="92"/>
      <c r="FA234" s="92"/>
      <c r="FB234" s="92"/>
      <c r="FC234" s="92"/>
      <c r="FD234" s="92"/>
      <c r="FE234" s="92"/>
      <c r="FF234" s="92"/>
      <c r="FG234" s="92"/>
      <c r="FH234" s="92"/>
      <c r="FI234" s="92"/>
      <c r="FJ234" s="92"/>
      <c r="FK234" s="92"/>
      <c r="FL234" s="92"/>
      <c r="FM234" s="92"/>
      <c r="FN234" s="92"/>
      <c r="FO234" s="92"/>
      <c r="FP234" s="92"/>
      <c r="FQ234" s="92"/>
      <c r="FR234" s="92"/>
      <c r="FS234" s="92"/>
      <c r="FT234" s="92"/>
      <c r="FU234" s="92"/>
      <c r="FV234" s="92"/>
      <c r="FW234" s="92"/>
      <c r="FX234" s="92"/>
      <c r="FY234" s="92"/>
      <c r="FZ234" s="92"/>
      <c r="GA234" s="92"/>
      <c r="GB234" s="92"/>
      <c r="GC234" s="92"/>
      <c r="GD234" s="92"/>
    </row>
    <row r="235" spans="1:186" ht="34.5" customHeight="1">
      <c r="A235" s="105" t="s">
        <v>1519</v>
      </c>
      <c r="B235" s="50" t="str">
        <f>LOWER(
  IF(
    RIGHT(
      SUBSTITUTE(SUBSTITUTE(SUBSTITUTE(SUBSTITUTE(SUBSTITUTE(SUBSTITUTE(SUBSTITUTE(C235,"(","_"),")","_"),"/","_"),":","_"),"-","_")," ","_"),"__","_"),
      1
    )="_",
    LEFT(
      SUBSTITUTE(SUBSTITUTE(SUBSTITUTE(SUBSTITUTE(SUBSTITUTE(SUBSTITUTE(SUBSTITUTE(C235,"(","_"),")","_"),"/","_"),":","_"),"-","_")," ","_"),"__","_"),
      LEN(
        SUBSTITUTE(SUBSTITUTE(SUBSTITUTE(SUBSTITUTE(SUBSTITUTE(SUBSTITUTE(SUBSTITUTE(C235,"(","_"),")","_"),"/","_"),":","_"),"-","_")," ","_"),"__","_")
      )-1
    ),
    SUBSTITUTE(SUBSTITUTE(SUBSTITUTE(SUBSTITUTE(SUBSTITUTE(SUBSTITUTE(SUBSTITUTE(C235,"(","_"),")","_"),"/","_"),":","_"),"-","_")," ","_"),"__","_")
  )
)</f>
        <v>ncbi_serotype</v>
      </c>
      <c r="C235" s="56" t="s">
        <v>1520</v>
      </c>
      <c r="D235" s="95" t="s">
        <v>1521</v>
      </c>
      <c r="E235" s="56" t="s">
        <v>64</v>
      </c>
      <c r="F235" s="56" t="s">
        <v>795</v>
      </c>
      <c r="G235" s="56"/>
      <c r="H235" s="56"/>
      <c r="I235" s="56"/>
      <c r="J235" s="56"/>
      <c r="K235" s="56"/>
      <c r="L235" s="56"/>
      <c r="M235" s="56"/>
      <c r="N235" s="56"/>
      <c r="O235" s="56"/>
      <c r="P235" s="56"/>
      <c r="Q235" s="56"/>
      <c r="R235" s="56"/>
      <c r="S235" s="56"/>
      <c r="T235" s="56"/>
      <c r="U235" s="56"/>
      <c r="V235" s="56"/>
      <c r="W235" s="56"/>
      <c r="X235" s="56" t="s">
        <v>68</v>
      </c>
      <c r="Y235" s="56" t="s">
        <v>698</v>
      </c>
      <c r="Z235" s="56" t="s">
        <v>337</v>
      </c>
      <c r="AA235" s="49" t="str">
        <f>"[" &amp; _xlfn.TEXTJOIN(", ", TRUE,
    IF(I235&lt;&gt;"", """" &amp; I$1 &amp; """", ""),
    IF(J235&lt;&gt;"", """" &amp; J$1 &amp; """", ""),
    IF(K235&lt;&gt;"", """" &amp; K$1 &amp; """", ""),
    IF(L235&lt;&gt;"", """" &amp; L$1 &amp; """", ""),
    IF(M235&lt;&gt;"", """" &amp; M$1 &amp; """", ""),    IF(N235&lt;&gt;"", """" &amp; N$1 &amp; """", ""),    IF(O235&lt;&gt;"", """" &amp; O$1 &amp; """", ""),     IF(P235&lt;&gt;"", """" &amp; P$1 &amp; """", ""),     IF(Q235&lt;&gt;"", """" &amp; Q$1 &amp; """", ""), IF(R235&lt;&gt;"", """" &amp; R$1 &amp; """", ""), IF(S235&lt;&gt;"", """" &amp; S$1 &amp; """", ""), IF(T235&lt;&gt;"", """" &amp; T$1 &amp; """", ""), IF(U235&lt;&gt;"", """" &amp; U$1 &amp; """", ""),
    IF(X235&lt;&gt;"", """" &amp; X235 &amp; """", ""), IF(V235&lt;&gt;"", """" &amp; V235 &amp; """", ""), IF(W235&lt;&gt;"", """" &amp; W235 &amp; """", ""),
    IF(Y235&lt;&gt;"", """" &amp; Y235 &amp; """", ""),
    IF(Z235&lt;&gt;"", """" &amp; Z235 &amp; """", "")
) &amp; "]"</f>
        <v>["Sample", "Taxonomy", "NCBI Taxonomy"]</v>
      </c>
      <c r="AB235" s="56" t="s">
        <v>337</v>
      </c>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96"/>
      <c r="AY235" s="56"/>
      <c r="AZ235" s="56"/>
      <c r="BA235" s="56"/>
      <c r="BB235" s="56"/>
      <c r="BC235" s="56"/>
      <c r="BD235" s="56" t="s">
        <v>108</v>
      </c>
      <c r="BE235" s="56"/>
      <c r="BF235" s="92"/>
      <c r="BG235" s="92"/>
      <c r="BH235" s="92"/>
      <c r="BI235" s="92"/>
      <c r="BJ235" s="92"/>
      <c r="BK235" s="92"/>
      <c r="BL235" s="92"/>
      <c r="BM235" s="92"/>
      <c r="BN235" s="92"/>
      <c r="BO235" s="92"/>
      <c r="BP235" s="92"/>
      <c r="BQ235" s="92"/>
      <c r="BR235" s="92"/>
      <c r="BS235" s="92"/>
      <c r="BT235" s="92"/>
      <c r="BU235" s="92"/>
      <c r="BV235" s="92"/>
      <c r="BW235" s="92"/>
      <c r="BX235" s="92"/>
      <c r="BY235" s="92"/>
      <c r="BZ235" s="92"/>
      <c r="CA235" s="92"/>
      <c r="CB235" s="92"/>
      <c r="CC235" s="92"/>
      <c r="CD235" s="92"/>
      <c r="CE235" s="92"/>
      <c r="CF235" s="92"/>
      <c r="CG235" s="92"/>
      <c r="CH235" s="92"/>
      <c r="CI235" s="92"/>
      <c r="CJ235" s="92"/>
      <c r="CK235" s="92"/>
      <c r="CL235" s="92"/>
      <c r="CM235" s="92"/>
      <c r="CN235" s="92"/>
      <c r="CO235" s="92"/>
      <c r="CP235" s="92"/>
      <c r="CQ235" s="92"/>
      <c r="CR235" s="92"/>
      <c r="CS235" s="92"/>
      <c r="CT235" s="92"/>
      <c r="CU235" s="92"/>
      <c r="CV235" s="92"/>
      <c r="CW235" s="92"/>
      <c r="CX235" s="92"/>
      <c r="CY235" s="92"/>
      <c r="CZ235" s="92"/>
      <c r="DA235" s="92"/>
      <c r="DB235" s="92"/>
      <c r="DC235" s="92"/>
      <c r="DD235" s="92"/>
      <c r="DE235" s="92"/>
      <c r="DF235" s="92"/>
      <c r="DG235" s="92"/>
      <c r="DH235" s="92"/>
      <c r="DI235" s="92"/>
      <c r="DJ235" s="92"/>
      <c r="DK235" s="92"/>
      <c r="DL235" s="92"/>
      <c r="DM235" s="92"/>
      <c r="DN235" s="92"/>
      <c r="DO235" s="92"/>
      <c r="DP235" s="92"/>
      <c r="DQ235" s="92"/>
      <c r="DR235" s="92"/>
      <c r="DS235" s="92"/>
      <c r="DT235" s="92"/>
      <c r="DU235" s="92"/>
      <c r="DV235" s="92"/>
      <c r="DW235" s="92"/>
      <c r="DX235" s="92"/>
      <c r="DY235" s="92"/>
      <c r="DZ235" s="92"/>
      <c r="EA235" s="92"/>
      <c r="EB235" s="92"/>
      <c r="EC235" s="92"/>
      <c r="ED235" s="92"/>
      <c r="EE235" s="92"/>
      <c r="EF235" s="92"/>
      <c r="EG235" s="92"/>
      <c r="EH235" s="92"/>
      <c r="EI235" s="92"/>
      <c r="EJ235" s="92"/>
      <c r="EK235" s="92"/>
      <c r="EL235" s="92"/>
      <c r="EM235" s="92"/>
      <c r="EN235" s="92"/>
      <c r="EO235" s="92"/>
      <c r="EP235" s="92"/>
      <c r="EQ235" s="92"/>
      <c r="ER235" s="92"/>
      <c r="ES235" s="92"/>
      <c r="ET235" s="92"/>
      <c r="EU235" s="92"/>
      <c r="EV235" s="92"/>
      <c r="EW235" s="92"/>
      <c r="EX235" s="92"/>
      <c r="EY235" s="92"/>
      <c r="EZ235" s="92"/>
      <c r="FA235" s="92"/>
      <c r="FB235" s="92"/>
      <c r="FC235" s="92"/>
      <c r="FD235" s="92"/>
      <c r="FE235" s="92"/>
      <c r="FF235" s="92"/>
      <c r="FG235" s="92"/>
      <c r="FH235" s="92"/>
      <c r="FI235" s="92"/>
      <c r="FJ235" s="92"/>
      <c r="FK235" s="92"/>
      <c r="FL235" s="92"/>
      <c r="FM235" s="92"/>
      <c r="FN235" s="92"/>
      <c r="FO235" s="92"/>
      <c r="FP235" s="92"/>
      <c r="FQ235" s="92"/>
      <c r="FR235" s="92"/>
      <c r="FS235" s="92"/>
      <c r="FT235" s="92"/>
      <c r="FU235" s="92"/>
      <c r="FV235" s="92"/>
      <c r="FW235" s="92"/>
      <c r="FX235" s="92"/>
      <c r="FY235" s="92"/>
      <c r="FZ235" s="92"/>
      <c r="GA235" s="92"/>
      <c r="GB235" s="92"/>
      <c r="GC235" s="92"/>
      <c r="GD235" s="92"/>
    </row>
    <row r="236" spans="1:186" ht="34.5" customHeight="1">
      <c r="A236" s="105" t="s">
        <v>1522</v>
      </c>
      <c r="B236" s="50" t="str">
        <f>LOWER(
  IF(
    RIGHT(
      SUBSTITUTE(SUBSTITUTE(SUBSTITUTE(SUBSTITUTE(SUBSTITUTE(SUBSTITUTE(SUBSTITUTE(C236,"(","_"),")","_"),"/","_"),":","_"),"-","_")," ","_"),"__","_"),
      1
    )="_",
    LEFT(
      SUBSTITUTE(SUBSTITUTE(SUBSTITUTE(SUBSTITUTE(SUBSTITUTE(SUBSTITUTE(SUBSTITUTE(C236,"(","_"),")","_"),"/","_"),":","_"),"-","_")," ","_"),"__","_"),
      LEN(
        SUBSTITUTE(SUBSTITUTE(SUBSTITUTE(SUBSTITUTE(SUBSTITUTE(SUBSTITUTE(SUBSTITUTE(C236,"(","_"),")","_"),"/","_"),":","_"),"-","_")," ","_"),"__","_")
      )-1
    ),
    SUBSTITUTE(SUBSTITUTE(SUBSTITUTE(SUBSTITUTE(SUBSTITUTE(SUBSTITUTE(SUBSTITUTE(C236,"(","_"),")","_"),"/","_"),":","_"),"-","_")," ","_"),"__","_")
  )
)</f>
        <v>ncbi_isolate</v>
      </c>
      <c r="C236" s="56" t="s">
        <v>1523</v>
      </c>
      <c r="D236" s="95" t="s">
        <v>1524</v>
      </c>
      <c r="E236" s="56" t="s">
        <v>64</v>
      </c>
      <c r="F236" s="56" t="s">
        <v>795</v>
      </c>
      <c r="G236" s="56"/>
      <c r="H236" s="56"/>
      <c r="I236" s="56"/>
      <c r="J236" s="56"/>
      <c r="K236" s="56"/>
      <c r="L236" s="56"/>
      <c r="M236" s="56"/>
      <c r="N236" s="56"/>
      <c r="O236" s="56"/>
      <c r="P236" s="56"/>
      <c r="Q236" s="56"/>
      <c r="R236" s="56"/>
      <c r="S236" s="56"/>
      <c r="T236" s="56"/>
      <c r="U236" s="56"/>
      <c r="V236" s="56"/>
      <c r="W236" s="56"/>
      <c r="X236" s="56" t="s">
        <v>68</v>
      </c>
      <c r="Y236" s="56" t="s">
        <v>698</v>
      </c>
      <c r="Z236" s="56" t="s">
        <v>337</v>
      </c>
      <c r="AA236" s="49" t="str">
        <f>"[" &amp; _xlfn.TEXTJOIN(", ", TRUE,
    IF(I236&lt;&gt;"", """" &amp; I$1 &amp; """", ""),
    IF(J236&lt;&gt;"", """" &amp; J$1 &amp; """", ""),
    IF(K236&lt;&gt;"", """" &amp; K$1 &amp; """", ""),
    IF(L236&lt;&gt;"", """" &amp; L$1 &amp; """", ""),
    IF(M236&lt;&gt;"", """" &amp; M$1 &amp; """", ""),    IF(N236&lt;&gt;"", """" &amp; N$1 &amp; """", ""),    IF(O236&lt;&gt;"", """" &amp; O$1 &amp; """", ""),     IF(P236&lt;&gt;"", """" &amp; P$1 &amp; """", ""),     IF(Q236&lt;&gt;"", """" &amp; Q$1 &amp; """", ""), IF(R236&lt;&gt;"", """" &amp; R$1 &amp; """", ""), IF(S236&lt;&gt;"", """" &amp; S$1 &amp; """", ""), IF(T236&lt;&gt;"", """" &amp; T$1 &amp; """", ""), IF(U236&lt;&gt;"", """" &amp; U$1 &amp; """", ""),
    IF(X236&lt;&gt;"", """" &amp; X236 &amp; """", ""), IF(V236&lt;&gt;"", """" &amp; V236 &amp; """", ""), IF(W236&lt;&gt;"", """" &amp; W236 &amp; """", ""),
    IF(Y236&lt;&gt;"", """" &amp; Y236 &amp; """", ""),
    IF(Z236&lt;&gt;"", """" &amp; Z236 &amp; """", "")
) &amp; "]"</f>
        <v>["Sample", "Taxonomy", "NCBI Taxonomy"]</v>
      </c>
      <c r="AB236" s="56" t="s">
        <v>337</v>
      </c>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96"/>
      <c r="AY236" s="56"/>
      <c r="AZ236" s="56"/>
      <c r="BA236" s="56"/>
      <c r="BB236" s="56"/>
      <c r="BC236" s="56"/>
      <c r="BD236" s="56" t="s">
        <v>108</v>
      </c>
      <c r="BE236" s="56"/>
      <c r="BF236" s="92"/>
      <c r="BG236" s="92"/>
      <c r="BH236" s="92"/>
      <c r="BI236" s="92"/>
      <c r="BJ236" s="92"/>
      <c r="BK236" s="92"/>
      <c r="BL236" s="92"/>
      <c r="BM236" s="92"/>
      <c r="BN236" s="92"/>
      <c r="BO236" s="92"/>
      <c r="BP236" s="92"/>
      <c r="BQ236" s="92"/>
      <c r="BR236" s="92"/>
      <c r="BS236" s="92"/>
      <c r="BT236" s="92"/>
      <c r="BU236" s="92"/>
      <c r="BV236" s="92"/>
      <c r="BW236" s="92"/>
      <c r="BX236" s="92"/>
      <c r="BY236" s="92"/>
      <c r="BZ236" s="92"/>
      <c r="CA236" s="92"/>
      <c r="CB236" s="92"/>
      <c r="CC236" s="92"/>
      <c r="CD236" s="92"/>
      <c r="CE236" s="92"/>
      <c r="CF236" s="92"/>
      <c r="CG236" s="92"/>
      <c r="CH236" s="92"/>
      <c r="CI236" s="92"/>
      <c r="CJ236" s="92"/>
      <c r="CK236" s="92"/>
      <c r="CL236" s="92"/>
      <c r="CM236" s="92"/>
      <c r="CN236" s="92"/>
      <c r="CO236" s="92"/>
      <c r="CP236" s="92"/>
      <c r="CQ236" s="92"/>
      <c r="CR236" s="92"/>
      <c r="CS236" s="92"/>
      <c r="CT236" s="92"/>
      <c r="CU236" s="92"/>
      <c r="CV236" s="92"/>
      <c r="CW236" s="92"/>
      <c r="CX236" s="92"/>
      <c r="CY236" s="92"/>
      <c r="CZ236" s="92"/>
      <c r="DA236" s="92"/>
      <c r="DB236" s="92"/>
      <c r="DC236" s="92"/>
      <c r="DD236" s="92"/>
      <c r="DE236" s="92"/>
      <c r="DF236" s="92"/>
      <c r="DG236" s="92"/>
      <c r="DH236" s="92"/>
      <c r="DI236" s="92"/>
      <c r="DJ236" s="92"/>
      <c r="DK236" s="92"/>
      <c r="DL236" s="92"/>
      <c r="DM236" s="92"/>
      <c r="DN236" s="92"/>
      <c r="DO236" s="92"/>
      <c r="DP236" s="92"/>
      <c r="DQ236" s="92"/>
      <c r="DR236" s="92"/>
      <c r="DS236" s="92"/>
      <c r="DT236" s="92"/>
      <c r="DU236" s="92"/>
      <c r="DV236" s="92"/>
      <c r="DW236" s="92"/>
      <c r="DX236" s="92"/>
      <c r="DY236" s="92"/>
      <c r="DZ236" s="92"/>
      <c r="EA236" s="92"/>
      <c r="EB236" s="92"/>
      <c r="EC236" s="92"/>
      <c r="ED236" s="92"/>
      <c r="EE236" s="92"/>
      <c r="EF236" s="92"/>
      <c r="EG236" s="92"/>
      <c r="EH236" s="92"/>
      <c r="EI236" s="92"/>
      <c r="EJ236" s="92"/>
      <c r="EK236" s="92"/>
      <c r="EL236" s="92"/>
      <c r="EM236" s="92"/>
      <c r="EN236" s="92"/>
      <c r="EO236" s="92"/>
      <c r="EP236" s="92"/>
      <c r="EQ236" s="92"/>
      <c r="ER236" s="92"/>
      <c r="ES236" s="92"/>
      <c r="ET236" s="92"/>
      <c r="EU236" s="92"/>
      <c r="EV236" s="92"/>
      <c r="EW236" s="92"/>
      <c r="EX236" s="92"/>
      <c r="EY236" s="92"/>
      <c r="EZ236" s="92"/>
      <c r="FA236" s="92"/>
      <c r="FB236" s="92"/>
      <c r="FC236" s="92"/>
      <c r="FD236" s="92"/>
      <c r="FE236" s="92"/>
      <c r="FF236" s="92"/>
      <c r="FG236" s="92"/>
      <c r="FH236" s="92"/>
      <c r="FI236" s="92"/>
      <c r="FJ236" s="92"/>
      <c r="FK236" s="92"/>
      <c r="FL236" s="92"/>
      <c r="FM236" s="92"/>
      <c r="FN236" s="92"/>
      <c r="FO236" s="92"/>
      <c r="FP236" s="92"/>
      <c r="FQ236" s="92"/>
      <c r="FR236" s="92"/>
      <c r="FS236" s="92"/>
      <c r="FT236" s="92"/>
      <c r="FU236" s="92"/>
      <c r="FV236" s="92"/>
      <c r="FW236" s="92"/>
      <c r="FX236" s="92"/>
      <c r="FY236" s="92"/>
      <c r="FZ236" s="92"/>
      <c r="GA236" s="92"/>
      <c r="GB236" s="92"/>
      <c r="GC236" s="92"/>
      <c r="GD236" s="92"/>
    </row>
  </sheetData>
  <conditionalFormatting sqref="G2 G5:G98 G149 G160 G162 G164:G166 G168 G170">
    <cfRule type="expression" dxfId="2" priority="10">
      <formula>COUNTIF(G:G, G2) &gt; 1</formula>
    </cfRule>
  </conditionalFormatting>
  <conditionalFormatting sqref="A1:A1048576">
    <cfRule type="duplicateValues" dxfId="1" priority="1"/>
  </conditionalFormatting>
  <hyperlinks>
    <hyperlink ref="AR2" r:id="rId1" display="https://github.com/ELIXIR-Belgium/ENA-metadata-templates/tree/main/templates/ERC000033" xr:uid="{00000000-0004-0000-0000-000000000000}"/>
    <hyperlink ref="AU2" r:id="rId2" display="https://github.com/ELIXIR-Belgium/ENA-metadata-templates/tree/main/templates/ERC000032" xr:uid="{00000000-0004-0000-0000-000001000000}"/>
  </hyperlinks>
  <pageMargins left="0.7" right="0.7" top="0.78740157499999996" bottom="0.78740157499999996" header="0.3" footer="0.3"/>
  <pageSetup paperSize="9" orientation="portrait"/>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Q296"/>
  <sheetViews>
    <sheetView topLeftCell="J14" zoomScale="70" zoomScaleNormal="70" workbookViewId="0">
      <selection activeCell="N21" sqref="N21"/>
    </sheetView>
  </sheetViews>
  <sheetFormatPr defaultColWidth="11.42578125" defaultRowHeight="15"/>
  <cols>
    <col min="1" max="40" width="27.5703125" customWidth="1"/>
  </cols>
  <sheetData>
    <row r="1" spans="1:172" s="19" customFormat="1" ht="23.25" customHeight="1">
      <c r="A1" s="17" t="s">
        <v>1525</v>
      </c>
      <c r="B1" s="17" t="s">
        <v>1525</v>
      </c>
      <c r="C1" s="17" t="s">
        <v>1525</v>
      </c>
      <c r="D1" s="17" t="s">
        <v>1525</v>
      </c>
      <c r="E1" s="17" t="s">
        <v>1525</v>
      </c>
      <c r="F1" s="18" t="s">
        <v>1</v>
      </c>
      <c r="G1" s="18" t="s">
        <v>2</v>
      </c>
      <c r="H1" s="18" t="s">
        <v>3</v>
      </c>
      <c r="I1" s="19" t="s">
        <v>4</v>
      </c>
      <c r="J1" s="19" t="s">
        <v>5</v>
      </c>
      <c r="K1" s="19" t="s">
        <v>6</v>
      </c>
      <c r="L1" s="19" t="s">
        <v>7</v>
      </c>
      <c r="M1" s="20" t="s">
        <v>8</v>
      </c>
      <c r="N1" s="20" t="s">
        <v>9</v>
      </c>
      <c r="O1" s="18" t="s">
        <v>10</v>
      </c>
      <c r="P1" s="18" t="s">
        <v>11</v>
      </c>
      <c r="Q1" s="30" t="s">
        <v>16</v>
      </c>
      <c r="R1" s="20" t="s">
        <v>1525</v>
      </c>
      <c r="S1" s="20" t="s">
        <v>1525</v>
      </c>
      <c r="T1" s="20" t="s">
        <v>1525</v>
      </c>
      <c r="U1" s="20" t="s">
        <v>1525</v>
      </c>
      <c r="V1" s="20" t="s">
        <v>1525</v>
      </c>
      <c r="W1" s="20" t="s">
        <v>1525</v>
      </c>
      <c r="X1" s="18" t="s">
        <v>1</v>
      </c>
      <c r="Y1" s="20" t="s">
        <v>8</v>
      </c>
      <c r="Z1" s="20" t="s">
        <v>8</v>
      </c>
      <c r="AA1" s="20" t="s">
        <v>8</v>
      </c>
      <c r="AB1" s="20" t="s">
        <v>8</v>
      </c>
      <c r="AC1" s="20" t="s">
        <v>9</v>
      </c>
      <c r="AD1" s="20" t="s">
        <v>9</v>
      </c>
      <c r="AE1" s="20" t="s">
        <v>9</v>
      </c>
      <c r="AF1" s="20" t="s">
        <v>9</v>
      </c>
      <c r="AG1" s="20" t="s">
        <v>9</v>
      </c>
      <c r="AH1" s="20" t="s">
        <v>9</v>
      </c>
      <c r="AI1" s="18" t="s">
        <v>10</v>
      </c>
      <c r="AJ1" s="18" t="s">
        <v>10</v>
      </c>
      <c r="AK1" s="18" t="s">
        <v>10</v>
      </c>
      <c r="AL1" s="18" t="s">
        <v>11</v>
      </c>
      <c r="AM1" s="18" t="s">
        <v>11</v>
      </c>
      <c r="AN1" s="18" t="s">
        <v>11</v>
      </c>
      <c r="AO1" s="24" t="s">
        <v>3</v>
      </c>
      <c r="AP1" s="19" t="s">
        <v>3</v>
      </c>
      <c r="AQ1" s="19" t="s">
        <v>3</v>
      </c>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row>
    <row r="2" spans="1:172" s="19" customFormat="1" ht="23.25" customHeight="1">
      <c r="A2" s="17" t="s">
        <v>21</v>
      </c>
      <c r="B2" s="17" t="s">
        <v>22</v>
      </c>
      <c r="C2" s="17" t="s">
        <v>23</v>
      </c>
      <c r="D2" s="17" t="s">
        <v>1526</v>
      </c>
      <c r="E2" s="19" t="s">
        <v>25</v>
      </c>
      <c r="F2" s="17" t="s">
        <v>26</v>
      </c>
      <c r="G2" s="18" t="s">
        <v>21</v>
      </c>
      <c r="H2" s="18" t="s">
        <v>21</v>
      </c>
      <c r="I2" s="18" t="s">
        <v>21</v>
      </c>
      <c r="J2" s="18" t="s">
        <v>21</v>
      </c>
      <c r="K2" s="18" t="s">
        <v>21</v>
      </c>
      <c r="L2" s="18" t="s">
        <v>21</v>
      </c>
      <c r="M2" s="18" t="s">
        <v>27</v>
      </c>
      <c r="N2" s="17" t="s">
        <v>28</v>
      </c>
      <c r="O2" s="17" t="s">
        <v>29</v>
      </c>
      <c r="P2" s="18" t="s">
        <v>29</v>
      </c>
      <c r="Q2" s="31" t="s">
        <v>30</v>
      </c>
      <c r="R2" s="20" t="s">
        <v>31</v>
      </c>
      <c r="S2" s="20" t="s">
        <v>32</v>
      </c>
      <c r="T2" s="20" t="s">
        <v>33</v>
      </c>
      <c r="U2" s="20" t="s">
        <v>34</v>
      </c>
      <c r="V2" s="19" t="s">
        <v>35</v>
      </c>
      <c r="W2" s="19" t="s">
        <v>37</v>
      </c>
      <c r="X2" s="19" t="s">
        <v>38</v>
      </c>
      <c r="Y2" s="19" t="s">
        <v>39</v>
      </c>
      <c r="Z2" s="19" t="s">
        <v>40</v>
      </c>
      <c r="AA2" s="19" t="s">
        <v>41</v>
      </c>
      <c r="AB2" s="19" t="s">
        <v>42</v>
      </c>
      <c r="AC2" s="19" t="s">
        <v>43</v>
      </c>
      <c r="AD2" s="19" t="s">
        <v>44</v>
      </c>
      <c r="AE2" s="19" t="s">
        <v>45</v>
      </c>
      <c r="AF2" s="19" t="s">
        <v>46</v>
      </c>
      <c r="AG2" s="19" t="s">
        <v>47</v>
      </c>
      <c r="AH2" s="19" t="s">
        <v>48</v>
      </c>
      <c r="AI2" s="19" t="s">
        <v>49</v>
      </c>
      <c r="AJ2" s="19" t="s">
        <v>50</v>
      </c>
      <c r="AK2" s="23" t="s">
        <v>51</v>
      </c>
      <c r="AL2" s="19" t="s">
        <v>49</v>
      </c>
      <c r="AM2" s="19" t="s">
        <v>50</v>
      </c>
      <c r="AN2" s="23" t="s">
        <v>51</v>
      </c>
      <c r="AO2" s="24" t="s">
        <v>52</v>
      </c>
      <c r="AP2" s="19" t="s">
        <v>55</v>
      </c>
      <c r="AQ2" s="19" t="s">
        <v>56</v>
      </c>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row>
    <row r="3" spans="1:172" s="19" customFormat="1" ht="23.25" customHeight="1">
      <c r="A3" s="17" t="str">
        <f>_xlfn.TEXTJOIN(" ", TRUE, LOWER(A1), LOWER(A2))</f>
        <v>vjdbv0.3 field id</v>
      </c>
      <c r="B3" s="17" t="str">
        <f>_xlfn.TEXTJOIN(" ", TRUE, LOWER(B1), LOWER(B2))</f>
        <v>vjdbv0.3 name</v>
      </c>
      <c r="C3" s="17" t="str">
        <f>_xlfn.TEXTJOIN(" ", TRUE, LOWER(C1), LOWER(C2))</f>
        <v>vjdbv0.3 description</v>
      </c>
      <c r="D3" s="17" t="str">
        <f>_xlfn.TEXTJOIN(" ", TRUE, LOWER(D1), LOWER(D2))</f>
        <v>vjdbv0.3 fields type</v>
      </c>
      <c r="E3" s="17" t="str">
        <f>_xlfn.TEXTJOIN(" ", TRUE, LOWER(E1), LOWER(E2))</f>
        <v>vjdbv0.3 privacy</v>
      </c>
      <c r="F3" s="17" t="str">
        <f>_xlfn.TEXTJOIN(" ", TRUE, LOWER(F1), LOWER(F2))</f>
        <v>vjdbv0.2  field id</v>
      </c>
      <c r="G3" s="17" t="str">
        <f>_xlfn.TEXTJOIN(" ", TRUE, LOWER(G1), LOWER(G2))</f>
        <v>vjdbv0.1 field id</v>
      </c>
      <c r="H3" s="17" t="str">
        <f>_xlfn.TEXTJOIN(" ", TRUE, LOWER(H1), LOWER(H2))</f>
        <v>ena field id</v>
      </c>
      <c r="I3" s="17" t="str">
        <f>_xlfn.TEXTJOIN(" ", TRUE, LOWER(I1), LOWER(I2))</f>
        <v>rki field id</v>
      </c>
      <c r="J3" s="17" t="str">
        <f>_xlfn.TEXTJOIN(" ", TRUE, LOWER(J1), LOWER(J2))</f>
        <v>migs-vi field id</v>
      </c>
      <c r="K3" s="17" t="str">
        <f>_xlfn.TEXTJOIN(" ", TRUE, LOWER(K1), LOWER(K2))</f>
        <v>migs-uvig field id</v>
      </c>
      <c r="L3" s="17" t="str">
        <f>_xlfn.TEXTJOIN(" ", TRUE, LOWER(L1), LOWER(L2))</f>
        <v>env-o field id</v>
      </c>
      <c r="M3" s="17" t="str">
        <f>_xlfn.TEXTJOIN(" ", TRUE, LOWER(M1), LOWER(M2))</f>
        <v>ncbi virus n nucleotide field id</v>
      </c>
      <c r="N3" s="17" t="str">
        <f>_xlfn.TEXTJOIN(" ", TRUE, LOWER(N1), LOWER(N2))</f>
        <v>bv-brc b field name</v>
      </c>
      <c r="O3" s="17" t="str">
        <f>_xlfn.TEXTJOIN(" ", TRUE, LOWER(O1), LOWER(O2))</f>
        <v>ena erc32 field name</v>
      </c>
      <c r="P3" s="17" t="str">
        <f>_xlfn.TEXTJOIN(" ", TRUE, LOWER(P1), LOWER(P2))</f>
        <v>ena erc33 field name</v>
      </c>
      <c r="Q3" s="19" t="str">
        <f>_xlfn.TEXTJOIN(" ", TRUE, LOWER(Q1), LOWER(Q2))</f>
        <v>ena submission object object name</v>
      </c>
      <c r="R3" s="17" t="str">
        <f>_xlfn.TEXTJOIN(" ", TRUE, LOWER(R1), LOWER(R2))</f>
        <v>vjdbv0.3 group1</v>
      </c>
      <c r="S3" s="17" t="str">
        <f>_xlfn.TEXTJOIN(" ", TRUE, LOWER(S1), LOWER(S2))</f>
        <v>vjdbv0.3 group2</v>
      </c>
      <c r="T3" s="17" t="str">
        <f>_xlfn.TEXTJOIN(" ", TRUE, LOWER(T1), LOWER(T2))</f>
        <v>vjdbv0.3 group3</v>
      </c>
      <c r="U3" s="17" t="str">
        <f>_xlfn.TEXTJOIN(" ", TRUE, LOWER(U1), LOWER(U2))</f>
        <v>vjdbv0.3 tags</v>
      </c>
      <c r="V3" s="17" t="str">
        <f>_xlfn.TEXTJOIN(" ", TRUE, LOWER(V1), LOWER(V2))</f>
        <v>vjdbv0.3 input source</v>
      </c>
      <c r="W3" s="17" t="str">
        <f>_xlfn.TEXTJOIN(" ", TRUE, LOWER(W1), LOWER(W2))</f>
        <v>vjdbv0.3 changes</v>
      </c>
      <c r="X3" s="17" t="str">
        <f>_xlfn.TEXTJOIN(" ", TRUE, LOWER(X1), LOWER(X2))</f>
        <v>vjdbv0.2 previous changes</v>
      </c>
      <c r="Y3" s="17" t="str">
        <f>_xlfn.TEXTJOIN(" ", TRUE, LOWER(Y1), LOWER(Y2))</f>
        <v>ncbi virus n field name</v>
      </c>
      <c r="Z3" s="17" t="str">
        <f>_xlfn.TEXTJOIN(" ", TRUE, LOWER(Z1), LOWER(Z2))</f>
        <v>ncbi virus n field description</v>
      </c>
      <c r="AA3" s="17" t="str">
        <f>_xlfn.TEXTJOIN(" ", TRUE, LOWER(AA1), LOWER(AA2))</f>
        <v>ncbi virus n type</v>
      </c>
      <c r="AB3" s="17" t="str">
        <f>_xlfn.TEXTJOIN(" ", TRUE, LOWER(AB1), LOWER(AB2))</f>
        <v>ncbi virus n curation notes</v>
      </c>
      <c r="AC3" s="17" t="str">
        <f>_xlfn.TEXTJOIN(" ", TRUE, LOWER(AC1), LOWER(AC2))</f>
        <v>bv-brc b category</v>
      </c>
      <c r="AD3" s="17" t="str">
        <f>_xlfn.TEXTJOIN(" ", TRUE, LOWER(AD1), LOWER(AD2))</f>
        <v>bv-brc b schema category</v>
      </c>
      <c r="AE3" s="17" t="str">
        <f>_xlfn.TEXTJOIN(" ", TRUE, LOWER(AE1), LOWER(AE2))</f>
        <v>bv-brc b field id</v>
      </c>
      <c r="AF3" s="17" t="str">
        <f>_xlfn.TEXTJOIN(" ", TRUE, LOWER(AF1), LOWER(AF2))</f>
        <v>bv-brc b field type</v>
      </c>
      <c r="AG3" s="17" t="str">
        <f>_xlfn.TEXTJOIN(" ", TRUE, LOWER(AG1), LOWER(AG2))</f>
        <v>bv-brc b type</v>
      </c>
      <c r="AH3" s="17" t="str">
        <f>_xlfn.TEXTJOIN(" ", TRUE, LOWER(AH1), LOWER(AH2))</f>
        <v>bv-brc b curation notes</v>
      </c>
      <c r="AI3" s="17" t="str">
        <f>_xlfn.TEXTJOIN(" ", TRUE, LOWER(AI1), LOWER(AI2))</f>
        <v>ena erc32 field description</v>
      </c>
      <c r="AJ3" s="17" t="str">
        <f>_xlfn.TEXTJOIN(" ", TRUE, LOWER(AJ1), LOWER(AJ2))</f>
        <v>ena erc32 controlled vocabulary</v>
      </c>
      <c r="AK3" s="17" t="str">
        <f>_xlfn.TEXTJOIN(" ", TRUE, LOWER(AK1), LOWER(AK2))</f>
        <v>ena erc32 field type</v>
      </c>
      <c r="AL3" s="17" t="str">
        <f>_xlfn.TEXTJOIN(" ", TRUE, LOWER(AL1), LOWER(AL2))</f>
        <v>ena erc33 field description</v>
      </c>
      <c r="AM3" s="17" t="str">
        <f>_xlfn.TEXTJOIN(" ", TRUE, LOWER(AM1), LOWER(AM2))</f>
        <v>ena erc33 controlled vocabulary</v>
      </c>
      <c r="AN3" s="17" t="str">
        <f>_xlfn.TEXTJOIN(" ", TRUE, LOWER(AN1), LOWER(AN2))</f>
        <v>ena erc33 field type</v>
      </c>
      <c r="AO3" s="25" t="str">
        <f>_xlfn.TEXTJOIN(" ", TRUE, LOWER(AO1), LOWER(AO2))</f>
        <v>ena submission requiredness</v>
      </c>
      <c r="AP3" s="17" t="str">
        <f>_xlfn.TEXTJOIN(" ", TRUE, LOWER(AP1), LOWER(AP2))</f>
        <v>ena submission fieldtype</v>
      </c>
      <c r="AQ3" s="17" t="str">
        <f>_xlfn.TEXTJOIN(" ", TRUE, LOWER(AQ1), LOWER(AQ2))</f>
        <v>ena submission validation</v>
      </c>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row>
    <row r="4" spans="1:172" s="22" customFormat="1" ht="23.25" customHeight="1">
      <c r="A4" s="21" t="str">
        <f>SUBSTITUTE(A3, " ", "_")</f>
        <v>vjdbv0.3_field_id</v>
      </c>
      <c r="B4" s="21" t="str">
        <f>SUBSTITUTE(B3, " ", "_")</f>
        <v>vjdbv0.3_name</v>
      </c>
      <c r="C4" s="21" t="str">
        <f>SUBSTITUTE(C3, " ", "_")</f>
        <v>vjdbv0.3_description</v>
      </c>
      <c r="D4" s="21" t="str">
        <f>SUBSTITUTE(D3, " ", "_")</f>
        <v>vjdbv0.3_fields_type</v>
      </c>
      <c r="E4" s="21" t="str">
        <f>SUBSTITUTE(E3, " ", "_")</f>
        <v>vjdbv0.3_privacy</v>
      </c>
      <c r="F4" s="21" t="str">
        <f>SUBSTITUTE(F3, " ", "_")</f>
        <v>vjdbv0.2__field_id</v>
      </c>
      <c r="G4" s="21" t="str">
        <f>SUBSTITUTE(G3, " ", "_")</f>
        <v>vjdbv0.1_field_id</v>
      </c>
      <c r="H4" s="21" t="str">
        <f>SUBSTITUTE(H3, " ", "_")</f>
        <v>ena_field_id</v>
      </c>
      <c r="I4" s="21" t="str">
        <f>SUBSTITUTE(I3, " ", "_")</f>
        <v>rki_field_id</v>
      </c>
      <c r="J4" s="21" t="str">
        <f>SUBSTITUTE(J3, " ", "_")</f>
        <v>migs-vi_field_id</v>
      </c>
      <c r="K4" s="21" t="str">
        <f>SUBSTITUTE(K3, " ", "_")</f>
        <v>migs-uvig_field_id</v>
      </c>
      <c r="L4" s="21" t="str">
        <f>SUBSTITUTE(L3, " ", "_")</f>
        <v>env-o_field_id</v>
      </c>
      <c r="M4" s="21" t="str">
        <f>SUBSTITUTE(M3, " ", "_")</f>
        <v>ncbi_virus_n_nucleotide_field_id</v>
      </c>
      <c r="N4" s="21" t="str">
        <f>SUBSTITUTE(N3, " ", "_")</f>
        <v>bv-brc_b_field_name</v>
      </c>
      <c r="O4" s="21" t="str">
        <f>SUBSTITUTE(O3, " ", "_")</f>
        <v>ena_erc32_field_name</v>
      </c>
      <c r="P4" s="21" t="str">
        <f>SUBSTITUTE(P3, " ", "_")</f>
        <v>ena_erc33_field_name</v>
      </c>
      <c r="Q4" s="19" t="str">
        <f>SUBSTITUTE(Q3, " ", "_")</f>
        <v>ena_submission_object_object_name</v>
      </c>
      <c r="R4" s="21" t="str">
        <f>SUBSTITUTE(R3, " ", "_")</f>
        <v>vjdbv0.3_group1</v>
      </c>
      <c r="S4" s="21" t="str">
        <f>SUBSTITUTE(S3, " ", "_")</f>
        <v>vjdbv0.3_group2</v>
      </c>
      <c r="T4" s="21" t="str">
        <f>SUBSTITUTE(T3, " ", "_")</f>
        <v>vjdbv0.3_group3</v>
      </c>
      <c r="U4" s="21" t="str">
        <f>SUBSTITUTE(U3, " ", "_")</f>
        <v>vjdbv0.3_tags</v>
      </c>
      <c r="V4" s="21" t="str">
        <f>SUBSTITUTE(V3, " ", "_")</f>
        <v>vjdbv0.3_input_source</v>
      </c>
      <c r="W4" s="21" t="str">
        <f>SUBSTITUTE(W3, " ", "_")</f>
        <v>vjdbv0.3_changes</v>
      </c>
      <c r="X4" s="21" t="str">
        <f>SUBSTITUTE(X3, " ", "_")</f>
        <v>vjdbv0.2_previous_changes</v>
      </c>
      <c r="Y4" s="21" t="str">
        <f>SUBSTITUTE(Y3, " ", "_")</f>
        <v>ncbi_virus_n_field_name</v>
      </c>
      <c r="Z4" s="21" t="str">
        <f>SUBSTITUTE(Z3, " ", "_")</f>
        <v>ncbi_virus_n_field_description</v>
      </c>
      <c r="AA4" s="21" t="str">
        <f>SUBSTITUTE(AA3, " ", "_")</f>
        <v>ncbi_virus_n_type</v>
      </c>
      <c r="AB4" s="21" t="str">
        <f>SUBSTITUTE(AB3, " ", "_")</f>
        <v>ncbi_virus_n_curation_notes</v>
      </c>
      <c r="AC4" s="21" t="str">
        <f>SUBSTITUTE(AC3, " ", "_")</f>
        <v>bv-brc_b_category</v>
      </c>
      <c r="AD4" s="21" t="str">
        <f>SUBSTITUTE(AD3, " ", "_")</f>
        <v>bv-brc_b_schema_category</v>
      </c>
      <c r="AE4" s="21" t="str">
        <f>SUBSTITUTE(AE3, " ", "_")</f>
        <v>bv-brc_b_field_id</v>
      </c>
      <c r="AF4" s="21" t="str">
        <f>SUBSTITUTE(AF3, " ", "_")</f>
        <v>bv-brc_b_field_type</v>
      </c>
      <c r="AG4" s="21" t="str">
        <f>SUBSTITUTE(AG3, " ", "_")</f>
        <v>bv-brc_b_type</v>
      </c>
      <c r="AH4" s="21" t="str">
        <f>SUBSTITUTE(AH3, " ", "_")</f>
        <v>bv-brc_b_curation_notes</v>
      </c>
      <c r="AI4" s="21" t="str">
        <f>SUBSTITUTE(AI3, " ", "_")</f>
        <v>ena_erc32_field_description</v>
      </c>
      <c r="AJ4" s="21" t="str">
        <f>SUBSTITUTE(AJ3, " ", "_")</f>
        <v>ena_erc32_controlled_vocabulary</v>
      </c>
      <c r="AK4" s="21" t="str">
        <f>SUBSTITUTE(AK3, " ", "_")</f>
        <v>ena_erc32_field_type</v>
      </c>
      <c r="AL4" s="21" t="str">
        <f>SUBSTITUTE(AL3, " ", "_")</f>
        <v>ena_erc33_field_description</v>
      </c>
      <c r="AM4" s="21" t="str">
        <f>SUBSTITUTE(AM3, " ", "_")</f>
        <v>ena_erc33_controlled_vocabulary</v>
      </c>
      <c r="AN4" s="21" t="str">
        <f>SUBSTITUTE(AN3, " ", "_")</f>
        <v>ena_erc33_field_type</v>
      </c>
      <c r="AO4" s="26" t="str">
        <f>SUBSTITUTE(AO3, " ", "_")</f>
        <v>ena_submission_requiredness</v>
      </c>
      <c r="AP4" s="17" t="str">
        <f>SUBSTITUTE(AP3, " ", "_")</f>
        <v>ena_submission_fieldtype</v>
      </c>
      <c r="AQ4" s="17" t="str">
        <f>SUBSTITUTE(AQ3, " ", "_")</f>
        <v>ena_submission_validation</v>
      </c>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row>
    <row r="5" spans="1:172" s="10" customFormat="1" ht="23.25" customHeight="1">
      <c r="A5" s="4"/>
      <c r="B5" s="4"/>
      <c r="C5" s="4"/>
      <c r="D5" s="4"/>
      <c r="E5" s="5" t="s">
        <v>844</v>
      </c>
      <c r="F5" s="4"/>
      <c r="G5" s="4"/>
      <c r="H5" s="4"/>
      <c r="I5" s="4"/>
      <c r="J5" s="4"/>
      <c r="K5" s="4"/>
      <c r="L5" s="4"/>
      <c r="M5" s="4"/>
      <c r="N5" s="4"/>
      <c r="O5" s="6"/>
      <c r="P5" s="6"/>
      <c r="Q5" s="3"/>
      <c r="R5" s="7"/>
      <c r="S5" s="4"/>
      <c r="T5" s="4"/>
      <c r="U5" s="3" t="str">
        <f>"[" &amp; _xlfn.TEXTJOIN(", ", TRUE,
    IF(H5&lt;&gt;"", """" &amp; VJDBCore!I$1 &amp; """", ""),
    IF(I5&lt;&gt;"", """" &amp; VJDBCore!J$1 &amp; """", ""),
    IF(J5&lt;&gt;"", """" &amp; VJDBCore!K$1 &amp; """", ""),
    IF(K5&lt;&gt;"", """" &amp; VJDBCore!L$1 &amp; """", ""),
    IF(L5&lt;&gt;"", """" &amp; VJDBCore!M$1 &amp; """", ""),    IF(M5&lt;&gt;"", """" &amp; VJDBCore!N$1 &amp; """", ""),    IF(N5&lt;&gt;"", """" &amp; VJDBCore!O$1 &amp; """", ""),     IF(O5&lt;&gt;"", """" &amp; VJDBCore!P$1 &amp; """", ""),     IF(O5&lt;&gt;"", """" &amp; VJDBCore!P$1 &amp; """", ""),     IF(P5&lt;&gt;"", """" &amp; VJDBCore!Q$1 &amp; """", ""),
    IF(Q9&lt;&gt;"", """" &amp; Q9 &amp; """", ""),
    IF(R5&lt;&gt;"", """" &amp; R5 &amp; """", ""),
    IF(S5&lt;&gt;"", """" &amp; S5 &amp; """", "")
) &amp; "]"</f>
        <v>[]</v>
      </c>
      <c r="V5" s="2" t="s">
        <v>347</v>
      </c>
      <c r="W5" s="2" t="s">
        <v>1527</v>
      </c>
      <c r="X5" s="8"/>
      <c r="Y5" s="8"/>
      <c r="Z5" s="8"/>
      <c r="AA5" s="8"/>
      <c r="AB5" s="8"/>
      <c r="AC5" s="8"/>
      <c r="AD5" s="8"/>
      <c r="AE5" s="2" t="s">
        <v>1528</v>
      </c>
      <c r="AF5" s="2" t="s">
        <v>1529</v>
      </c>
      <c r="AG5" s="8"/>
      <c r="AH5" s="9" t="s">
        <v>1527</v>
      </c>
      <c r="AI5" s="8"/>
      <c r="AJ5" s="8"/>
      <c r="AK5" s="8"/>
      <c r="AL5" s="8"/>
      <c r="AM5" s="8"/>
      <c r="AN5" s="8"/>
      <c r="AO5" s="27"/>
    </row>
    <row r="6" spans="1:172" s="10" customFormat="1" ht="23.25" customHeight="1">
      <c r="A6" s="4"/>
      <c r="B6" s="4"/>
      <c r="C6" s="4"/>
      <c r="D6" s="4"/>
      <c r="E6" s="11" t="s">
        <v>844</v>
      </c>
      <c r="F6" s="4"/>
      <c r="G6" s="4"/>
      <c r="H6" s="4"/>
      <c r="I6" s="4"/>
      <c r="J6" s="4"/>
      <c r="K6" s="4"/>
      <c r="L6" s="4"/>
      <c r="M6" s="4"/>
      <c r="N6" s="4" t="s">
        <v>1530</v>
      </c>
      <c r="O6" s="6"/>
      <c r="P6" s="6"/>
      <c r="Q6" s="3"/>
      <c r="R6" s="7"/>
      <c r="S6" s="4"/>
      <c r="T6" s="4"/>
      <c r="U6" s="3" t="str">
        <f>"[" &amp; _xlfn.TEXTJOIN(", ", TRUE,
    IF(H6&lt;&gt;"", """" &amp; VJDBCore!I$1 &amp; """", ""),
    IF(I6&lt;&gt;"", """" &amp; VJDBCore!J$1 &amp; """", ""),
    IF(J6&lt;&gt;"", """" &amp; VJDBCore!K$1 &amp; """", ""),
    IF(K6&lt;&gt;"", """" &amp; VJDBCore!L$1 &amp; """", ""),
    IF(L6&lt;&gt;"", """" &amp; VJDBCore!M$1 &amp; """", ""),    IF(M6&lt;&gt;"", """" &amp; VJDBCore!N$1 &amp; """", ""),    IF(N6&lt;&gt;"", """" &amp; VJDBCore!O$1 &amp; """", ""),     IF(O6&lt;&gt;"", """" &amp; VJDBCore!P$1 &amp; """", ""),     IF(O6&lt;&gt;"", """" &amp; VJDBCore!P$1 &amp; """", ""),     IF(P6&lt;&gt;"", """" &amp; VJDBCore!Q$1 &amp; """", ""),
    IF(Q10&lt;&gt;"", """" &amp; Q10 &amp; """", ""),
    IF(R6&lt;&gt;"", """" &amp; R6 &amp; """", ""),
    IF(S6&lt;&gt;"", """" &amp; S6 &amp; """", "")
) &amp; "]"</f>
        <v>["BV-BRC"]</v>
      </c>
      <c r="V6" s="12" t="s">
        <v>347</v>
      </c>
      <c r="W6" s="1" t="s">
        <v>1527</v>
      </c>
      <c r="X6" s="13"/>
      <c r="Y6" s="13"/>
      <c r="Z6" s="13"/>
      <c r="AA6" s="13"/>
      <c r="AB6" s="13"/>
      <c r="AC6" s="1" t="s">
        <v>381</v>
      </c>
      <c r="AD6" s="13"/>
      <c r="AE6" s="1" t="s">
        <v>1531</v>
      </c>
      <c r="AF6" s="1" t="s">
        <v>351</v>
      </c>
      <c r="AG6" s="13"/>
      <c r="AH6" s="14" t="s">
        <v>1527</v>
      </c>
      <c r="AI6" s="13"/>
      <c r="AJ6" s="13"/>
      <c r="AK6" s="13"/>
      <c r="AL6" s="13"/>
      <c r="AM6" s="13"/>
      <c r="AN6" s="13"/>
      <c r="AO6" s="28"/>
    </row>
    <row r="7" spans="1:172" s="10" customFormat="1" ht="23.25" customHeight="1">
      <c r="A7" s="4"/>
      <c r="B7" s="4"/>
      <c r="C7" s="4"/>
      <c r="D7" s="4"/>
      <c r="E7" s="11" t="s">
        <v>844</v>
      </c>
      <c r="F7" s="4"/>
      <c r="G7" s="4"/>
      <c r="H7" s="4"/>
      <c r="I7" s="4"/>
      <c r="J7" s="4"/>
      <c r="K7" s="4"/>
      <c r="L7" s="4"/>
      <c r="M7" s="4"/>
      <c r="N7" s="4"/>
      <c r="O7" s="6"/>
      <c r="P7" s="6"/>
      <c r="Q7" s="3"/>
      <c r="R7" s="7"/>
      <c r="S7" s="4"/>
      <c r="T7" s="4"/>
      <c r="U7" s="3" t="str">
        <f>"[" &amp; _xlfn.TEXTJOIN(", ", TRUE,
    IF(H7&lt;&gt;"", """" &amp; VJDBCore!I$1 &amp; """", ""),
    IF(I7&lt;&gt;"", """" &amp; VJDBCore!J$1 &amp; """", ""),
    IF(J7&lt;&gt;"", """" &amp; VJDBCore!K$1 &amp; """", ""),
    IF(K7&lt;&gt;"", """" &amp; VJDBCore!L$1 &amp; """", ""),
    IF(L7&lt;&gt;"", """" &amp; VJDBCore!M$1 &amp; """", ""),    IF(M7&lt;&gt;"", """" &amp; VJDBCore!N$1 &amp; """", ""),    IF(N7&lt;&gt;"", """" &amp; VJDBCore!O$1 &amp; """", ""),     IF(O7&lt;&gt;"", """" &amp; VJDBCore!P$1 &amp; """", ""),     IF(O7&lt;&gt;"", """" &amp; VJDBCore!P$1 &amp; """", ""),     IF(P7&lt;&gt;"", """" &amp; VJDBCore!Q$1 &amp; """", ""),
    IF(Q11&lt;&gt;"", """" &amp; Q11 &amp; """", ""),
    IF(R7&lt;&gt;"", """" &amp; R7 &amp; """", ""),
    IF(S7&lt;&gt;"", """" &amp; S7 &amp; """", "")
) &amp; "]"</f>
        <v>[]</v>
      </c>
      <c r="V7" s="12" t="s">
        <v>347</v>
      </c>
      <c r="W7" s="1" t="s">
        <v>1527</v>
      </c>
      <c r="X7" s="13"/>
      <c r="Y7" s="13"/>
      <c r="Z7" s="13"/>
      <c r="AA7" s="13"/>
      <c r="AB7" s="13"/>
      <c r="AC7" s="13"/>
      <c r="AD7" s="1" t="s">
        <v>993</v>
      </c>
      <c r="AE7" s="1" t="s">
        <v>1532</v>
      </c>
      <c r="AF7" s="1" t="s">
        <v>351</v>
      </c>
      <c r="AG7" s="13"/>
      <c r="AH7" s="14" t="s">
        <v>1527</v>
      </c>
      <c r="AI7" s="13"/>
      <c r="AJ7" s="13"/>
      <c r="AK7" s="13"/>
      <c r="AL7" s="13"/>
      <c r="AM7" s="13"/>
      <c r="AN7" s="13"/>
      <c r="AO7" s="28"/>
    </row>
    <row r="8" spans="1:172" s="10" customFormat="1" ht="23.25" customHeight="1">
      <c r="A8" s="4"/>
      <c r="B8" s="4"/>
      <c r="C8" s="4"/>
      <c r="D8" s="4"/>
      <c r="E8" s="11" t="s">
        <v>844</v>
      </c>
      <c r="F8" s="4"/>
      <c r="G8" s="4"/>
      <c r="H8" s="4"/>
      <c r="I8" s="4"/>
      <c r="J8" s="4"/>
      <c r="K8" s="4"/>
      <c r="L8" s="4"/>
      <c r="M8" s="4"/>
      <c r="N8" s="4"/>
      <c r="O8" s="6"/>
      <c r="P8" s="6"/>
      <c r="Q8" s="3"/>
      <c r="R8" s="7"/>
      <c r="S8" s="4"/>
      <c r="T8" s="4"/>
      <c r="U8" s="3" t="str">
        <f>"[" &amp; _xlfn.TEXTJOIN(", ", TRUE,
    IF(H8&lt;&gt;"", """" &amp; VJDBCore!I$1 &amp; """", ""),
    IF(I8&lt;&gt;"", """" &amp; VJDBCore!J$1 &amp; """", ""),
    IF(J8&lt;&gt;"", """" &amp; VJDBCore!K$1 &amp; """", ""),
    IF(K8&lt;&gt;"", """" &amp; VJDBCore!L$1 &amp; """", ""),
    IF(L8&lt;&gt;"", """" &amp; VJDBCore!M$1 &amp; """", ""),    IF(M8&lt;&gt;"", """" &amp; VJDBCore!N$1 &amp; """", ""),    IF(N8&lt;&gt;"", """" &amp; VJDBCore!O$1 &amp; """", ""),     IF(O8&lt;&gt;"", """" &amp; VJDBCore!P$1 &amp; """", ""),     IF(O8&lt;&gt;"", """" &amp; VJDBCore!P$1 &amp; """", ""),     IF(P8&lt;&gt;"", """" &amp; VJDBCore!Q$1 &amp; """", ""),
    IF(Q12&lt;&gt;"", """" &amp; Q12 &amp; """", ""),
    IF(R8&lt;&gt;"", """" &amp; R8 &amp; """", ""),
    IF(S8&lt;&gt;"", """" &amp; S8 &amp; """", "")
) &amp; "]"</f>
        <v>[]</v>
      </c>
      <c r="V8" s="12" t="s">
        <v>347</v>
      </c>
      <c r="W8" s="1" t="s">
        <v>1527</v>
      </c>
      <c r="X8" s="13"/>
      <c r="Y8" s="13"/>
      <c r="Z8" s="13"/>
      <c r="AA8" s="13"/>
      <c r="AB8" s="13"/>
      <c r="AC8" s="13"/>
      <c r="AD8" s="13"/>
      <c r="AE8" s="1" t="s">
        <v>1533</v>
      </c>
      <c r="AF8" s="1" t="s">
        <v>351</v>
      </c>
      <c r="AG8" s="13"/>
      <c r="AH8" s="14" t="s">
        <v>1527</v>
      </c>
      <c r="AI8" s="13"/>
      <c r="AJ8" s="13"/>
      <c r="AK8" s="13"/>
      <c r="AL8" s="13"/>
      <c r="AM8" s="13"/>
      <c r="AN8" s="13"/>
      <c r="AO8" s="28"/>
    </row>
    <row r="9" spans="1:172" s="10" customFormat="1" ht="23.25" customHeight="1">
      <c r="A9" s="4"/>
      <c r="B9" s="4"/>
      <c r="C9" s="4"/>
      <c r="D9" s="4"/>
      <c r="E9" s="11" t="s">
        <v>844</v>
      </c>
      <c r="F9" s="4"/>
      <c r="G9" s="4"/>
      <c r="H9" s="4"/>
      <c r="I9" s="4"/>
      <c r="J9" s="4"/>
      <c r="K9" s="4"/>
      <c r="L9" s="4"/>
      <c r="M9" s="4"/>
      <c r="N9" s="4"/>
      <c r="O9" s="6"/>
      <c r="P9" s="6"/>
      <c r="Q9" s="4"/>
      <c r="R9" s="7"/>
      <c r="S9" s="4"/>
      <c r="T9" s="4"/>
      <c r="U9" s="3" t="str">
        <f>"[" &amp; _xlfn.TEXTJOIN(", ", TRUE,
    IF(H9&lt;&gt;"", """" &amp; VJDBCore!I$1 &amp; """", ""),
    IF(I9&lt;&gt;"", """" &amp; VJDBCore!J$1 &amp; """", ""),
    IF(J9&lt;&gt;"", """" &amp; VJDBCore!K$1 &amp; """", ""),
    IF(K9&lt;&gt;"", """" &amp; VJDBCore!L$1 &amp; """", ""),
    IF(L9&lt;&gt;"", """" &amp; VJDBCore!M$1 &amp; """", ""),    IF(M9&lt;&gt;"", """" &amp; VJDBCore!N$1 &amp; """", ""),    IF(N9&lt;&gt;"", """" &amp; VJDBCore!O$1 &amp; """", ""),     IF(O9&lt;&gt;"", """" &amp; VJDBCore!P$1 &amp; """", ""),     IF(O9&lt;&gt;"", """" &amp; VJDBCore!P$1 &amp; """", ""),     IF(P9&lt;&gt;"", """" &amp; VJDBCore!Q$1 &amp; """", ""),
    IF(Q13&lt;&gt;"", """" &amp; Q13 &amp; """", ""),
    IF(R9&lt;&gt;"", """" &amp; R9 &amp; """", ""),
    IF(S9&lt;&gt;"", """" &amp; S9 &amp; """", "")
) &amp; "]"</f>
        <v>[]</v>
      </c>
      <c r="V9" s="12" t="s">
        <v>347</v>
      </c>
      <c r="W9" s="1" t="s">
        <v>1527</v>
      </c>
      <c r="X9" s="13"/>
      <c r="Y9" s="13"/>
      <c r="Z9" s="13"/>
      <c r="AA9" s="13"/>
      <c r="AB9" s="13"/>
      <c r="AC9" s="13"/>
      <c r="AD9" s="13"/>
      <c r="AE9" s="1" t="s">
        <v>1534</v>
      </c>
      <c r="AF9" s="1" t="s">
        <v>351</v>
      </c>
      <c r="AG9" s="13"/>
      <c r="AH9" s="14" t="s">
        <v>1527</v>
      </c>
      <c r="AI9" s="13"/>
      <c r="AJ9" s="13"/>
      <c r="AK9" s="13"/>
      <c r="AL9" s="13"/>
      <c r="AM9" s="13"/>
      <c r="AN9" s="13"/>
      <c r="AO9" s="28"/>
    </row>
    <row r="10" spans="1:172" s="10" customFormat="1" ht="23.25" customHeight="1">
      <c r="A10" s="4"/>
      <c r="B10" s="4"/>
      <c r="C10" s="4"/>
      <c r="D10" s="4"/>
      <c r="E10" s="11" t="s">
        <v>844</v>
      </c>
      <c r="F10" s="4"/>
      <c r="G10" s="4"/>
      <c r="H10" s="4"/>
      <c r="I10" s="4"/>
      <c r="J10" s="4"/>
      <c r="K10" s="4"/>
      <c r="L10" s="4"/>
      <c r="M10" s="4"/>
      <c r="N10" s="4" t="s">
        <v>1535</v>
      </c>
      <c r="O10" s="6"/>
      <c r="P10" s="6"/>
      <c r="Q10" s="4"/>
      <c r="R10" s="7"/>
      <c r="S10" s="4"/>
      <c r="T10" s="4"/>
      <c r="U10" s="3" t="str">
        <f>"[" &amp; _xlfn.TEXTJOIN(", ", TRUE,
    IF(H10&lt;&gt;"", """" &amp; VJDBCore!I$1 &amp; """", ""),
    IF(I10&lt;&gt;"", """" &amp; VJDBCore!J$1 &amp; """", ""),
    IF(J10&lt;&gt;"", """" &amp; VJDBCore!K$1 &amp; """", ""),
    IF(K10&lt;&gt;"", """" &amp; VJDBCore!L$1 &amp; """", ""),
    IF(L10&lt;&gt;"", """" &amp; VJDBCore!M$1 &amp; """", ""),    IF(M10&lt;&gt;"", """" &amp; VJDBCore!N$1 &amp; """", ""),    IF(N10&lt;&gt;"", """" &amp; VJDBCore!O$1 &amp; """", ""),     IF(O10&lt;&gt;"", """" &amp; VJDBCore!P$1 &amp; """", ""),     IF(O10&lt;&gt;"", """" &amp; VJDBCore!P$1 &amp; """", ""),     IF(P10&lt;&gt;"", """" &amp; VJDBCore!Q$1 &amp; """", ""),
    IF(Q14&lt;&gt;"", """" &amp; Q14 &amp; """", ""),
    IF(R10&lt;&gt;"", """" &amp; R10 &amp; """", ""),
    IF(S10&lt;&gt;"", """" &amp; S10 &amp; """", "")
) &amp; "]"</f>
        <v>["BV-BRC"]</v>
      </c>
      <c r="V10" s="12" t="s">
        <v>347</v>
      </c>
      <c r="W10" s="1" t="s">
        <v>1527</v>
      </c>
      <c r="X10" s="13"/>
      <c r="Y10" s="13"/>
      <c r="Z10" s="13"/>
      <c r="AA10" s="13"/>
      <c r="AB10" s="13"/>
      <c r="AC10" s="1" t="s">
        <v>370</v>
      </c>
      <c r="AD10" s="13"/>
      <c r="AE10" s="1" t="s">
        <v>1536</v>
      </c>
      <c r="AF10" s="1" t="s">
        <v>351</v>
      </c>
      <c r="AG10" s="13"/>
      <c r="AH10" s="14" t="s">
        <v>1527</v>
      </c>
      <c r="AI10" s="13"/>
      <c r="AJ10" s="13"/>
      <c r="AK10" s="13"/>
      <c r="AL10" s="13"/>
      <c r="AM10" s="13"/>
      <c r="AN10" s="13"/>
      <c r="AO10" s="28"/>
    </row>
    <row r="11" spans="1:172" s="10" customFormat="1" ht="23.25" customHeight="1">
      <c r="A11" s="4"/>
      <c r="B11" s="4"/>
      <c r="C11" s="4"/>
      <c r="D11" s="4"/>
      <c r="E11" s="11" t="s">
        <v>844</v>
      </c>
      <c r="F11" s="4"/>
      <c r="G11" s="4"/>
      <c r="H11" s="4"/>
      <c r="I11" s="4"/>
      <c r="J11" s="4"/>
      <c r="K11" s="4"/>
      <c r="L11" s="4"/>
      <c r="M11" s="4"/>
      <c r="N11" s="4" t="s">
        <v>1537</v>
      </c>
      <c r="O11" s="6"/>
      <c r="P11" s="6"/>
      <c r="Q11" s="4"/>
      <c r="R11" s="7"/>
      <c r="S11" s="4"/>
      <c r="T11" s="4"/>
      <c r="U11" s="3" t="str">
        <f>"[" &amp; _xlfn.TEXTJOIN(", ", TRUE,
    IF(H11&lt;&gt;"", """" &amp; VJDBCore!I$1 &amp; """", ""),
    IF(I11&lt;&gt;"", """" &amp; VJDBCore!J$1 &amp; """", ""),
    IF(J11&lt;&gt;"", """" &amp; VJDBCore!K$1 &amp; """", ""),
    IF(K11&lt;&gt;"", """" &amp; VJDBCore!L$1 &amp; """", ""),
    IF(L11&lt;&gt;"", """" &amp; VJDBCore!M$1 &amp; """", ""),    IF(M11&lt;&gt;"", """" &amp; VJDBCore!N$1 &amp; """", ""),    IF(N11&lt;&gt;"", """" &amp; VJDBCore!O$1 &amp; """", ""),     IF(O11&lt;&gt;"", """" &amp; VJDBCore!P$1 &amp; """", ""),     IF(O11&lt;&gt;"", """" &amp; VJDBCore!P$1 &amp; """", ""),     IF(P11&lt;&gt;"", """" &amp; VJDBCore!Q$1 &amp; """", ""),
    IF(Q15&lt;&gt;"", """" &amp; Q15 &amp; """", ""),
    IF(R11&lt;&gt;"", """" &amp; R11 &amp; """", ""),
    IF(S11&lt;&gt;"", """" &amp; S11 &amp; """", "")
) &amp; "]"</f>
        <v>["BV-BRC"]</v>
      </c>
      <c r="V11" s="12" t="s">
        <v>347</v>
      </c>
      <c r="W11" s="1" t="s">
        <v>1527</v>
      </c>
      <c r="X11" s="13"/>
      <c r="Y11" s="13"/>
      <c r="Z11" s="13"/>
      <c r="AA11" s="13"/>
      <c r="AB11" s="13"/>
      <c r="AC11" s="1" t="s">
        <v>1027</v>
      </c>
      <c r="AD11" s="13"/>
      <c r="AE11" s="1" t="s">
        <v>1538</v>
      </c>
      <c r="AF11" s="1" t="s">
        <v>351</v>
      </c>
      <c r="AG11" s="13"/>
      <c r="AH11" s="14" t="s">
        <v>1527</v>
      </c>
      <c r="AI11" s="13"/>
      <c r="AJ11" s="13"/>
      <c r="AK11" s="13"/>
      <c r="AL11" s="13"/>
      <c r="AM11" s="13"/>
      <c r="AN11" s="13"/>
      <c r="AO11" s="28"/>
    </row>
    <row r="12" spans="1:172" s="10" customFormat="1" ht="23.25" customHeight="1">
      <c r="A12" s="4"/>
      <c r="B12" s="4"/>
      <c r="C12" s="4"/>
      <c r="D12" s="4"/>
      <c r="E12" s="11" t="s">
        <v>844</v>
      </c>
      <c r="F12" s="4"/>
      <c r="G12" s="4"/>
      <c r="H12" s="4"/>
      <c r="I12" s="4"/>
      <c r="J12" s="4"/>
      <c r="K12" s="4"/>
      <c r="L12" s="4"/>
      <c r="M12" s="4"/>
      <c r="N12" s="4"/>
      <c r="O12" s="6"/>
      <c r="P12" s="6"/>
      <c r="Q12" s="4"/>
      <c r="R12" s="7"/>
      <c r="S12" s="4"/>
      <c r="T12" s="4"/>
      <c r="U12" s="3" t="str">
        <f>"[" &amp; _xlfn.TEXTJOIN(", ", TRUE,
    IF(H12&lt;&gt;"", """" &amp; VJDBCore!I$1 &amp; """", ""),
    IF(I12&lt;&gt;"", """" &amp; VJDBCore!J$1 &amp; """", ""),
    IF(J12&lt;&gt;"", """" &amp; VJDBCore!K$1 &amp; """", ""),
    IF(K12&lt;&gt;"", """" &amp; VJDBCore!L$1 &amp; """", ""),
    IF(L12&lt;&gt;"", """" &amp; VJDBCore!M$1 &amp; """", ""),    IF(M12&lt;&gt;"", """" &amp; VJDBCore!N$1 &amp; """", ""),    IF(N12&lt;&gt;"", """" &amp; VJDBCore!O$1 &amp; """", ""),     IF(O12&lt;&gt;"", """" &amp; VJDBCore!P$1 &amp; """", ""),     IF(O12&lt;&gt;"", """" &amp; VJDBCore!P$1 &amp; """", ""),     IF(P12&lt;&gt;"", """" &amp; VJDBCore!Q$1 &amp; """", ""),
    IF(Q16&lt;&gt;"", """" &amp; Q16 &amp; """", ""),
    IF(R12&lt;&gt;"", """" &amp; R12 &amp; """", ""),
    IF(S12&lt;&gt;"", """" &amp; S12 &amp; """", "")
) &amp; "]"</f>
        <v>[]</v>
      </c>
      <c r="V12" s="12" t="s">
        <v>347</v>
      </c>
      <c r="W12" s="1" t="s">
        <v>1527</v>
      </c>
      <c r="X12" s="13"/>
      <c r="Y12" s="13"/>
      <c r="Z12" s="13"/>
      <c r="AA12" s="13"/>
      <c r="AB12" s="13"/>
      <c r="AC12" s="13"/>
      <c r="AD12" s="13"/>
      <c r="AE12" s="1" t="s">
        <v>1539</v>
      </c>
      <c r="AF12" s="1" t="s">
        <v>351</v>
      </c>
      <c r="AG12" s="13"/>
      <c r="AH12" s="14" t="s">
        <v>1527</v>
      </c>
      <c r="AI12" s="13"/>
      <c r="AJ12" s="13"/>
      <c r="AK12" s="13"/>
      <c r="AL12" s="13"/>
      <c r="AM12" s="13"/>
      <c r="AN12" s="13"/>
      <c r="AO12" s="28"/>
    </row>
    <row r="13" spans="1:172" s="10" customFormat="1" ht="23.25" customHeight="1">
      <c r="A13" s="4"/>
      <c r="B13" s="4"/>
      <c r="C13" s="4"/>
      <c r="D13" s="4"/>
      <c r="E13" s="11" t="s">
        <v>844</v>
      </c>
      <c r="F13" s="4"/>
      <c r="G13" s="4"/>
      <c r="H13" s="4"/>
      <c r="I13" s="4"/>
      <c r="J13" s="4"/>
      <c r="K13" s="4"/>
      <c r="L13" s="4"/>
      <c r="M13" s="4"/>
      <c r="N13" s="4"/>
      <c r="O13" s="6"/>
      <c r="P13" s="6"/>
      <c r="Q13" s="4"/>
      <c r="R13" s="7"/>
      <c r="S13" s="4"/>
      <c r="T13" s="4"/>
      <c r="U13" s="3" t="str">
        <f>"[" &amp; _xlfn.TEXTJOIN(", ", TRUE,
    IF(H13&lt;&gt;"", """" &amp; VJDBCore!I$1 &amp; """", ""),
    IF(I13&lt;&gt;"", """" &amp; VJDBCore!J$1 &amp; """", ""),
    IF(J13&lt;&gt;"", """" &amp; VJDBCore!K$1 &amp; """", ""),
    IF(K13&lt;&gt;"", """" &amp; VJDBCore!L$1 &amp; """", ""),
    IF(L13&lt;&gt;"", """" &amp; VJDBCore!M$1 &amp; """", ""),    IF(M13&lt;&gt;"", """" &amp; VJDBCore!N$1 &amp; """", ""),    IF(N13&lt;&gt;"", """" &amp; VJDBCore!O$1 &amp; """", ""),     IF(O13&lt;&gt;"", """" &amp; VJDBCore!P$1 &amp; """", ""),     IF(O13&lt;&gt;"", """" &amp; VJDBCore!P$1 &amp; """", ""),     IF(P13&lt;&gt;"", """" &amp; VJDBCore!Q$1 &amp; """", ""),
    IF(Q17&lt;&gt;"", """" &amp; Q17 &amp; """", ""),
    IF(R13&lt;&gt;"", """" &amp; R13 &amp; """", ""),
    IF(S13&lt;&gt;"", """" &amp; S13 &amp; """", "")
) &amp; "]"</f>
        <v>[]</v>
      </c>
      <c r="V13" s="12" t="s">
        <v>347</v>
      </c>
      <c r="W13" s="1" t="s">
        <v>1527</v>
      </c>
      <c r="X13" s="13"/>
      <c r="Y13" s="13"/>
      <c r="Z13" s="13"/>
      <c r="AA13" s="13"/>
      <c r="AB13" s="13"/>
      <c r="AC13" s="13"/>
      <c r="AD13" s="13"/>
      <c r="AE13" s="1" t="s">
        <v>1540</v>
      </c>
      <c r="AF13" s="1" t="s">
        <v>351</v>
      </c>
      <c r="AG13" s="13"/>
      <c r="AH13" s="14" t="s">
        <v>1527</v>
      </c>
      <c r="AI13" s="13"/>
      <c r="AJ13" s="13"/>
      <c r="AK13" s="13"/>
      <c r="AL13" s="13"/>
      <c r="AM13" s="13"/>
      <c r="AN13" s="13"/>
      <c r="AO13" s="28"/>
    </row>
    <row r="14" spans="1:172" s="10" customFormat="1" ht="23.25" customHeight="1">
      <c r="A14" s="4"/>
      <c r="B14" s="4"/>
      <c r="C14" s="4"/>
      <c r="D14" s="4"/>
      <c r="E14" s="11" t="s">
        <v>844</v>
      </c>
      <c r="F14" s="4"/>
      <c r="G14" s="4"/>
      <c r="H14" s="4"/>
      <c r="I14" s="4"/>
      <c r="J14" s="4"/>
      <c r="K14" s="4"/>
      <c r="L14" s="4"/>
      <c r="M14" s="4"/>
      <c r="N14" s="4" t="s">
        <v>1541</v>
      </c>
      <c r="O14" s="6"/>
      <c r="P14" s="6"/>
      <c r="Q14" s="4"/>
      <c r="R14" s="7"/>
      <c r="S14" s="4"/>
      <c r="T14" s="4"/>
      <c r="U14" s="3" t="str">
        <f>"[" &amp; _xlfn.TEXTJOIN(", ", TRUE,
    IF(H14&lt;&gt;"", """" &amp; VJDBCore!I$1 &amp; """", ""),
    IF(I14&lt;&gt;"", """" &amp; VJDBCore!J$1 &amp; """", ""),
    IF(J14&lt;&gt;"", """" &amp; VJDBCore!K$1 &amp; """", ""),
    IF(K14&lt;&gt;"", """" &amp; VJDBCore!L$1 &amp; """", ""),
    IF(L14&lt;&gt;"", """" &amp; VJDBCore!M$1 &amp; """", ""),    IF(M14&lt;&gt;"", """" &amp; VJDBCore!N$1 &amp; """", ""),    IF(N14&lt;&gt;"", """" &amp; VJDBCore!O$1 &amp; """", ""),     IF(O14&lt;&gt;"", """" &amp; VJDBCore!P$1 &amp; """", ""),     IF(O14&lt;&gt;"", """" &amp; VJDBCore!P$1 &amp; """", ""),     IF(P14&lt;&gt;"", """" &amp; VJDBCore!Q$1 &amp; """", ""),
    IF(Q18&lt;&gt;"", """" &amp; Q18 &amp; """", ""),
    IF(R14&lt;&gt;"", """" &amp; R14 &amp; """", ""),
    IF(S14&lt;&gt;"", """" &amp; S14 &amp; """", "")
) &amp; "]"</f>
        <v>["BV-BRC"]</v>
      </c>
      <c r="V14" s="12" t="s">
        <v>347</v>
      </c>
      <c r="W14" s="1" t="s">
        <v>1527</v>
      </c>
      <c r="X14" s="13"/>
      <c r="Y14" s="13"/>
      <c r="Z14" s="13"/>
      <c r="AA14" s="13"/>
      <c r="AB14" s="13"/>
      <c r="AC14" s="1" t="s">
        <v>1542</v>
      </c>
      <c r="AD14" s="1" t="s">
        <v>1542</v>
      </c>
      <c r="AE14" s="1" t="s">
        <v>1543</v>
      </c>
      <c r="AF14" s="1" t="s">
        <v>1060</v>
      </c>
      <c r="AG14" s="13"/>
      <c r="AH14" s="14" t="s">
        <v>1527</v>
      </c>
      <c r="AI14" s="13"/>
      <c r="AJ14" s="13"/>
      <c r="AK14" s="13"/>
      <c r="AL14" s="13"/>
      <c r="AM14" s="13"/>
      <c r="AN14" s="13"/>
      <c r="AO14" s="28"/>
    </row>
    <row r="15" spans="1:172" s="10" customFormat="1" ht="23.25" customHeight="1">
      <c r="A15" s="4"/>
      <c r="B15" s="4"/>
      <c r="C15" s="4"/>
      <c r="D15" s="4"/>
      <c r="E15" s="11" t="s">
        <v>844</v>
      </c>
      <c r="F15" s="4"/>
      <c r="G15" s="4"/>
      <c r="H15" s="4"/>
      <c r="I15" s="4"/>
      <c r="J15" s="4"/>
      <c r="K15" s="4"/>
      <c r="L15" s="4"/>
      <c r="M15" s="4"/>
      <c r="N15" s="4"/>
      <c r="O15" s="6"/>
      <c r="P15" s="6"/>
      <c r="Q15" s="4"/>
      <c r="R15" s="7"/>
      <c r="S15" s="4"/>
      <c r="T15" s="4"/>
      <c r="U15" s="3" t="str">
        <f>"[" &amp; _xlfn.TEXTJOIN(", ", TRUE,
    IF(H15&lt;&gt;"", """" &amp; VJDBCore!I$1 &amp; """", ""),
    IF(I15&lt;&gt;"", """" &amp; VJDBCore!J$1 &amp; """", ""),
    IF(J15&lt;&gt;"", """" &amp; VJDBCore!K$1 &amp; """", ""),
    IF(K15&lt;&gt;"", """" &amp; VJDBCore!L$1 &amp; """", ""),
    IF(L15&lt;&gt;"", """" &amp; VJDBCore!M$1 &amp; """", ""),    IF(M15&lt;&gt;"", """" &amp; VJDBCore!N$1 &amp; """", ""),    IF(N15&lt;&gt;"", """" &amp; VJDBCore!O$1 &amp; """", ""),     IF(O15&lt;&gt;"", """" &amp; VJDBCore!P$1 &amp; """", ""),     IF(O15&lt;&gt;"", """" &amp; VJDBCore!P$1 &amp; """", ""),     IF(P15&lt;&gt;"", """" &amp; VJDBCore!Q$1 &amp; """", ""),
    IF(Q19&lt;&gt;"", """" &amp; Q19 &amp; """", ""),
    IF(R15&lt;&gt;"", """" &amp; R15 &amp; """", ""),
    IF(S15&lt;&gt;"", """" &amp; S15 &amp; """", "")
) &amp; "]"</f>
        <v>[]</v>
      </c>
      <c r="V15" s="12" t="s">
        <v>347</v>
      </c>
      <c r="W15" s="1" t="s">
        <v>1527</v>
      </c>
      <c r="X15" s="13"/>
      <c r="Y15" s="13"/>
      <c r="Z15" s="13"/>
      <c r="AA15" s="13"/>
      <c r="AB15" s="13"/>
      <c r="AC15" s="13"/>
      <c r="AD15" s="1" t="s">
        <v>1542</v>
      </c>
      <c r="AE15" s="1" t="s">
        <v>1544</v>
      </c>
      <c r="AF15" s="1" t="s">
        <v>92</v>
      </c>
      <c r="AG15" s="13"/>
      <c r="AH15" s="14" t="s">
        <v>1527</v>
      </c>
      <c r="AI15" s="13"/>
      <c r="AJ15" s="13"/>
      <c r="AK15" s="13"/>
      <c r="AL15" s="13"/>
      <c r="AM15" s="13"/>
      <c r="AN15" s="13"/>
      <c r="AO15" s="28"/>
    </row>
    <row r="16" spans="1:172" s="10" customFormat="1" ht="23.25" customHeight="1">
      <c r="A16" s="4"/>
      <c r="B16" s="4"/>
      <c r="C16" s="4"/>
      <c r="D16" s="4"/>
      <c r="E16" s="11" t="s">
        <v>844</v>
      </c>
      <c r="F16" s="4"/>
      <c r="G16" s="4"/>
      <c r="H16" s="4"/>
      <c r="I16" s="4"/>
      <c r="J16" s="4"/>
      <c r="K16" s="4"/>
      <c r="L16" s="4"/>
      <c r="M16" s="4"/>
      <c r="N16" s="4"/>
      <c r="O16" s="6"/>
      <c r="P16" s="6"/>
      <c r="Q16" s="4"/>
      <c r="R16" s="7"/>
      <c r="S16" s="4"/>
      <c r="T16" s="4"/>
      <c r="U16" s="3" t="str">
        <f>"[" &amp; _xlfn.TEXTJOIN(", ", TRUE,
    IF(H16&lt;&gt;"", """" &amp; VJDBCore!I$1 &amp; """", ""),
    IF(I16&lt;&gt;"", """" &amp; VJDBCore!J$1 &amp; """", ""),
    IF(J16&lt;&gt;"", """" &amp; VJDBCore!K$1 &amp; """", ""),
    IF(K16&lt;&gt;"", """" &amp; VJDBCore!L$1 &amp; """", ""),
    IF(L16&lt;&gt;"", """" &amp; VJDBCore!M$1 &amp; """", ""),    IF(M16&lt;&gt;"", """" &amp; VJDBCore!N$1 &amp; """", ""),    IF(N16&lt;&gt;"", """" &amp; VJDBCore!O$1 &amp; """", ""),     IF(O16&lt;&gt;"", """" &amp; VJDBCore!P$1 &amp; """", ""),     IF(O16&lt;&gt;"", """" &amp; VJDBCore!P$1 &amp; """", ""),     IF(P16&lt;&gt;"", """" &amp; VJDBCore!Q$1 &amp; """", ""),
    IF(Q20&lt;&gt;"", """" &amp; Q20 &amp; """", ""),
    IF(R16&lt;&gt;"", """" &amp; R16 &amp; """", ""),
    IF(S16&lt;&gt;"", """" &amp; S16 &amp; """", "")
) &amp; "]"</f>
        <v>[]</v>
      </c>
      <c r="V16" s="12" t="s">
        <v>347</v>
      </c>
      <c r="W16" s="1" t="s">
        <v>1527</v>
      </c>
      <c r="X16" s="13"/>
      <c r="Y16" s="13"/>
      <c r="Z16" s="13"/>
      <c r="AA16" s="13"/>
      <c r="AB16" s="13"/>
      <c r="AC16" s="13"/>
      <c r="AD16" s="13"/>
      <c r="AE16" s="1" t="s">
        <v>1545</v>
      </c>
      <c r="AF16" s="1" t="s">
        <v>351</v>
      </c>
      <c r="AG16" s="13"/>
      <c r="AH16" s="14" t="s">
        <v>1527</v>
      </c>
      <c r="AI16" s="13"/>
      <c r="AJ16" s="13"/>
      <c r="AK16" s="13"/>
      <c r="AL16" s="13"/>
      <c r="AM16" s="13"/>
      <c r="AN16" s="13"/>
      <c r="AO16" s="28"/>
    </row>
    <row r="17" spans="1:41" s="10" customFormat="1" ht="23.25" customHeight="1">
      <c r="A17" s="4"/>
      <c r="B17" s="4"/>
      <c r="C17" s="4"/>
      <c r="D17" s="4"/>
      <c r="E17" s="11" t="s">
        <v>844</v>
      </c>
      <c r="F17" s="4"/>
      <c r="G17" s="4"/>
      <c r="H17" s="4"/>
      <c r="I17" s="4"/>
      <c r="J17" s="4"/>
      <c r="K17" s="4"/>
      <c r="L17" s="4"/>
      <c r="M17" s="4"/>
      <c r="N17" s="4" t="s">
        <v>1546</v>
      </c>
      <c r="O17" s="6"/>
      <c r="P17" s="6"/>
      <c r="Q17" s="4"/>
      <c r="R17" s="7"/>
      <c r="S17" s="4"/>
      <c r="T17" s="4"/>
      <c r="U17" s="3" t="str">
        <f>"[" &amp; _xlfn.TEXTJOIN(", ", TRUE,
    IF(H17&lt;&gt;"", """" &amp; VJDBCore!I$1 &amp; """", ""),
    IF(I17&lt;&gt;"", """" &amp; VJDBCore!J$1 &amp; """", ""),
    IF(J17&lt;&gt;"", """" &amp; VJDBCore!K$1 &amp; """", ""),
    IF(K17&lt;&gt;"", """" &amp; VJDBCore!L$1 &amp; """", ""),
    IF(L17&lt;&gt;"", """" &amp; VJDBCore!M$1 &amp; """", ""),    IF(M17&lt;&gt;"", """" &amp; VJDBCore!N$1 &amp; """", ""),    IF(N17&lt;&gt;"", """" &amp; VJDBCore!O$1 &amp; """", ""),     IF(O17&lt;&gt;"", """" &amp; VJDBCore!P$1 &amp; """", ""),     IF(O17&lt;&gt;"", """" &amp; VJDBCore!P$1 &amp; """", ""),     IF(P17&lt;&gt;"", """" &amp; VJDBCore!Q$1 &amp; """", ""),
    IF(Q21&lt;&gt;"", """" &amp; Q21 &amp; """", ""),
    IF(R17&lt;&gt;"", """" &amp; R17 &amp; """", ""),
    IF(S17&lt;&gt;"", """" &amp; S17 &amp; """", "")
) &amp; "]"</f>
        <v>["BV-BRC"]</v>
      </c>
      <c r="V17" s="12" t="s">
        <v>347</v>
      </c>
      <c r="W17" s="1" t="s">
        <v>1527</v>
      </c>
      <c r="X17" s="13"/>
      <c r="Y17" s="13"/>
      <c r="Z17" s="13"/>
      <c r="AA17" s="13"/>
      <c r="AB17" s="13"/>
      <c r="AC17" s="1" t="s">
        <v>1547</v>
      </c>
      <c r="AD17" s="1" t="s">
        <v>1548</v>
      </c>
      <c r="AE17" s="1" t="s">
        <v>1549</v>
      </c>
      <c r="AF17" s="1" t="s">
        <v>92</v>
      </c>
      <c r="AG17" s="13"/>
      <c r="AH17" s="14" t="s">
        <v>1527</v>
      </c>
      <c r="AI17" s="13"/>
      <c r="AJ17" s="13"/>
      <c r="AK17" s="13"/>
      <c r="AL17" s="13"/>
      <c r="AM17" s="13"/>
      <c r="AN17" s="13"/>
      <c r="AO17" s="28"/>
    </row>
    <row r="18" spans="1:41" s="10" customFormat="1" ht="23.25" customHeight="1">
      <c r="A18" s="4"/>
      <c r="B18" s="4"/>
      <c r="C18" s="4"/>
      <c r="D18" s="4"/>
      <c r="E18" s="11" t="s">
        <v>844</v>
      </c>
      <c r="F18" s="4"/>
      <c r="G18" s="4"/>
      <c r="H18" s="4"/>
      <c r="I18" s="4"/>
      <c r="J18" s="4"/>
      <c r="K18" s="4"/>
      <c r="L18" s="4"/>
      <c r="M18" s="4"/>
      <c r="N18" s="4" t="s">
        <v>1550</v>
      </c>
      <c r="O18" s="6"/>
      <c r="P18" s="6"/>
      <c r="Q18" s="4"/>
      <c r="R18" s="7"/>
      <c r="S18" s="4"/>
      <c r="T18" s="4"/>
      <c r="U18" s="3" t="str">
        <f>"[" &amp; _xlfn.TEXTJOIN(", ", TRUE,
    IF(H18&lt;&gt;"", """" &amp; VJDBCore!I$1 &amp; """", ""),
    IF(I18&lt;&gt;"", """" &amp; VJDBCore!J$1 &amp; """", ""),
    IF(J18&lt;&gt;"", """" &amp; VJDBCore!K$1 &amp; """", ""),
    IF(K18&lt;&gt;"", """" &amp; VJDBCore!L$1 &amp; """", ""),
    IF(L18&lt;&gt;"", """" &amp; VJDBCore!M$1 &amp; """", ""),    IF(M18&lt;&gt;"", """" &amp; VJDBCore!N$1 &amp; """", ""),    IF(N18&lt;&gt;"", """" &amp; VJDBCore!O$1 &amp; """", ""),     IF(O18&lt;&gt;"", """" &amp; VJDBCore!P$1 &amp; """", ""),     IF(O18&lt;&gt;"", """" &amp; VJDBCore!P$1 &amp; """", ""),     IF(P18&lt;&gt;"", """" &amp; VJDBCore!Q$1 &amp; """", ""),
    IF(Q22&lt;&gt;"", """" &amp; Q22 &amp; """", ""),
    IF(R18&lt;&gt;"", """" &amp; R18 &amp; """", ""),
    IF(S18&lt;&gt;"", """" &amp; S18 &amp; """", "")
) &amp; "]"</f>
        <v>["BV-BRC"]</v>
      </c>
      <c r="V18" s="12" t="s">
        <v>347</v>
      </c>
      <c r="W18" s="1" t="s">
        <v>1527</v>
      </c>
      <c r="X18" s="13"/>
      <c r="Y18" s="13"/>
      <c r="Z18" s="13"/>
      <c r="AA18" s="13"/>
      <c r="AB18" s="13"/>
      <c r="AC18" s="1" t="s">
        <v>1547</v>
      </c>
      <c r="AD18" s="1" t="s">
        <v>1548</v>
      </c>
      <c r="AE18" s="1" t="s">
        <v>1551</v>
      </c>
      <c r="AF18" s="1" t="s">
        <v>92</v>
      </c>
      <c r="AG18" s="13"/>
      <c r="AH18" s="14" t="s">
        <v>1527</v>
      </c>
      <c r="AI18" s="13"/>
      <c r="AJ18" s="13"/>
      <c r="AK18" s="13"/>
      <c r="AL18" s="13"/>
      <c r="AM18" s="13"/>
      <c r="AN18" s="13"/>
      <c r="AO18" s="28"/>
    </row>
    <row r="19" spans="1:41" s="10" customFormat="1" ht="23.25" customHeight="1">
      <c r="A19" s="4"/>
      <c r="B19" s="4"/>
      <c r="C19" s="4"/>
      <c r="D19" s="4"/>
      <c r="E19" s="11" t="s">
        <v>844</v>
      </c>
      <c r="F19" s="4"/>
      <c r="G19" s="4"/>
      <c r="H19" s="4"/>
      <c r="I19" s="4"/>
      <c r="J19" s="4"/>
      <c r="K19" s="4"/>
      <c r="L19" s="4"/>
      <c r="M19" s="4"/>
      <c r="N19" s="4" t="s">
        <v>1552</v>
      </c>
      <c r="O19" s="6"/>
      <c r="P19" s="6"/>
      <c r="Q19" s="4"/>
      <c r="R19" s="7"/>
      <c r="S19" s="4"/>
      <c r="T19" s="4"/>
      <c r="U19" s="3" t="str">
        <f>"[" &amp; _xlfn.TEXTJOIN(", ", TRUE,
    IF(H19&lt;&gt;"", """" &amp; VJDBCore!I$1 &amp; """", ""),
    IF(I19&lt;&gt;"", """" &amp; VJDBCore!J$1 &amp; """", ""),
    IF(J19&lt;&gt;"", """" &amp; VJDBCore!K$1 &amp; """", ""),
    IF(K19&lt;&gt;"", """" &amp; VJDBCore!L$1 &amp; """", ""),
    IF(L19&lt;&gt;"", """" &amp; VJDBCore!M$1 &amp; """", ""),    IF(M19&lt;&gt;"", """" &amp; VJDBCore!N$1 &amp; """", ""),    IF(N19&lt;&gt;"", """" &amp; VJDBCore!O$1 &amp; """", ""),     IF(O19&lt;&gt;"", """" &amp; VJDBCore!P$1 &amp; """", ""),     IF(O19&lt;&gt;"", """" &amp; VJDBCore!P$1 &amp; """", ""),     IF(P19&lt;&gt;"", """" &amp; VJDBCore!Q$1 &amp; """", ""),
    IF(Q23&lt;&gt;"", """" &amp; Q23 &amp; """", ""),
    IF(R19&lt;&gt;"", """" &amp; R19 &amp; """", ""),
    IF(S19&lt;&gt;"", """" &amp; S19 &amp; """", "")
) &amp; "]"</f>
        <v>["BV-BRC"]</v>
      </c>
      <c r="V19" s="12" t="s">
        <v>347</v>
      </c>
      <c r="W19" s="1" t="s">
        <v>1527</v>
      </c>
      <c r="X19" s="13"/>
      <c r="Y19" s="13"/>
      <c r="Z19" s="13"/>
      <c r="AA19" s="13"/>
      <c r="AB19" s="13"/>
      <c r="AC19" s="1" t="s">
        <v>1058</v>
      </c>
      <c r="AD19" s="1" t="s">
        <v>1058</v>
      </c>
      <c r="AE19" s="1" t="s">
        <v>1553</v>
      </c>
      <c r="AF19" s="1" t="s">
        <v>1060</v>
      </c>
      <c r="AG19" s="13"/>
      <c r="AH19" s="14" t="s">
        <v>1527</v>
      </c>
      <c r="AI19" s="13"/>
      <c r="AJ19" s="13"/>
      <c r="AK19" s="13"/>
      <c r="AL19" s="13"/>
      <c r="AM19" s="13"/>
      <c r="AN19" s="13"/>
      <c r="AO19" s="28"/>
    </row>
    <row r="20" spans="1:41" s="10" customFormat="1" ht="23.25" customHeight="1">
      <c r="A20" s="4"/>
      <c r="B20" s="4"/>
      <c r="C20" s="4"/>
      <c r="D20" s="4"/>
      <c r="E20" s="11" t="s">
        <v>844</v>
      </c>
      <c r="F20" s="4"/>
      <c r="G20" s="4"/>
      <c r="H20" s="4"/>
      <c r="I20" s="4"/>
      <c r="J20" s="4"/>
      <c r="K20" s="4"/>
      <c r="L20" s="4"/>
      <c r="M20" s="4"/>
      <c r="N20" s="4" t="s">
        <v>1554</v>
      </c>
      <c r="O20" s="6"/>
      <c r="P20" s="6"/>
      <c r="Q20" s="4"/>
      <c r="R20" s="7"/>
      <c r="S20" s="4"/>
      <c r="T20" s="4"/>
      <c r="U20" s="3" t="str">
        <f>"[" &amp; _xlfn.TEXTJOIN(", ", TRUE,
    IF(H20&lt;&gt;"", """" &amp; VJDBCore!I$1 &amp; """", ""),
    IF(I20&lt;&gt;"", """" &amp; VJDBCore!J$1 &amp; """", ""),
    IF(J20&lt;&gt;"", """" &amp; VJDBCore!K$1 &amp; """", ""),
    IF(K20&lt;&gt;"", """" &amp; VJDBCore!L$1 &amp; """", ""),
    IF(L20&lt;&gt;"", """" &amp; VJDBCore!M$1 &amp; """", ""),    IF(M20&lt;&gt;"", """" &amp; VJDBCore!N$1 &amp; """", ""),    IF(N20&lt;&gt;"", """" &amp; VJDBCore!O$1 &amp; """", ""),     IF(O20&lt;&gt;"", """" &amp; VJDBCore!P$1 &amp; """", ""),     IF(O20&lt;&gt;"", """" &amp; VJDBCore!P$1 &amp; """", ""),     IF(P20&lt;&gt;"", """" &amp; VJDBCore!Q$1 &amp; """", ""),
    IF(Q24&lt;&gt;"", """" &amp; Q24 &amp; """", ""),
    IF(R20&lt;&gt;"", """" &amp; R20 &amp; """", ""),
    IF(S20&lt;&gt;"", """" &amp; S20 &amp; """", "")
) &amp; "]"</f>
        <v>["BV-BRC"]</v>
      </c>
      <c r="V20" s="12" t="s">
        <v>347</v>
      </c>
      <c r="W20" s="1" t="s">
        <v>1527</v>
      </c>
      <c r="X20" s="13"/>
      <c r="Y20" s="13"/>
      <c r="Z20" s="13"/>
      <c r="AA20" s="13"/>
      <c r="AB20" s="13"/>
      <c r="AC20" s="1" t="s">
        <v>1027</v>
      </c>
      <c r="AD20" s="13"/>
      <c r="AE20" s="1" t="s">
        <v>1555</v>
      </c>
      <c r="AF20" s="1" t="s">
        <v>372</v>
      </c>
      <c r="AG20" s="13"/>
      <c r="AH20" s="14" t="s">
        <v>1527</v>
      </c>
      <c r="AI20" s="13"/>
      <c r="AJ20" s="13"/>
      <c r="AK20" s="13"/>
      <c r="AL20" s="13"/>
      <c r="AM20" s="13"/>
      <c r="AN20" s="13"/>
      <c r="AO20" s="28"/>
    </row>
    <row r="21" spans="1:41" s="10" customFormat="1" ht="23.25" customHeight="1">
      <c r="A21" s="4"/>
      <c r="B21" s="4"/>
      <c r="C21" s="4"/>
      <c r="D21" s="4"/>
      <c r="E21" s="11" t="s">
        <v>844</v>
      </c>
      <c r="F21" s="4"/>
      <c r="G21" s="4"/>
      <c r="H21" s="4"/>
      <c r="I21" s="4"/>
      <c r="J21" s="4"/>
      <c r="K21" s="4"/>
      <c r="L21" s="4"/>
      <c r="M21" s="4"/>
      <c r="N21" s="4"/>
      <c r="O21" s="6"/>
      <c r="P21" s="6"/>
      <c r="Q21" s="4"/>
      <c r="R21" s="7"/>
      <c r="S21" s="4"/>
      <c r="T21" s="4"/>
      <c r="U21" s="3"/>
      <c r="V21" s="12"/>
      <c r="W21" s="1"/>
      <c r="X21" s="13"/>
      <c r="Y21" s="13"/>
      <c r="Z21" s="13"/>
      <c r="AA21" s="13"/>
      <c r="AB21" s="13"/>
      <c r="AC21" s="1"/>
      <c r="AD21" s="1"/>
      <c r="AE21" s="1"/>
      <c r="AF21" s="1"/>
      <c r="AG21" s="13"/>
      <c r="AH21" s="14"/>
      <c r="AI21" s="13"/>
      <c r="AJ21" s="13"/>
      <c r="AK21" s="13"/>
      <c r="AL21" s="13"/>
      <c r="AM21" s="13"/>
      <c r="AN21" s="13"/>
      <c r="AO21" s="28"/>
    </row>
    <row r="22" spans="1:41" s="10" customFormat="1" ht="23.25" customHeight="1">
      <c r="A22" s="4"/>
      <c r="B22" s="4"/>
      <c r="C22" s="4"/>
      <c r="D22" s="4"/>
      <c r="E22" s="11" t="s">
        <v>844</v>
      </c>
      <c r="F22" s="4"/>
      <c r="G22" s="4"/>
      <c r="H22" s="4"/>
      <c r="I22" s="4"/>
      <c r="J22" s="4"/>
      <c r="K22" s="4"/>
      <c r="L22" s="4"/>
      <c r="M22" s="4"/>
      <c r="N22" s="4" t="s">
        <v>1556</v>
      </c>
      <c r="O22" s="6"/>
      <c r="P22" s="6"/>
      <c r="Q22" s="4"/>
      <c r="R22" s="7"/>
      <c r="S22" s="4"/>
      <c r="T22" s="4"/>
      <c r="U22" s="3" t="str">
        <f>"[" &amp; _xlfn.TEXTJOIN(", ", TRUE,
    IF(H22&lt;&gt;"", """" &amp; VJDBCore!I$1 &amp; """", ""),
    IF(I22&lt;&gt;"", """" &amp; VJDBCore!J$1 &amp; """", ""),
    IF(J22&lt;&gt;"", """" &amp; VJDBCore!K$1 &amp; """", ""),
    IF(K22&lt;&gt;"", """" &amp; VJDBCore!L$1 &amp; """", ""),
    IF(L22&lt;&gt;"", """" &amp; VJDBCore!M$1 &amp; """", ""),    IF(M22&lt;&gt;"", """" &amp; VJDBCore!N$1 &amp; """", ""),    IF(N22&lt;&gt;"", """" &amp; VJDBCore!O$1 &amp; """", ""),     IF(O22&lt;&gt;"", """" &amp; VJDBCore!P$1 &amp; """", ""),     IF(O22&lt;&gt;"", """" &amp; VJDBCore!P$1 &amp; """", ""),     IF(P22&lt;&gt;"", """" &amp; VJDBCore!Q$1 &amp; """", ""),
    IF(Q26&lt;&gt;"", """" &amp; Q26 &amp; """", ""),
    IF(R22&lt;&gt;"", """" &amp; R22 &amp; """", ""),
    IF(S22&lt;&gt;"", """" &amp; S22 &amp; """", "")
) &amp; "]"</f>
        <v>["BV-BRC"]</v>
      </c>
      <c r="V22" s="12" t="s">
        <v>347</v>
      </c>
      <c r="W22" s="1" t="s">
        <v>1527</v>
      </c>
      <c r="X22" s="13"/>
      <c r="Y22" s="13"/>
      <c r="Z22" s="13"/>
      <c r="AA22" s="13"/>
      <c r="AB22" s="13"/>
      <c r="AC22" s="1" t="s">
        <v>1547</v>
      </c>
      <c r="AD22" s="1" t="s">
        <v>1548</v>
      </c>
      <c r="AE22" s="1" t="s">
        <v>1557</v>
      </c>
      <c r="AF22" s="1" t="s">
        <v>92</v>
      </c>
      <c r="AG22" s="13"/>
      <c r="AH22" s="14" t="s">
        <v>1527</v>
      </c>
      <c r="AI22" s="13"/>
      <c r="AJ22" s="13"/>
      <c r="AK22" s="13"/>
      <c r="AL22" s="13"/>
      <c r="AM22" s="13"/>
      <c r="AN22" s="13"/>
      <c r="AO22" s="28"/>
    </row>
    <row r="23" spans="1:41" s="10" customFormat="1" ht="23.25" customHeight="1">
      <c r="A23" s="4"/>
      <c r="B23" s="4"/>
      <c r="C23" s="4"/>
      <c r="D23" s="4"/>
      <c r="E23" s="11" t="s">
        <v>844</v>
      </c>
      <c r="F23" s="4"/>
      <c r="G23" s="4"/>
      <c r="H23" s="4"/>
      <c r="I23" s="4"/>
      <c r="J23" s="4"/>
      <c r="K23" s="4"/>
      <c r="L23" s="4"/>
      <c r="M23" s="4"/>
      <c r="N23" s="4" t="s">
        <v>1558</v>
      </c>
      <c r="O23" s="6"/>
      <c r="P23" s="6"/>
      <c r="Q23" s="4"/>
      <c r="R23" s="7"/>
      <c r="S23" s="4"/>
      <c r="T23" s="4"/>
      <c r="U23" s="3" t="str">
        <f>"[" &amp; _xlfn.TEXTJOIN(", ", TRUE,
    IF(H23&lt;&gt;"", """" &amp; VJDBCore!I$1 &amp; """", ""),
    IF(I23&lt;&gt;"", """" &amp; VJDBCore!J$1 &amp; """", ""),
    IF(J23&lt;&gt;"", """" &amp; VJDBCore!K$1 &amp; """", ""),
    IF(K23&lt;&gt;"", """" &amp; VJDBCore!L$1 &amp; """", ""),
    IF(L23&lt;&gt;"", """" &amp; VJDBCore!M$1 &amp; """", ""),    IF(M23&lt;&gt;"", """" &amp; VJDBCore!N$1 &amp; """", ""),    IF(N23&lt;&gt;"", """" &amp; VJDBCore!O$1 &amp; """", ""),     IF(O23&lt;&gt;"", """" &amp; VJDBCore!P$1 &amp; """", ""),     IF(O23&lt;&gt;"", """" &amp; VJDBCore!P$1 &amp; """", ""),     IF(P23&lt;&gt;"", """" &amp; VJDBCore!Q$1 &amp; """", ""),
    IF(Q27&lt;&gt;"", """" &amp; Q27 &amp; """", ""),
    IF(R23&lt;&gt;"", """" &amp; R23 &amp; """", ""),
    IF(S23&lt;&gt;"", """" &amp; S23 &amp; """", "")
) &amp; "]"</f>
        <v>["BV-BRC"]</v>
      </c>
      <c r="V23" s="12" t="s">
        <v>347</v>
      </c>
      <c r="W23" s="1" t="s">
        <v>1527</v>
      </c>
      <c r="X23" s="13"/>
      <c r="Y23" s="13"/>
      <c r="Z23" s="13"/>
      <c r="AA23" s="13"/>
      <c r="AB23" s="13"/>
      <c r="AC23" s="1" t="s">
        <v>992</v>
      </c>
      <c r="AD23" s="1" t="s">
        <v>993</v>
      </c>
      <c r="AE23" s="1" t="s">
        <v>1559</v>
      </c>
      <c r="AF23" s="1" t="s">
        <v>1060</v>
      </c>
      <c r="AG23" s="13"/>
      <c r="AH23" s="14" t="s">
        <v>1527</v>
      </c>
      <c r="AI23" s="13"/>
      <c r="AJ23" s="13"/>
      <c r="AK23" s="13"/>
      <c r="AL23" s="13"/>
      <c r="AM23" s="13"/>
      <c r="AN23" s="13"/>
      <c r="AO23" s="28"/>
    </row>
    <row r="24" spans="1:41" s="10" customFormat="1" ht="23.25" customHeight="1">
      <c r="A24" s="4"/>
      <c r="B24" s="4"/>
      <c r="C24" s="4"/>
      <c r="D24" s="4"/>
      <c r="E24" s="11" t="s">
        <v>844</v>
      </c>
      <c r="F24" s="4"/>
      <c r="G24" s="4"/>
      <c r="H24" s="4"/>
      <c r="I24" s="4"/>
      <c r="J24" s="4"/>
      <c r="K24" s="4"/>
      <c r="L24" s="4"/>
      <c r="M24" s="4"/>
      <c r="N24" s="4" t="s">
        <v>1560</v>
      </c>
      <c r="O24" s="6"/>
      <c r="P24" s="6"/>
      <c r="Q24" s="4"/>
      <c r="R24" s="7"/>
      <c r="S24" s="4"/>
      <c r="T24" s="4"/>
      <c r="U24" s="3" t="str">
        <f>"[" &amp; _xlfn.TEXTJOIN(", ", TRUE,
    IF(H24&lt;&gt;"", """" &amp; VJDBCore!I$1 &amp; """", ""),
    IF(I24&lt;&gt;"", """" &amp; VJDBCore!J$1 &amp; """", ""),
    IF(J24&lt;&gt;"", """" &amp; VJDBCore!K$1 &amp; """", ""),
    IF(K24&lt;&gt;"", """" &amp; VJDBCore!L$1 &amp; """", ""),
    IF(L24&lt;&gt;"", """" &amp; VJDBCore!M$1 &amp; """", ""),    IF(M24&lt;&gt;"", """" &amp; VJDBCore!N$1 &amp; """", ""),    IF(N24&lt;&gt;"", """" &amp; VJDBCore!O$1 &amp; """", ""),     IF(O24&lt;&gt;"", """" &amp; VJDBCore!P$1 &amp; """", ""),     IF(O24&lt;&gt;"", """" &amp; VJDBCore!P$1 &amp; """", ""),     IF(P24&lt;&gt;"", """" &amp; VJDBCore!Q$1 &amp; """", ""),
    IF(Q28&lt;&gt;"", """" &amp; Q28 &amp; """", ""),
    IF(R24&lt;&gt;"", """" &amp; R24 &amp; """", ""),
    IF(S24&lt;&gt;"", """" &amp; S24 &amp; """", "")
) &amp; "]"</f>
        <v>["BV-BRC"]</v>
      </c>
      <c r="V24" s="12" t="s">
        <v>347</v>
      </c>
      <c r="W24" s="1" t="s">
        <v>1527</v>
      </c>
      <c r="X24" s="13"/>
      <c r="Y24" s="13"/>
      <c r="Z24" s="13"/>
      <c r="AA24" s="13"/>
      <c r="AB24" s="13"/>
      <c r="AC24" s="1" t="s">
        <v>381</v>
      </c>
      <c r="AD24" s="13"/>
      <c r="AE24" s="1" t="s">
        <v>1561</v>
      </c>
      <c r="AF24" s="1" t="s">
        <v>351</v>
      </c>
      <c r="AG24" s="13"/>
      <c r="AH24" s="14" t="s">
        <v>1527</v>
      </c>
      <c r="AI24" s="13"/>
      <c r="AJ24" s="13"/>
      <c r="AK24" s="13"/>
      <c r="AL24" s="13"/>
      <c r="AM24" s="13"/>
      <c r="AN24" s="13"/>
      <c r="AO24" s="28"/>
    </row>
    <row r="25" spans="1:41" s="10" customFormat="1" ht="23.25" customHeight="1">
      <c r="A25" s="4"/>
      <c r="B25" s="4"/>
      <c r="C25" s="4"/>
      <c r="D25" s="4"/>
      <c r="E25" s="11" t="s">
        <v>844</v>
      </c>
      <c r="F25" s="4"/>
      <c r="G25" s="4"/>
      <c r="H25" s="4"/>
      <c r="I25" s="4"/>
      <c r="J25" s="4"/>
      <c r="K25" s="4"/>
      <c r="L25" s="4"/>
      <c r="M25" s="4"/>
      <c r="N25" s="4"/>
      <c r="O25" s="6"/>
      <c r="P25" s="6"/>
      <c r="Q25" s="4"/>
      <c r="R25" s="7"/>
      <c r="S25" s="4"/>
      <c r="T25" s="4"/>
      <c r="U25" s="3" t="str">
        <f>"[" &amp; _xlfn.TEXTJOIN(", ", TRUE,
    IF(H25&lt;&gt;"", """" &amp; VJDBCore!I$1 &amp; """", ""),
    IF(I25&lt;&gt;"", """" &amp; VJDBCore!J$1 &amp; """", ""),
    IF(J25&lt;&gt;"", """" &amp; VJDBCore!K$1 &amp; """", ""),
    IF(K25&lt;&gt;"", """" &amp; VJDBCore!L$1 &amp; """", ""),
    IF(L25&lt;&gt;"", """" &amp; VJDBCore!M$1 &amp; """", ""),    IF(M25&lt;&gt;"", """" &amp; VJDBCore!N$1 &amp; """", ""),    IF(N25&lt;&gt;"", """" &amp; VJDBCore!O$1 &amp; """", ""),     IF(O25&lt;&gt;"", """" &amp; VJDBCore!P$1 &amp; """", ""),     IF(O25&lt;&gt;"", """" &amp; VJDBCore!P$1 &amp; """", ""),     IF(P25&lt;&gt;"", """" &amp; VJDBCore!Q$1 &amp; """", ""),
    IF(Q29&lt;&gt;"", """" &amp; Q29 &amp; """", ""),
    IF(R25&lt;&gt;"", """" &amp; R25 &amp; """", ""),
    IF(S25&lt;&gt;"", """" &amp; S25 &amp; """", "")
) &amp; "]"</f>
        <v>[]</v>
      </c>
      <c r="V25" s="12" t="s">
        <v>347</v>
      </c>
      <c r="W25" s="1" t="s">
        <v>1527</v>
      </c>
      <c r="X25" s="13"/>
      <c r="Y25" s="13"/>
      <c r="Z25" s="13"/>
      <c r="AA25" s="13"/>
      <c r="AB25" s="13"/>
      <c r="AC25" s="13"/>
      <c r="AD25" s="13"/>
      <c r="AE25" s="1" t="s">
        <v>1562</v>
      </c>
      <c r="AF25" s="1" t="s">
        <v>372</v>
      </c>
      <c r="AG25" s="13"/>
      <c r="AH25" s="14" t="s">
        <v>1527</v>
      </c>
      <c r="AI25" s="13"/>
      <c r="AJ25" s="13"/>
      <c r="AK25" s="13"/>
      <c r="AL25" s="13"/>
      <c r="AM25" s="13"/>
      <c r="AN25" s="13"/>
      <c r="AO25" s="28"/>
    </row>
    <row r="26" spans="1:41" s="10" customFormat="1" ht="23.25" customHeight="1">
      <c r="A26" s="4"/>
      <c r="B26" s="4"/>
      <c r="C26" s="4"/>
      <c r="D26" s="4"/>
      <c r="E26" s="11" t="s">
        <v>844</v>
      </c>
      <c r="F26" s="4"/>
      <c r="G26" s="4"/>
      <c r="H26" s="4"/>
      <c r="I26" s="4"/>
      <c r="J26" s="4"/>
      <c r="K26" s="4"/>
      <c r="L26" s="4"/>
      <c r="M26" s="4"/>
      <c r="N26" s="4" t="s">
        <v>1563</v>
      </c>
      <c r="O26" s="6"/>
      <c r="P26" s="6"/>
      <c r="Q26" s="4"/>
      <c r="R26" s="7"/>
      <c r="S26" s="4"/>
      <c r="T26" s="4"/>
      <c r="U26" s="3" t="str">
        <f>"[" &amp; _xlfn.TEXTJOIN(", ", TRUE,
    IF(H26&lt;&gt;"", """" &amp; VJDBCore!I$1 &amp; """", ""),
    IF(I26&lt;&gt;"", """" &amp; VJDBCore!J$1 &amp; """", ""),
    IF(J26&lt;&gt;"", """" &amp; VJDBCore!K$1 &amp; """", ""),
    IF(K26&lt;&gt;"", """" &amp; VJDBCore!L$1 &amp; """", ""),
    IF(L26&lt;&gt;"", """" &amp; VJDBCore!M$1 &amp; """", ""),    IF(M26&lt;&gt;"", """" &amp; VJDBCore!N$1 &amp; """", ""),    IF(N26&lt;&gt;"", """" &amp; VJDBCore!O$1 &amp; """", ""),     IF(O26&lt;&gt;"", """" &amp; VJDBCore!P$1 &amp; """", ""),     IF(O26&lt;&gt;"", """" &amp; VJDBCore!P$1 &amp; """", ""),     IF(P26&lt;&gt;"", """" &amp; VJDBCore!Q$1 &amp; """", ""),
    IF(Q30&lt;&gt;"", """" &amp; Q30 &amp; """", ""),
    IF(R26&lt;&gt;"", """" &amp; R26 &amp; """", ""),
    IF(S26&lt;&gt;"", """" &amp; S26 &amp; """", "")
) &amp; "]"</f>
        <v>["BV-BRC"]</v>
      </c>
      <c r="V26" s="12" t="s">
        <v>347</v>
      </c>
      <c r="W26" s="1" t="s">
        <v>1527</v>
      </c>
      <c r="X26" s="13"/>
      <c r="Y26" s="13"/>
      <c r="Z26" s="13"/>
      <c r="AA26" s="13"/>
      <c r="AB26" s="13"/>
      <c r="AC26" s="1" t="s">
        <v>370</v>
      </c>
      <c r="AD26" s="13"/>
      <c r="AE26" s="1" t="s">
        <v>1564</v>
      </c>
      <c r="AF26" s="1" t="s">
        <v>383</v>
      </c>
      <c r="AG26" s="13"/>
      <c r="AH26" s="14" t="s">
        <v>1527</v>
      </c>
      <c r="AI26" s="13"/>
      <c r="AJ26" s="13"/>
      <c r="AK26" s="13"/>
      <c r="AL26" s="13"/>
      <c r="AM26" s="13"/>
      <c r="AN26" s="13"/>
      <c r="AO26" s="28"/>
    </row>
    <row r="27" spans="1:41" s="10" customFormat="1" ht="23.25" customHeight="1">
      <c r="A27" s="4"/>
      <c r="B27" s="4"/>
      <c r="C27" s="4"/>
      <c r="D27" s="4"/>
      <c r="E27" s="11" t="s">
        <v>844</v>
      </c>
      <c r="F27" s="4"/>
      <c r="G27" s="4"/>
      <c r="H27" s="4"/>
      <c r="I27" s="4"/>
      <c r="J27" s="4"/>
      <c r="K27" s="4"/>
      <c r="L27" s="4"/>
      <c r="M27" s="4"/>
      <c r="N27" s="4" t="s">
        <v>1565</v>
      </c>
      <c r="O27" s="6"/>
      <c r="P27" s="6"/>
      <c r="Q27" s="4"/>
      <c r="R27" s="7"/>
      <c r="S27" s="4"/>
      <c r="T27" s="4"/>
      <c r="U27" s="3" t="str">
        <f>"[" &amp; _xlfn.TEXTJOIN(", ", TRUE,
    IF(H27&lt;&gt;"", """" &amp; VJDBCore!I$1 &amp; """", ""),
    IF(I27&lt;&gt;"", """" &amp; VJDBCore!J$1 &amp; """", ""),
    IF(J27&lt;&gt;"", """" &amp; VJDBCore!K$1 &amp; """", ""),
    IF(K27&lt;&gt;"", """" &amp; VJDBCore!L$1 &amp; """", ""),
    IF(L27&lt;&gt;"", """" &amp; VJDBCore!M$1 &amp; """", ""),    IF(M27&lt;&gt;"", """" &amp; VJDBCore!N$1 &amp; """", ""),    IF(N27&lt;&gt;"", """" &amp; VJDBCore!O$1 &amp; """", ""),     IF(O27&lt;&gt;"", """" &amp; VJDBCore!P$1 &amp; """", ""),     IF(O27&lt;&gt;"", """" &amp; VJDBCore!P$1 &amp; """", ""),     IF(P27&lt;&gt;"", """" &amp; VJDBCore!Q$1 &amp; """", ""),
    IF(Q31&lt;&gt;"", """" &amp; Q31 &amp; """", ""),
    IF(R27&lt;&gt;"", """" &amp; R27 &amp; """", ""),
    IF(S27&lt;&gt;"", """" &amp; S27 &amp; """", "")
) &amp; "]"</f>
        <v>["BV-BRC"]</v>
      </c>
      <c r="V27" s="12" t="s">
        <v>347</v>
      </c>
      <c r="W27" s="1" t="s">
        <v>1527</v>
      </c>
      <c r="X27" s="13"/>
      <c r="Y27" s="13"/>
      <c r="Z27" s="13"/>
      <c r="AA27" s="13"/>
      <c r="AB27" s="13"/>
      <c r="AC27" s="1" t="s">
        <v>1058</v>
      </c>
      <c r="AD27" s="1" t="s">
        <v>1058</v>
      </c>
      <c r="AE27" s="1" t="s">
        <v>1566</v>
      </c>
      <c r="AF27" s="1" t="s">
        <v>1060</v>
      </c>
      <c r="AG27" s="13"/>
      <c r="AH27" s="14" t="s">
        <v>1527</v>
      </c>
      <c r="AI27" s="13"/>
      <c r="AJ27" s="13"/>
      <c r="AK27" s="13"/>
      <c r="AL27" s="13"/>
      <c r="AM27" s="13"/>
      <c r="AN27" s="13"/>
      <c r="AO27" s="28"/>
    </row>
    <row r="28" spans="1:41" s="10" customFormat="1" ht="23.25" customHeight="1">
      <c r="A28" s="4"/>
      <c r="B28" s="4"/>
      <c r="C28" s="4"/>
      <c r="D28" s="4"/>
      <c r="E28" s="11" t="s">
        <v>844</v>
      </c>
      <c r="F28" s="4"/>
      <c r="G28" s="4"/>
      <c r="H28" s="4"/>
      <c r="I28" s="4"/>
      <c r="J28" s="4"/>
      <c r="K28" s="4"/>
      <c r="L28" s="4"/>
      <c r="M28" s="4"/>
      <c r="N28" s="4" t="s">
        <v>1567</v>
      </c>
      <c r="O28" s="6"/>
      <c r="P28" s="6"/>
      <c r="Q28" s="4"/>
      <c r="R28" s="7"/>
      <c r="S28" s="4"/>
      <c r="T28" s="4"/>
      <c r="U28" s="3" t="str">
        <f>"[" &amp; _xlfn.TEXTJOIN(", ", TRUE,
    IF(H28&lt;&gt;"", """" &amp; VJDBCore!I$1 &amp; """", ""),
    IF(I28&lt;&gt;"", """" &amp; VJDBCore!J$1 &amp; """", ""),
    IF(J28&lt;&gt;"", """" &amp; VJDBCore!K$1 &amp; """", ""),
    IF(K28&lt;&gt;"", """" &amp; VJDBCore!L$1 &amp; """", ""),
    IF(L28&lt;&gt;"", """" &amp; VJDBCore!M$1 &amp; """", ""),    IF(M28&lt;&gt;"", """" &amp; VJDBCore!N$1 &amp; """", ""),    IF(N28&lt;&gt;"", """" &amp; VJDBCore!O$1 &amp; """", ""),     IF(O28&lt;&gt;"", """" &amp; VJDBCore!P$1 &amp; """", ""),     IF(O28&lt;&gt;"", """" &amp; VJDBCore!P$1 &amp; """", ""),     IF(P28&lt;&gt;"", """" &amp; VJDBCore!Q$1 &amp; """", ""),
    IF(Q32&lt;&gt;"", """" &amp; Q32 &amp; """", ""),
    IF(R28&lt;&gt;"", """" &amp; R28 &amp; """", ""),
    IF(S28&lt;&gt;"", """" &amp; S28 &amp; """", "")
) &amp; "]"</f>
        <v>["BV-BRC"]</v>
      </c>
      <c r="V28" s="12" t="s">
        <v>347</v>
      </c>
      <c r="W28" s="1" t="s">
        <v>1527</v>
      </c>
      <c r="X28" s="13"/>
      <c r="Y28" s="13"/>
      <c r="Z28" s="13"/>
      <c r="AA28" s="13"/>
      <c r="AB28" s="13"/>
      <c r="AC28" s="1" t="s">
        <v>1058</v>
      </c>
      <c r="AD28" s="1" t="s">
        <v>1058</v>
      </c>
      <c r="AE28" s="1" t="s">
        <v>1568</v>
      </c>
      <c r="AF28" s="1" t="s">
        <v>1060</v>
      </c>
      <c r="AG28" s="13"/>
      <c r="AH28" s="14" t="s">
        <v>1527</v>
      </c>
      <c r="AI28" s="13"/>
      <c r="AJ28" s="13"/>
      <c r="AK28" s="13"/>
      <c r="AL28" s="13"/>
      <c r="AM28" s="13"/>
      <c r="AN28" s="13"/>
      <c r="AO28" s="28"/>
    </row>
    <row r="29" spans="1:41" s="10" customFormat="1" ht="23.25" customHeight="1">
      <c r="A29" s="4"/>
      <c r="B29" s="4"/>
      <c r="C29" s="4"/>
      <c r="D29" s="4"/>
      <c r="E29" s="11" t="s">
        <v>844</v>
      </c>
      <c r="F29" s="4"/>
      <c r="G29" s="4"/>
      <c r="H29" s="4"/>
      <c r="I29" s="4"/>
      <c r="J29" s="4"/>
      <c r="K29" s="4"/>
      <c r="L29" s="4"/>
      <c r="M29" s="4"/>
      <c r="N29" s="4" t="s">
        <v>1569</v>
      </c>
      <c r="O29" s="6"/>
      <c r="P29" s="6"/>
      <c r="Q29" s="4"/>
      <c r="R29" s="7"/>
      <c r="S29" s="4"/>
      <c r="T29" s="4"/>
      <c r="U29" s="3" t="str">
        <f>"[" &amp; _xlfn.TEXTJOIN(", ", TRUE,
    IF(H29&lt;&gt;"", """" &amp; VJDBCore!I$1 &amp; """", ""),
    IF(I29&lt;&gt;"", """" &amp; VJDBCore!J$1 &amp; """", ""),
    IF(J29&lt;&gt;"", """" &amp; VJDBCore!K$1 &amp; """", ""),
    IF(K29&lt;&gt;"", """" &amp; VJDBCore!L$1 &amp; """", ""),
    IF(L29&lt;&gt;"", """" &amp; VJDBCore!M$1 &amp; """", ""),    IF(M29&lt;&gt;"", """" &amp; VJDBCore!N$1 &amp; """", ""),    IF(N29&lt;&gt;"", """" &amp; VJDBCore!O$1 &amp; """", ""),     IF(O29&lt;&gt;"", """" &amp; VJDBCore!P$1 &amp; """", ""),     IF(O29&lt;&gt;"", """" &amp; VJDBCore!P$1 &amp; """", ""),     IF(P29&lt;&gt;"", """" &amp; VJDBCore!Q$1 &amp; """", ""),
    IF(Q33&lt;&gt;"", """" &amp; Q33 &amp; """", ""),
    IF(R29&lt;&gt;"", """" &amp; R29 &amp; """", ""),
    IF(S29&lt;&gt;"", """" &amp; S29 &amp; """", "")
) &amp; "]"</f>
        <v>["BV-BRC"]</v>
      </c>
      <c r="V29" s="12" t="s">
        <v>347</v>
      </c>
      <c r="W29" s="1" t="s">
        <v>1527</v>
      </c>
      <c r="X29" s="13"/>
      <c r="Y29" s="13"/>
      <c r="Z29" s="13"/>
      <c r="AA29" s="13"/>
      <c r="AB29" s="13"/>
      <c r="AC29" s="1" t="s">
        <v>1058</v>
      </c>
      <c r="AD29" s="1" t="s">
        <v>1058</v>
      </c>
      <c r="AE29" s="1" t="s">
        <v>1570</v>
      </c>
      <c r="AF29" s="1" t="s">
        <v>1060</v>
      </c>
      <c r="AG29" s="13"/>
      <c r="AH29" s="14" t="s">
        <v>1527</v>
      </c>
      <c r="AI29" s="13"/>
      <c r="AJ29" s="13"/>
      <c r="AK29" s="13"/>
      <c r="AL29" s="13"/>
      <c r="AM29" s="13"/>
      <c r="AN29" s="13"/>
      <c r="AO29" s="28"/>
    </row>
    <row r="30" spans="1:41" s="10" customFormat="1" ht="23.25" customHeight="1">
      <c r="A30" s="4"/>
      <c r="B30" s="4"/>
      <c r="C30" s="4"/>
      <c r="D30" s="4"/>
      <c r="E30" s="11" t="s">
        <v>844</v>
      </c>
      <c r="F30" s="4"/>
      <c r="G30" s="4"/>
      <c r="H30" s="4"/>
      <c r="I30" s="4"/>
      <c r="J30" s="4"/>
      <c r="K30" s="4"/>
      <c r="L30" s="4"/>
      <c r="M30" s="4"/>
      <c r="N30" s="4"/>
      <c r="O30" s="6"/>
      <c r="P30" s="6"/>
      <c r="Q30" s="4"/>
      <c r="R30" s="7"/>
      <c r="S30" s="4"/>
      <c r="T30" s="4"/>
      <c r="U30" s="3" t="str">
        <f>"[" &amp; _xlfn.TEXTJOIN(", ", TRUE,
    IF(H30&lt;&gt;"", """" &amp; VJDBCore!I$1 &amp; """", ""),
    IF(I30&lt;&gt;"", """" &amp; VJDBCore!J$1 &amp; """", ""),
    IF(J30&lt;&gt;"", """" &amp; VJDBCore!K$1 &amp; """", ""),
    IF(K30&lt;&gt;"", """" &amp; VJDBCore!L$1 &amp; """", ""),
    IF(L30&lt;&gt;"", """" &amp; VJDBCore!M$1 &amp; """", ""),    IF(M30&lt;&gt;"", """" &amp; VJDBCore!N$1 &amp; """", ""),    IF(N30&lt;&gt;"", """" &amp; VJDBCore!O$1 &amp; """", ""),     IF(O30&lt;&gt;"", """" &amp; VJDBCore!P$1 &amp; """", ""),     IF(O30&lt;&gt;"", """" &amp; VJDBCore!P$1 &amp; """", ""),     IF(P30&lt;&gt;"", """" &amp; VJDBCore!Q$1 &amp; """", ""),
    IF(Q34&lt;&gt;"", """" &amp; Q34 &amp; """", ""),
    IF(R30&lt;&gt;"", """" &amp; R30 &amp; """", ""),
    IF(S30&lt;&gt;"", """" &amp; S30 &amp; """", "")
) &amp; "]"</f>
        <v>[]</v>
      </c>
      <c r="V30" s="12" t="s">
        <v>347</v>
      </c>
      <c r="W30" s="1" t="s">
        <v>1527</v>
      </c>
      <c r="X30" s="13"/>
      <c r="Y30" s="13"/>
      <c r="Z30" s="13"/>
      <c r="AA30" s="13"/>
      <c r="AB30" s="13"/>
      <c r="AC30" s="13"/>
      <c r="AD30" s="1" t="s">
        <v>1542</v>
      </c>
      <c r="AE30" s="1" t="s">
        <v>1571</v>
      </c>
      <c r="AF30" s="1" t="s">
        <v>1060</v>
      </c>
      <c r="AG30" s="13"/>
      <c r="AH30" s="14" t="s">
        <v>1527</v>
      </c>
      <c r="AI30" s="13"/>
      <c r="AJ30" s="13"/>
      <c r="AK30" s="13"/>
      <c r="AL30" s="13"/>
      <c r="AM30" s="13"/>
      <c r="AN30" s="13"/>
      <c r="AO30" s="28"/>
    </row>
    <row r="31" spans="1:41" s="10" customFormat="1" ht="23.25" customHeight="1">
      <c r="A31" s="4"/>
      <c r="B31" s="4"/>
      <c r="C31" s="4"/>
      <c r="D31" s="4"/>
      <c r="E31" s="11" t="s">
        <v>844</v>
      </c>
      <c r="F31" s="4"/>
      <c r="G31" s="4"/>
      <c r="H31" s="4"/>
      <c r="I31" s="4"/>
      <c r="J31" s="4"/>
      <c r="K31" s="4"/>
      <c r="L31" s="4"/>
      <c r="M31" s="4"/>
      <c r="N31" s="4"/>
      <c r="O31" s="6"/>
      <c r="P31" s="6"/>
      <c r="Q31" s="4"/>
      <c r="R31" s="7"/>
      <c r="S31" s="4"/>
      <c r="T31" s="4"/>
      <c r="U31" s="3" t="str">
        <f>"[" &amp; _xlfn.TEXTJOIN(", ", TRUE,
    IF(H31&lt;&gt;"", """" &amp; VJDBCore!I$1 &amp; """", ""),
    IF(I31&lt;&gt;"", """" &amp; VJDBCore!J$1 &amp; """", ""),
    IF(J31&lt;&gt;"", """" &amp; VJDBCore!K$1 &amp; """", ""),
    IF(K31&lt;&gt;"", """" &amp; VJDBCore!L$1 &amp; """", ""),
    IF(L31&lt;&gt;"", """" &amp; VJDBCore!M$1 &amp; """", ""),    IF(M31&lt;&gt;"", """" &amp; VJDBCore!N$1 &amp; """", ""),    IF(N31&lt;&gt;"", """" &amp; VJDBCore!O$1 &amp; """", ""),     IF(O31&lt;&gt;"", """" &amp; VJDBCore!P$1 &amp; """", ""),     IF(O31&lt;&gt;"", """" &amp; VJDBCore!P$1 &amp; """", ""),     IF(P31&lt;&gt;"", """" &amp; VJDBCore!Q$1 &amp; """", ""),
    IF(Q35&lt;&gt;"", """" &amp; Q35 &amp; """", ""),
    IF(R31&lt;&gt;"", """" &amp; R31 &amp; """", ""),
    IF(S31&lt;&gt;"", """" &amp; S31 &amp; """", "")
) &amp; "]"</f>
        <v>[]</v>
      </c>
      <c r="V31" s="12" t="s">
        <v>347</v>
      </c>
      <c r="W31" s="1" t="s">
        <v>1527</v>
      </c>
      <c r="X31" s="13"/>
      <c r="Y31" s="13"/>
      <c r="Z31" s="13"/>
      <c r="AA31" s="13"/>
      <c r="AB31" s="13"/>
      <c r="AC31" s="13"/>
      <c r="AD31" s="1" t="s">
        <v>1542</v>
      </c>
      <c r="AE31" s="1" t="s">
        <v>1572</v>
      </c>
      <c r="AF31" s="1" t="s">
        <v>92</v>
      </c>
      <c r="AG31" s="13"/>
      <c r="AH31" s="14" t="s">
        <v>1527</v>
      </c>
      <c r="AI31" s="13"/>
      <c r="AJ31" s="13"/>
      <c r="AK31" s="13"/>
      <c r="AL31" s="13"/>
      <c r="AM31" s="13"/>
      <c r="AN31" s="13"/>
      <c r="AO31" s="28"/>
    </row>
    <row r="32" spans="1:41" s="10" customFormat="1" ht="23.25" customHeight="1">
      <c r="A32" s="4"/>
      <c r="B32" s="4"/>
      <c r="C32" s="4"/>
      <c r="D32" s="4"/>
      <c r="E32" s="11" t="s">
        <v>844</v>
      </c>
      <c r="F32" s="4"/>
      <c r="G32" s="4"/>
      <c r="H32" s="4"/>
      <c r="I32" s="4"/>
      <c r="J32" s="4"/>
      <c r="K32" s="4"/>
      <c r="L32" s="4"/>
      <c r="M32" s="4"/>
      <c r="N32" s="4" t="s">
        <v>1573</v>
      </c>
      <c r="O32" s="6"/>
      <c r="P32" s="6"/>
      <c r="Q32" s="4"/>
      <c r="R32" s="7"/>
      <c r="S32" s="4"/>
      <c r="T32" s="4"/>
      <c r="U32" s="3" t="str">
        <f>"[" &amp; _xlfn.TEXTJOIN(", ", TRUE,
    IF(H32&lt;&gt;"", """" &amp; VJDBCore!I$1 &amp; """", ""),
    IF(I32&lt;&gt;"", """" &amp; VJDBCore!J$1 &amp; """", ""),
    IF(J32&lt;&gt;"", """" &amp; VJDBCore!K$1 &amp; """", ""),
    IF(K32&lt;&gt;"", """" &amp; VJDBCore!L$1 &amp; """", ""),
    IF(L32&lt;&gt;"", """" &amp; VJDBCore!M$1 &amp; """", ""),    IF(M32&lt;&gt;"", """" &amp; VJDBCore!N$1 &amp; """", ""),    IF(N32&lt;&gt;"", """" &amp; VJDBCore!O$1 &amp; """", ""),     IF(O32&lt;&gt;"", """" &amp; VJDBCore!P$1 &amp; """", ""),     IF(O32&lt;&gt;"", """" &amp; VJDBCore!P$1 &amp; """", ""),     IF(P32&lt;&gt;"", """" &amp; VJDBCore!Q$1 &amp; """", ""),
    IF(Q36&lt;&gt;"", """" &amp; Q36 &amp; """", ""),
    IF(R32&lt;&gt;"", """" &amp; R32 &amp; """", ""),
    IF(S32&lt;&gt;"", """" &amp; S32 &amp; """", "")
) &amp; "]"</f>
        <v>["BV-BRC"]</v>
      </c>
      <c r="V32" s="12" t="s">
        <v>347</v>
      </c>
      <c r="W32" s="1" t="s">
        <v>1527</v>
      </c>
      <c r="X32" s="13"/>
      <c r="Y32" s="13"/>
      <c r="Z32" s="13"/>
      <c r="AA32" s="13"/>
      <c r="AB32" s="13"/>
      <c r="AC32" s="1" t="s">
        <v>1027</v>
      </c>
      <c r="AD32" s="13"/>
      <c r="AE32" s="1" t="s">
        <v>1574</v>
      </c>
      <c r="AF32" s="1" t="s">
        <v>351</v>
      </c>
      <c r="AG32" s="13"/>
      <c r="AH32" s="14" t="s">
        <v>1527</v>
      </c>
      <c r="AI32" s="13"/>
      <c r="AJ32" s="13"/>
      <c r="AK32" s="13"/>
      <c r="AL32" s="13"/>
      <c r="AM32" s="13"/>
      <c r="AN32" s="13"/>
      <c r="AO32" s="28"/>
    </row>
    <row r="33" spans="1:41" s="10" customFormat="1" ht="23.25" customHeight="1">
      <c r="A33" s="4"/>
      <c r="B33" s="4"/>
      <c r="C33" s="4"/>
      <c r="D33" s="4"/>
      <c r="E33" s="11" t="s">
        <v>844</v>
      </c>
      <c r="F33" s="4"/>
      <c r="G33" s="4"/>
      <c r="H33" s="4"/>
      <c r="I33" s="4"/>
      <c r="J33" s="4"/>
      <c r="K33" s="4"/>
      <c r="L33" s="4"/>
      <c r="M33" s="4"/>
      <c r="N33" s="4"/>
      <c r="O33" s="6"/>
      <c r="P33" s="6"/>
      <c r="Q33" s="4"/>
      <c r="R33" s="7"/>
      <c r="S33" s="4"/>
      <c r="T33" s="4"/>
      <c r="U33" s="3" t="str">
        <f>"[" &amp; _xlfn.TEXTJOIN(", ", TRUE,
    IF(H33&lt;&gt;"", """" &amp; VJDBCore!I$1 &amp; """", ""),
    IF(I33&lt;&gt;"", """" &amp; VJDBCore!J$1 &amp; """", ""),
    IF(J33&lt;&gt;"", """" &amp; VJDBCore!K$1 &amp; """", ""),
    IF(K33&lt;&gt;"", """" &amp; VJDBCore!L$1 &amp; """", ""),
    IF(L33&lt;&gt;"", """" &amp; VJDBCore!M$1 &amp; """", ""),    IF(M33&lt;&gt;"", """" &amp; VJDBCore!N$1 &amp; """", ""),    IF(N33&lt;&gt;"", """" &amp; VJDBCore!O$1 &amp; """", ""),     IF(O33&lt;&gt;"", """" &amp; VJDBCore!P$1 &amp; """", ""),     IF(O33&lt;&gt;"", """" &amp; VJDBCore!P$1 &amp; """", ""),     IF(P33&lt;&gt;"", """" &amp; VJDBCore!Q$1 &amp; """", ""),
    IF(Q37&lt;&gt;"", """" &amp; Q37 &amp; """", ""),
    IF(R33&lt;&gt;"", """" &amp; R33 &amp; """", ""),
    IF(S33&lt;&gt;"", """" &amp; S33 &amp; """", "")
) &amp; "]"</f>
        <v>[]</v>
      </c>
      <c r="V33" s="12" t="s">
        <v>347</v>
      </c>
      <c r="W33" s="1" t="s">
        <v>1527</v>
      </c>
      <c r="X33" s="13"/>
      <c r="Y33" s="13"/>
      <c r="Z33" s="13"/>
      <c r="AA33" s="13"/>
      <c r="AB33" s="13"/>
      <c r="AC33" s="13"/>
      <c r="AD33" s="13"/>
      <c r="AE33" s="1" t="s">
        <v>1574</v>
      </c>
      <c r="AF33" s="1" t="s">
        <v>351</v>
      </c>
      <c r="AG33" s="13"/>
      <c r="AH33" s="14" t="s">
        <v>1527</v>
      </c>
      <c r="AI33" s="13"/>
      <c r="AJ33" s="13"/>
      <c r="AK33" s="13"/>
      <c r="AL33" s="13"/>
      <c r="AM33" s="13"/>
      <c r="AN33" s="13"/>
      <c r="AO33" s="28"/>
    </row>
    <row r="34" spans="1:41" s="10" customFormat="1" ht="23.25" customHeight="1">
      <c r="A34" s="4"/>
      <c r="B34" s="4"/>
      <c r="C34" s="4"/>
      <c r="D34" s="4"/>
      <c r="E34" s="11" t="s">
        <v>844</v>
      </c>
      <c r="F34" s="4"/>
      <c r="G34" s="4"/>
      <c r="H34" s="4"/>
      <c r="I34" s="4"/>
      <c r="J34" s="4"/>
      <c r="K34" s="4"/>
      <c r="L34" s="4"/>
      <c r="M34" s="4"/>
      <c r="N34" s="4" t="s">
        <v>1575</v>
      </c>
      <c r="O34" s="6"/>
      <c r="P34" s="6"/>
      <c r="Q34" s="4"/>
      <c r="R34" s="7"/>
      <c r="S34" s="4"/>
      <c r="T34" s="4"/>
      <c r="U34" s="3" t="str">
        <f>"[" &amp; _xlfn.TEXTJOIN(", ", TRUE,
    IF(H34&lt;&gt;"", """" &amp; VJDBCore!I$1 &amp; """", ""),
    IF(I34&lt;&gt;"", """" &amp; VJDBCore!J$1 &amp; """", ""),
    IF(J34&lt;&gt;"", """" &amp; VJDBCore!K$1 &amp; """", ""),
    IF(K34&lt;&gt;"", """" &amp; VJDBCore!L$1 &amp; """", ""),
    IF(L34&lt;&gt;"", """" &amp; VJDBCore!M$1 &amp; """", ""),    IF(M34&lt;&gt;"", """" &amp; VJDBCore!N$1 &amp; """", ""),    IF(N34&lt;&gt;"", """" &amp; VJDBCore!O$1 &amp; """", ""),     IF(O34&lt;&gt;"", """" &amp; VJDBCore!P$1 &amp; """", ""),     IF(O34&lt;&gt;"", """" &amp; VJDBCore!P$1 &amp; """", ""),     IF(P34&lt;&gt;"", """" &amp; VJDBCore!Q$1 &amp; """", ""),
    IF(Q38&lt;&gt;"", """" &amp; Q38 &amp; """", ""),
    IF(R34&lt;&gt;"", """" &amp; R34 &amp; """", ""),
    IF(S34&lt;&gt;"", """" &amp; S34 &amp; """", "")
) &amp; "]"</f>
        <v>["BV-BRC"]</v>
      </c>
      <c r="V34" s="12" t="s">
        <v>347</v>
      </c>
      <c r="W34" s="1" t="s">
        <v>1527</v>
      </c>
      <c r="X34" s="13"/>
      <c r="Y34" s="13"/>
      <c r="Z34" s="13"/>
      <c r="AA34" s="13"/>
      <c r="AB34" s="13"/>
      <c r="AC34" s="1" t="s">
        <v>381</v>
      </c>
      <c r="AD34" s="13"/>
      <c r="AE34" s="1" t="s">
        <v>1576</v>
      </c>
      <c r="AF34" s="1" t="s">
        <v>383</v>
      </c>
      <c r="AG34" s="13"/>
      <c r="AH34" s="14" t="s">
        <v>1527</v>
      </c>
      <c r="AI34" s="13"/>
      <c r="AJ34" s="13"/>
      <c r="AK34" s="13"/>
      <c r="AL34" s="13"/>
      <c r="AM34" s="13"/>
      <c r="AN34" s="13"/>
      <c r="AO34" s="28"/>
    </row>
    <row r="35" spans="1:41" s="10" customFormat="1" ht="23.25" customHeight="1">
      <c r="A35" s="4"/>
      <c r="B35" s="4"/>
      <c r="C35" s="4"/>
      <c r="D35" s="4"/>
      <c r="E35" s="11" t="s">
        <v>844</v>
      </c>
      <c r="F35" s="4"/>
      <c r="G35" s="4"/>
      <c r="H35" s="4"/>
      <c r="I35" s="4"/>
      <c r="J35" s="4"/>
      <c r="K35" s="4"/>
      <c r="L35" s="4"/>
      <c r="M35" s="4"/>
      <c r="N35" s="4"/>
      <c r="O35" s="6"/>
      <c r="P35" s="6"/>
      <c r="Q35" s="4"/>
      <c r="R35" s="7"/>
      <c r="S35" s="4"/>
      <c r="T35" s="4"/>
      <c r="U35" s="3" t="str">
        <f>"[" &amp; _xlfn.TEXTJOIN(", ", TRUE,
    IF(H35&lt;&gt;"", """" &amp; VJDBCore!I$1 &amp; """", ""),
    IF(I35&lt;&gt;"", """" &amp; VJDBCore!J$1 &amp; """", ""),
    IF(J35&lt;&gt;"", """" &amp; VJDBCore!K$1 &amp; """", ""),
    IF(K35&lt;&gt;"", """" &amp; VJDBCore!L$1 &amp; """", ""),
    IF(L35&lt;&gt;"", """" &amp; VJDBCore!M$1 &amp; """", ""),    IF(M35&lt;&gt;"", """" &amp; VJDBCore!N$1 &amp; """", ""),    IF(N35&lt;&gt;"", """" &amp; VJDBCore!O$1 &amp; """", ""),     IF(O35&lt;&gt;"", """" &amp; VJDBCore!P$1 &amp; """", ""),     IF(O35&lt;&gt;"", """" &amp; VJDBCore!P$1 &amp; """", ""),     IF(P35&lt;&gt;"", """" &amp; VJDBCore!Q$1 &amp; """", ""),
    IF(Q39&lt;&gt;"", """" &amp; Q39 &amp; """", ""),
    IF(R35&lt;&gt;"", """" &amp; R35 &amp; """", ""),
    IF(S35&lt;&gt;"", """" &amp; S35 &amp; """", "")
) &amp; "]"</f>
        <v>[]</v>
      </c>
      <c r="V35" s="12" t="s">
        <v>347</v>
      </c>
      <c r="W35" s="1" t="s">
        <v>1527</v>
      </c>
      <c r="X35" s="13"/>
      <c r="Y35" s="13"/>
      <c r="Z35" s="13"/>
      <c r="AA35" s="13"/>
      <c r="AB35" s="13"/>
      <c r="AC35" s="13"/>
      <c r="AD35" s="1" t="s">
        <v>993</v>
      </c>
      <c r="AE35" s="1" t="s">
        <v>1577</v>
      </c>
      <c r="AF35" s="1" t="s">
        <v>351</v>
      </c>
      <c r="AG35" s="13"/>
      <c r="AH35" s="14" t="s">
        <v>1527</v>
      </c>
      <c r="AI35" s="13"/>
      <c r="AJ35" s="13"/>
      <c r="AK35" s="13"/>
      <c r="AL35" s="13"/>
      <c r="AM35" s="13"/>
      <c r="AN35" s="13"/>
      <c r="AO35" s="28"/>
    </row>
    <row r="36" spans="1:41" s="10" customFormat="1" ht="23.25" customHeight="1">
      <c r="A36" s="4"/>
      <c r="B36" s="4"/>
      <c r="C36" s="4"/>
      <c r="D36" s="4"/>
      <c r="E36" s="11" t="s">
        <v>844</v>
      </c>
      <c r="F36" s="4"/>
      <c r="G36" s="4"/>
      <c r="H36" s="4"/>
      <c r="I36" s="4"/>
      <c r="J36" s="4"/>
      <c r="K36" s="4"/>
      <c r="L36" s="4"/>
      <c r="M36" s="4"/>
      <c r="N36" s="4"/>
      <c r="O36" s="6"/>
      <c r="P36" s="6"/>
      <c r="Q36" s="4"/>
      <c r="R36" s="7"/>
      <c r="S36" s="4"/>
      <c r="T36" s="4"/>
      <c r="U36" s="3" t="str">
        <f>"[" &amp; _xlfn.TEXTJOIN(", ", TRUE,
    IF(H36&lt;&gt;"", """" &amp; VJDBCore!I$1 &amp; """", ""),
    IF(I36&lt;&gt;"", """" &amp; VJDBCore!J$1 &amp; """", ""),
    IF(J36&lt;&gt;"", """" &amp; VJDBCore!K$1 &amp; """", ""),
    IF(K36&lt;&gt;"", """" &amp; VJDBCore!L$1 &amp; """", ""),
    IF(L36&lt;&gt;"", """" &amp; VJDBCore!M$1 &amp; """", ""),    IF(M36&lt;&gt;"", """" &amp; VJDBCore!N$1 &amp; """", ""),    IF(N36&lt;&gt;"", """" &amp; VJDBCore!O$1 &amp; """", ""),     IF(O36&lt;&gt;"", """" &amp; VJDBCore!P$1 &amp; """", ""),     IF(O36&lt;&gt;"", """" &amp; VJDBCore!P$1 &amp; """", ""),     IF(P36&lt;&gt;"", """" &amp; VJDBCore!Q$1 &amp; """", ""),
    IF(Q40&lt;&gt;"", """" &amp; Q40 &amp; """", ""),
    IF(R36&lt;&gt;"", """" &amp; R36 &amp; """", ""),
    IF(S36&lt;&gt;"", """" &amp; S36 &amp; """", "")
) &amp; "]"</f>
        <v>[]</v>
      </c>
      <c r="V36" s="12" t="s">
        <v>347</v>
      </c>
      <c r="W36" s="1" t="s">
        <v>1527</v>
      </c>
      <c r="X36" s="13"/>
      <c r="Y36" s="13"/>
      <c r="Z36" s="13"/>
      <c r="AA36" s="13"/>
      <c r="AB36" s="13"/>
      <c r="AC36" s="13"/>
      <c r="AD36" s="13"/>
      <c r="AE36" s="1" t="s">
        <v>214</v>
      </c>
      <c r="AF36" s="1" t="s">
        <v>351</v>
      </c>
      <c r="AG36" s="13"/>
      <c r="AH36" s="14" t="s">
        <v>1527</v>
      </c>
      <c r="AI36" s="13"/>
      <c r="AJ36" s="13"/>
      <c r="AK36" s="13"/>
      <c r="AL36" s="13"/>
      <c r="AM36" s="13"/>
      <c r="AN36" s="13"/>
      <c r="AO36" s="28"/>
    </row>
    <row r="37" spans="1:41" s="10" customFormat="1" ht="23.25" customHeight="1">
      <c r="A37" s="4"/>
      <c r="B37" s="4"/>
      <c r="C37" s="4"/>
      <c r="D37" s="4"/>
      <c r="E37" s="11" t="s">
        <v>844</v>
      </c>
      <c r="F37" s="4"/>
      <c r="G37" s="4"/>
      <c r="H37" s="4"/>
      <c r="I37" s="4"/>
      <c r="J37" s="4"/>
      <c r="K37" s="4"/>
      <c r="L37" s="4"/>
      <c r="M37" s="4"/>
      <c r="N37" s="4" t="s">
        <v>1578</v>
      </c>
      <c r="O37" s="6"/>
      <c r="P37" s="6"/>
      <c r="Q37" s="4"/>
      <c r="R37" s="7"/>
      <c r="S37" s="4"/>
      <c r="T37" s="4"/>
      <c r="U37" s="3" t="str">
        <f>"[" &amp; _xlfn.TEXTJOIN(", ", TRUE,
    IF(H37&lt;&gt;"", """" &amp; VJDBCore!I$1 &amp; """", ""),
    IF(I37&lt;&gt;"", """" &amp; VJDBCore!J$1 &amp; """", ""),
    IF(J37&lt;&gt;"", """" &amp; VJDBCore!K$1 &amp; """", ""),
    IF(K37&lt;&gt;"", """" &amp; VJDBCore!L$1 &amp; """", ""),
    IF(L37&lt;&gt;"", """" &amp; VJDBCore!M$1 &amp; """", ""),    IF(M37&lt;&gt;"", """" &amp; VJDBCore!N$1 &amp; """", ""),    IF(N37&lt;&gt;"", """" &amp; VJDBCore!O$1 &amp; """", ""),     IF(O37&lt;&gt;"", """" &amp; VJDBCore!P$1 &amp; """", ""),     IF(O37&lt;&gt;"", """" &amp; VJDBCore!P$1 &amp; """", ""),     IF(P37&lt;&gt;"", """" &amp; VJDBCore!Q$1 &amp; """", ""),
    IF(Q41&lt;&gt;"", """" &amp; Q41 &amp; """", ""),
    IF(R37&lt;&gt;"", """" &amp; R37 &amp; """", ""),
    IF(S37&lt;&gt;"", """" &amp; S37 &amp; """", "")
) &amp; "]"</f>
        <v>["BV-BRC"]</v>
      </c>
      <c r="V37" s="12" t="s">
        <v>347</v>
      </c>
      <c r="W37" s="1" t="s">
        <v>1527</v>
      </c>
      <c r="X37" s="13"/>
      <c r="Y37" s="13"/>
      <c r="Z37" s="13"/>
      <c r="AA37" s="13"/>
      <c r="AB37" s="13"/>
      <c r="AC37" s="1" t="s">
        <v>1547</v>
      </c>
      <c r="AD37" s="1" t="s">
        <v>1548</v>
      </c>
      <c r="AE37" s="1" t="s">
        <v>1579</v>
      </c>
      <c r="AF37" s="1" t="s">
        <v>92</v>
      </c>
      <c r="AG37" s="13"/>
      <c r="AH37" s="14" t="s">
        <v>1527</v>
      </c>
      <c r="AI37" s="13"/>
      <c r="AJ37" s="13"/>
      <c r="AK37" s="13"/>
      <c r="AL37" s="13"/>
      <c r="AM37" s="13"/>
      <c r="AN37" s="13"/>
      <c r="AO37" s="28"/>
    </row>
    <row r="38" spans="1:41" s="10" customFormat="1" ht="23.25" customHeight="1">
      <c r="A38" s="4"/>
      <c r="B38" s="4"/>
      <c r="C38" s="4"/>
      <c r="D38" s="4"/>
      <c r="E38" s="11" t="s">
        <v>844</v>
      </c>
      <c r="F38" s="4"/>
      <c r="G38" s="4"/>
      <c r="H38" s="4"/>
      <c r="I38" s="4"/>
      <c r="J38" s="4"/>
      <c r="K38" s="4"/>
      <c r="L38" s="4"/>
      <c r="M38" s="4"/>
      <c r="N38" s="4" t="s">
        <v>1547</v>
      </c>
      <c r="O38" s="6"/>
      <c r="P38" s="6"/>
      <c r="Q38" s="4"/>
      <c r="R38" s="7"/>
      <c r="S38" s="4"/>
      <c r="T38" s="4"/>
      <c r="U38" s="3" t="str">
        <f>"[" &amp; _xlfn.TEXTJOIN(", ", TRUE,
    IF(H38&lt;&gt;"", """" &amp; VJDBCore!I$1 &amp; """", ""),
    IF(I38&lt;&gt;"", """" &amp; VJDBCore!J$1 &amp; """", ""),
    IF(J38&lt;&gt;"", """" &amp; VJDBCore!K$1 &amp; """", ""),
    IF(K38&lt;&gt;"", """" &amp; VJDBCore!L$1 &amp; """", ""),
    IF(L38&lt;&gt;"", """" &amp; VJDBCore!M$1 &amp; """", ""),    IF(M38&lt;&gt;"", """" &amp; VJDBCore!N$1 &amp; """", ""),    IF(N38&lt;&gt;"", """" &amp; VJDBCore!O$1 &amp; """", ""),     IF(O38&lt;&gt;"", """" &amp; VJDBCore!P$1 &amp; """", ""),     IF(O38&lt;&gt;"", """" &amp; VJDBCore!P$1 &amp; """", ""),     IF(P38&lt;&gt;"", """" &amp; VJDBCore!Q$1 &amp; """", ""),
    IF(Q42&lt;&gt;"", """" &amp; Q42 &amp; """", ""),
    IF(R38&lt;&gt;"", """" &amp; R38 &amp; """", ""),
    IF(S38&lt;&gt;"", """" &amp; S38 &amp; """", "")
) &amp; "]"</f>
        <v>["BV-BRC"]</v>
      </c>
      <c r="V38" s="12" t="s">
        <v>347</v>
      </c>
      <c r="W38" s="1" t="s">
        <v>1527</v>
      </c>
      <c r="X38" s="13"/>
      <c r="Y38" s="13"/>
      <c r="Z38" s="13"/>
      <c r="AA38" s="13"/>
      <c r="AB38" s="13"/>
      <c r="AC38" s="1" t="s">
        <v>1547</v>
      </c>
      <c r="AD38" s="1" t="s">
        <v>1548</v>
      </c>
      <c r="AE38" s="1" t="s">
        <v>1580</v>
      </c>
      <c r="AF38" s="1" t="s">
        <v>372</v>
      </c>
      <c r="AG38" s="13"/>
      <c r="AH38" s="14" t="s">
        <v>1527</v>
      </c>
      <c r="AI38" s="13"/>
      <c r="AJ38" s="13"/>
      <c r="AK38" s="13"/>
      <c r="AL38" s="13"/>
      <c r="AM38" s="13"/>
      <c r="AN38" s="13"/>
      <c r="AO38" s="28"/>
    </row>
    <row r="39" spans="1:41" s="10" customFormat="1" ht="23.25" customHeight="1">
      <c r="A39" s="4"/>
      <c r="B39" s="4"/>
      <c r="C39" s="4"/>
      <c r="D39" s="4"/>
      <c r="E39" s="11" t="s">
        <v>844</v>
      </c>
      <c r="F39" s="4"/>
      <c r="G39" s="4"/>
      <c r="H39" s="4"/>
      <c r="I39" s="4"/>
      <c r="J39" s="4"/>
      <c r="K39" s="4"/>
      <c r="L39" s="4"/>
      <c r="M39" s="4"/>
      <c r="N39" s="4" t="s">
        <v>1581</v>
      </c>
      <c r="O39" s="6"/>
      <c r="P39" s="6"/>
      <c r="Q39" s="4"/>
      <c r="R39" s="7"/>
      <c r="S39" s="4"/>
      <c r="T39" s="4"/>
      <c r="U39" s="3" t="str">
        <f>"[" &amp; _xlfn.TEXTJOIN(", ", TRUE,
    IF(H39&lt;&gt;"", """" &amp; VJDBCore!I$1 &amp; """", ""),
    IF(I39&lt;&gt;"", """" &amp; VJDBCore!J$1 &amp; """", ""),
    IF(J39&lt;&gt;"", """" &amp; VJDBCore!K$1 &amp; """", ""),
    IF(K39&lt;&gt;"", """" &amp; VJDBCore!L$1 &amp; """", ""),
    IF(L39&lt;&gt;"", """" &amp; VJDBCore!M$1 &amp; """", ""),    IF(M39&lt;&gt;"", """" &amp; VJDBCore!N$1 &amp; """", ""),    IF(N39&lt;&gt;"", """" &amp; VJDBCore!O$1 &amp; """", ""),     IF(O39&lt;&gt;"", """" &amp; VJDBCore!P$1 &amp; """", ""),     IF(O39&lt;&gt;"", """" &amp; VJDBCore!P$1 &amp; """", ""),     IF(P39&lt;&gt;"", """" &amp; VJDBCore!Q$1 &amp; """", ""),
    IF(Q43&lt;&gt;"", """" &amp; Q43 &amp; """", ""),
    IF(R39&lt;&gt;"", """" &amp; R39 &amp; """", ""),
    IF(S39&lt;&gt;"", """" &amp; S39 &amp; """", "")
) &amp; "]"</f>
        <v>["BV-BRC"]</v>
      </c>
      <c r="V39" s="12" t="s">
        <v>347</v>
      </c>
      <c r="W39" s="1" t="s">
        <v>1527</v>
      </c>
      <c r="X39" s="13"/>
      <c r="Y39" s="13"/>
      <c r="Z39" s="13"/>
      <c r="AA39" s="13"/>
      <c r="AB39" s="13"/>
      <c r="AC39" s="1" t="s">
        <v>1547</v>
      </c>
      <c r="AD39" s="1" t="s">
        <v>1548</v>
      </c>
      <c r="AE39" s="1" t="s">
        <v>1582</v>
      </c>
      <c r="AF39" s="1" t="s">
        <v>372</v>
      </c>
      <c r="AG39" s="13"/>
      <c r="AH39" s="14" t="s">
        <v>1527</v>
      </c>
      <c r="AI39" s="13"/>
      <c r="AJ39" s="13"/>
      <c r="AK39" s="13"/>
      <c r="AL39" s="13"/>
      <c r="AM39" s="13"/>
      <c r="AN39" s="13"/>
      <c r="AO39" s="28"/>
    </row>
    <row r="40" spans="1:41" s="10" customFormat="1" ht="23.25" customHeight="1">
      <c r="A40" s="4"/>
      <c r="B40" s="4"/>
      <c r="C40" s="4"/>
      <c r="D40" s="4"/>
      <c r="E40" s="11" t="s">
        <v>844</v>
      </c>
      <c r="F40" s="4"/>
      <c r="G40" s="4"/>
      <c r="H40" s="4"/>
      <c r="I40" s="4"/>
      <c r="J40" s="4"/>
      <c r="K40" s="4"/>
      <c r="L40" s="4"/>
      <c r="M40" s="4"/>
      <c r="N40" s="4" t="s">
        <v>1583</v>
      </c>
      <c r="O40" s="6"/>
      <c r="P40" s="6"/>
      <c r="Q40" s="4"/>
      <c r="R40" s="7"/>
      <c r="S40" s="4"/>
      <c r="T40" s="4"/>
      <c r="U40" s="3" t="str">
        <f>"[" &amp; _xlfn.TEXTJOIN(", ", TRUE,
    IF(H40&lt;&gt;"", """" &amp; VJDBCore!I$1 &amp; """", ""),
    IF(I40&lt;&gt;"", """" &amp; VJDBCore!J$1 &amp; """", ""),
    IF(J40&lt;&gt;"", """" &amp; VJDBCore!K$1 &amp; """", ""),
    IF(K40&lt;&gt;"", """" &amp; VJDBCore!L$1 &amp; """", ""),
    IF(L40&lt;&gt;"", """" &amp; VJDBCore!M$1 &amp; """", ""),    IF(M40&lt;&gt;"", """" &amp; VJDBCore!N$1 &amp; """", ""),    IF(N40&lt;&gt;"", """" &amp; VJDBCore!O$1 &amp; """", ""),     IF(O40&lt;&gt;"", """" &amp; VJDBCore!P$1 &amp; """", ""),     IF(O40&lt;&gt;"", """" &amp; VJDBCore!P$1 &amp; """", ""),     IF(P40&lt;&gt;"", """" &amp; VJDBCore!Q$1 &amp; """", ""),
    IF(Q44&lt;&gt;"", """" &amp; Q44 &amp; """", ""),
    IF(R40&lt;&gt;"", """" &amp; R40 &amp; """", ""),
    IF(S40&lt;&gt;"", """" &amp; S40 &amp; """", "")
) &amp; "]"</f>
        <v>["BV-BRC"]</v>
      </c>
      <c r="V40" s="12" t="s">
        <v>347</v>
      </c>
      <c r="W40" s="1" t="s">
        <v>1527</v>
      </c>
      <c r="X40" s="13"/>
      <c r="Y40" s="13"/>
      <c r="Z40" s="13"/>
      <c r="AA40" s="13"/>
      <c r="AB40" s="13"/>
      <c r="AC40" s="1" t="s">
        <v>1584</v>
      </c>
      <c r="AD40" s="13"/>
      <c r="AE40" s="1" t="s">
        <v>1585</v>
      </c>
      <c r="AF40" s="1" t="s">
        <v>351</v>
      </c>
      <c r="AG40" s="13"/>
      <c r="AH40" s="14" t="s">
        <v>1527</v>
      </c>
      <c r="AI40" s="13"/>
      <c r="AJ40" s="13"/>
      <c r="AK40" s="13"/>
      <c r="AL40" s="13"/>
      <c r="AM40" s="13"/>
      <c r="AN40" s="13"/>
      <c r="AO40" s="28"/>
    </row>
    <row r="41" spans="1:41" s="10" customFormat="1" ht="23.25" customHeight="1">
      <c r="A41" s="4"/>
      <c r="B41" s="4"/>
      <c r="C41" s="4"/>
      <c r="D41" s="4"/>
      <c r="E41" s="11" t="s">
        <v>844</v>
      </c>
      <c r="F41" s="4"/>
      <c r="G41" s="4"/>
      <c r="H41" s="4"/>
      <c r="I41" s="4"/>
      <c r="J41" s="4"/>
      <c r="K41" s="4"/>
      <c r="L41" s="4"/>
      <c r="M41" s="4"/>
      <c r="N41" s="4" t="s">
        <v>1586</v>
      </c>
      <c r="O41" s="6"/>
      <c r="P41" s="6"/>
      <c r="Q41" s="4"/>
      <c r="R41" s="7"/>
      <c r="S41" s="4"/>
      <c r="T41" s="4"/>
      <c r="U41" s="3" t="str">
        <f>"[" &amp; _xlfn.TEXTJOIN(", ", TRUE,
    IF(H41&lt;&gt;"", """" &amp; VJDBCore!I$1 &amp; """", ""),
    IF(I41&lt;&gt;"", """" &amp; VJDBCore!J$1 &amp; """", ""),
    IF(J41&lt;&gt;"", """" &amp; VJDBCore!K$1 &amp; """", ""),
    IF(K41&lt;&gt;"", """" &amp; VJDBCore!L$1 &amp; """", ""),
    IF(L41&lt;&gt;"", """" &amp; VJDBCore!M$1 &amp; """", ""),    IF(M41&lt;&gt;"", """" &amp; VJDBCore!N$1 &amp; """", ""),    IF(N41&lt;&gt;"", """" &amp; VJDBCore!O$1 &amp; """", ""),     IF(O41&lt;&gt;"", """" &amp; VJDBCore!P$1 &amp; """", ""),     IF(O41&lt;&gt;"", """" &amp; VJDBCore!P$1 &amp; """", ""),     IF(P41&lt;&gt;"", """" &amp; VJDBCore!Q$1 &amp; """", ""),
    IF(Q45&lt;&gt;"", """" &amp; Q45 &amp; """", ""),
    IF(R41&lt;&gt;"", """" &amp; R41 &amp; """", ""),
    IF(S41&lt;&gt;"", """" &amp; S41 &amp; """", "")
) &amp; "]"</f>
        <v>["BV-BRC"]</v>
      </c>
      <c r="V41" s="12" t="s">
        <v>347</v>
      </c>
      <c r="W41" s="1" t="s">
        <v>1527</v>
      </c>
      <c r="X41" s="13"/>
      <c r="Y41" s="13"/>
      <c r="Z41" s="13"/>
      <c r="AA41" s="13"/>
      <c r="AB41" s="13"/>
      <c r="AC41" s="1" t="s">
        <v>992</v>
      </c>
      <c r="AD41" s="1" t="s">
        <v>993</v>
      </c>
      <c r="AE41" s="1" t="s">
        <v>1587</v>
      </c>
      <c r="AF41" s="1" t="s">
        <v>351</v>
      </c>
      <c r="AG41" s="13"/>
      <c r="AH41" s="14" t="s">
        <v>1527</v>
      </c>
      <c r="AI41" s="13"/>
      <c r="AJ41" s="13"/>
      <c r="AK41" s="13"/>
      <c r="AL41" s="13"/>
      <c r="AM41" s="13"/>
      <c r="AN41" s="13"/>
      <c r="AO41" s="28"/>
    </row>
    <row r="42" spans="1:41" s="10" customFormat="1" ht="23.25" customHeight="1">
      <c r="A42" s="4"/>
      <c r="B42" s="4"/>
      <c r="C42" s="4"/>
      <c r="D42" s="4"/>
      <c r="E42" s="11" t="s">
        <v>844</v>
      </c>
      <c r="F42" s="4"/>
      <c r="G42" s="4"/>
      <c r="H42" s="4"/>
      <c r="I42" s="4"/>
      <c r="J42" s="4"/>
      <c r="K42" s="4"/>
      <c r="L42" s="4"/>
      <c r="M42" s="4"/>
      <c r="N42" s="4"/>
      <c r="O42" s="6"/>
      <c r="P42" s="6"/>
      <c r="Q42" s="4"/>
      <c r="R42" s="7"/>
      <c r="S42" s="4"/>
      <c r="T42" s="4"/>
      <c r="U42" s="3" t="str">
        <f>"[" &amp; _xlfn.TEXTJOIN(", ", TRUE,
    IF(H42&lt;&gt;"", """" &amp; VJDBCore!I$1 &amp; """", ""),
    IF(I42&lt;&gt;"", """" &amp; VJDBCore!J$1 &amp; """", ""),
    IF(J42&lt;&gt;"", """" &amp; VJDBCore!K$1 &amp; """", ""),
    IF(K42&lt;&gt;"", """" &amp; VJDBCore!L$1 &amp; """", ""),
    IF(L42&lt;&gt;"", """" &amp; VJDBCore!M$1 &amp; """", ""),    IF(M42&lt;&gt;"", """" &amp; VJDBCore!N$1 &amp; """", ""),    IF(N42&lt;&gt;"", """" &amp; VJDBCore!O$1 &amp; """", ""),     IF(O42&lt;&gt;"", """" &amp; VJDBCore!P$1 &amp; """", ""),     IF(O42&lt;&gt;"", """" &amp; VJDBCore!P$1 &amp; """", ""),     IF(P42&lt;&gt;"", """" &amp; VJDBCore!Q$1 &amp; """", ""),
    IF(Q46&lt;&gt;"", """" &amp; Q46 &amp; """", ""),
    IF(R42&lt;&gt;"", """" &amp; R42 &amp; """", ""),
    IF(S42&lt;&gt;"", """" &amp; S42 &amp; """", "")
) &amp; "]"</f>
        <v>[]</v>
      </c>
      <c r="V42" s="12" t="s">
        <v>347</v>
      </c>
      <c r="W42" s="1" t="s">
        <v>1527</v>
      </c>
      <c r="X42" s="13"/>
      <c r="Y42" s="13"/>
      <c r="Z42" s="13"/>
      <c r="AA42" s="13"/>
      <c r="AB42" s="13"/>
      <c r="AC42" s="13"/>
      <c r="AD42" s="13"/>
      <c r="AE42" s="1" t="s">
        <v>1588</v>
      </c>
      <c r="AF42" s="1" t="s">
        <v>351</v>
      </c>
      <c r="AG42" s="13"/>
      <c r="AH42" s="14" t="s">
        <v>1527</v>
      </c>
      <c r="AI42" s="13"/>
      <c r="AJ42" s="13"/>
      <c r="AK42" s="13"/>
      <c r="AL42" s="13"/>
      <c r="AM42" s="13"/>
      <c r="AN42" s="13"/>
      <c r="AO42" s="28"/>
    </row>
    <row r="43" spans="1:41" s="10" customFormat="1" ht="23.25" customHeight="1">
      <c r="A43" s="4"/>
      <c r="B43" s="4"/>
      <c r="C43" s="4"/>
      <c r="D43" s="4"/>
      <c r="E43" s="11" t="s">
        <v>844</v>
      </c>
      <c r="F43" s="4"/>
      <c r="G43" s="4"/>
      <c r="H43" s="4"/>
      <c r="I43" s="4"/>
      <c r="J43" s="4"/>
      <c r="K43" s="4"/>
      <c r="L43" s="4"/>
      <c r="M43" s="4"/>
      <c r="N43" s="4" t="s">
        <v>1589</v>
      </c>
      <c r="O43" s="6"/>
      <c r="P43" s="6"/>
      <c r="Q43" s="4"/>
      <c r="R43" s="7"/>
      <c r="S43" s="4"/>
      <c r="T43" s="4"/>
      <c r="U43" s="3" t="str">
        <f>"[" &amp; _xlfn.TEXTJOIN(", ", TRUE,
    IF(H43&lt;&gt;"", """" &amp; VJDBCore!I$1 &amp; """", ""),
    IF(I43&lt;&gt;"", """" &amp; VJDBCore!J$1 &amp; """", ""),
    IF(J43&lt;&gt;"", """" &amp; VJDBCore!K$1 &amp; """", ""),
    IF(K43&lt;&gt;"", """" &amp; VJDBCore!L$1 &amp; """", ""),
    IF(L43&lt;&gt;"", """" &amp; VJDBCore!M$1 &amp; """", ""),    IF(M43&lt;&gt;"", """" &amp; VJDBCore!N$1 &amp; """", ""),    IF(N43&lt;&gt;"", """" &amp; VJDBCore!O$1 &amp; """", ""),     IF(O43&lt;&gt;"", """" &amp; VJDBCore!P$1 &amp; """", ""),     IF(O43&lt;&gt;"", """" &amp; VJDBCore!P$1 &amp; """", ""),     IF(P43&lt;&gt;"", """" &amp; VJDBCore!Q$1 &amp; """", ""),
    IF(Q47&lt;&gt;"", """" &amp; Q47 &amp; """", ""),
    IF(R43&lt;&gt;"", """" &amp; R43 &amp; """", ""),
    IF(S43&lt;&gt;"", """" &amp; S43 &amp; """", "")
) &amp; "]"</f>
        <v>["BV-BRC"]</v>
      </c>
      <c r="V43" s="12" t="s">
        <v>347</v>
      </c>
      <c r="W43" s="1" t="s">
        <v>1527</v>
      </c>
      <c r="X43" s="13"/>
      <c r="Y43" s="13"/>
      <c r="Z43" s="13"/>
      <c r="AA43" s="13"/>
      <c r="AB43" s="13"/>
      <c r="AC43" s="1" t="s">
        <v>1027</v>
      </c>
      <c r="AD43" s="13"/>
      <c r="AE43" s="1" t="s">
        <v>1590</v>
      </c>
      <c r="AF43" s="1" t="s">
        <v>1060</v>
      </c>
      <c r="AG43" s="13"/>
      <c r="AH43" s="14" t="s">
        <v>1527</v>
      </c>
      <c r="AI43" s="13"/>
      <c r="AJ43" s="13"/>
      <c r="AK43" s="13"/>
      <c r="AL43" s="13"/>
      <c r="AM43" s="13"/>
      <c r="AN43" s="13"/>
      <c r="AO43" s="28"/>
    </row>
    <row r="44" spans="1:41" s="10" customFormat="1" ht="23.25" customHeight="1">
      <c r="A44" s="4"/>
      <c r="B44" s="4"/>
      <c r="C44" s="4"/>
      <c r="D44" s="4"/>
      <c r="E44" s="11" t="s">
        <v>844</v>
      </c>
      <c r="F44" s="4"/>
      <c r="G44" s="4"/>
      <c r="H44" s="4"/>
      <c r="I44" s="4"/>
      <c r="J44" s="4"/>
      <c r="K44" s="4"/>
      <c r="L44" s="4"/>
      <c r="M44" s="4"/>
      <c r="N44" s="4" t="s">
        <v>1591</v>
      </c>
      <c r="O44" s="6"/>
      <c r="P44" s="6"/>
      <c r="Q44" s="4"/>
      <c r="R44" s="7"/>
      <c r="S44" s="4"/>
      <c r="T44" s="4"/>
      <c r="U44" s="3" t="str">
        <f>"[" &amp; _xlfn.TEXTJOIN(", ", TRUE,
    IF(H44&lt;&gt;"", """" &amp; VJDBCore!I$1 &amp; """", ""),
    IF(I44&lt;&gt;"", """" &amp; VJDBCore!J$1 &amp; """", ""),
    IF(J44&lt;&gt;"", """" &amp; VJDBCore!K$1 &amp; """", ""),
    IF(K44&lt;&gt;"", """" &amp; VJDBCore!L$1 &amp; """", ""),
    IF(L44&lt;&gt;"", """" &amp; VJDBCore!M$1 &amp; """", ""),    IF(M44&lt;&gt;"", """" &amp; VJDBCore!N$1 &amp; """", ""),    IF(N44&lt;&gt;"", """" &amp; VJDBCore!O$1 &amp; """", ""),     IF(O44&lt;&gt;"", """" &amp; VJDBCore!P$1 &amp; """", ""),     IF(O44&lt;&gt;"", """" &amp; VJDBCore!P$1 &amp; """", ""),     IF(P44&lt;&gt;"", """" &amp; VJDBCore!Q$1 &amp; """", ""),
    IF(Q48&lt;&gt;"", """" &amp; Q48 &amp; """", ""),
    IF(R44&lt;&gt;"", """" &amp; R44 &amp; """", ""),
    IF(S44&lt;&gt;"", """" &amp; S44 &amp; """", "")
) &amp; "]"</f>
        <v>["BV-BRC"]</v>
      </c>
      <c r="V44" s="12" t="s">
        <v>347</v>
      </c>
      <c r="W44" s="1" t="s">
        <v>1527</v>
      </c>
      <c r="X44" s="13"/>
      <c r="Y44" s="13"/>
      <c r="Z44" s="13"/>
      <c r="AA44" s="13"/>
      <c r="AB44" s="13"/>
      <c r="AC44" s="1" t="s">
        <v>1027</v>
      </c>
      <c r="AD44" s="13"/>
      <c r="AE44" s="1" t="s">
        <v>1592</v>
      </c>
      <c r="AF44" s="1" t="s">
        <v>372</v>
      </c>
      <c r="AG44" s="13"/>
      <c r="AH44" s="14" t="s">
        <v>1527</v>
      </c>
      <c r="AI44" s="13"/>
      <c r="AJ44" s="13"/>
      <c r="AK44" s="13"/>
      <c r="AL44" s="13"/>
      <c r="AM44" s="13"/>
      <c r="AN44" s="13"/>
      <c r="AO44" s="28"/>
    </row>
    <row r="45" spans="1:41" s="10" customFormat="1" ht="23.25" customHeight="1">
      <c r="A45" s="4"/>
      <c r="B45" s="4"/>
      <c r="C45" s="4"/>
      <c r="D45" s="4"/>
      <c r="E45" s="11" t="s">
        <v>844</v>
      </c>
      <c r="F45" s="4"/>
      <c r="G45" s="4"/>
      <c r="H45" s="4"/>
      <c r="I45" s="4"/>
      <c r="J45" s="4"/>
      <c r="K45" s="4"/>
      <c r="L45" s="4"/>
      <c r="M45" s="4"/>
      <c r="N45" s="4" t="s">
        <v>1593</v>
      </c>
      <c r="O45" s="6"/>
      <c r="P45" s="6"/>
      <c r="Q45" s="4"/>
      <c r="R45" s="7"/>
      <c r="S45" s="4"/>
      <c r="T45" s="4"/>
      <c r="U45" s="3" t="str">
        <f>"[" &amp; _xlfn.TEXTJOIN(", ", TRUE,
    IF(H45&lt;&gt;"", """" &amp; VJDBCore!I$1 &amp; """", ""),
    IF(I45&lt;&gt;"", """" &amp; VJDBCore!J$1 &amp; """", ""),
    IF(J45&lt;&gt;"", """" &amp; VJDBCore!K$1 &amp; """", ""),
    IF(K45&lt;&gt;"", """" &amp; VJDBCore!L$1 &amp; """", ""),
    IF(L45&lt;&gt;"", """" &amp; VJDBCore!M$1 &amp; """", ""),    IF(M45&lt;&gt;"", """" &amp; VJDBCore!N$1 &amp; """", ""),    IF(N45&lt;&gt;"", """" &amp; VJDBCore!O$1 &amp; """", ""),     IF(O45&lt;&gt;"", """" &amp; VJDBCore!P$1 &amp; """", ""),     IF(O45&lt;&gt;"", """" &amp; VJDBCore!P$1 &amp; """", ""),     IF(P45&lt;&gt;"", """" &amp; VJDBCore!Q$1 &amp; """", ""),
    IF(Q49&lt;&gt;"", """" &amp; Q49 &amp; """", ""),
    IF(R45&lt;&gt;"", """" &amp; R45 &amp; """", ""),
    IF(S45&lt;&gt;"", """" &amp; S45 &amp; """", "")
) &amp; "]"</f>
        <v>["BV-BRC"]</v>
      </c>
      <c r="V45" s="12" t="s">
        <v>347</v>
      </c>
      <c r="W45" s="1" t="s">
        <v>1527</v>
      </c>
      <c r="X45" s="13"/>
      <c r="Y45" s="13"/>
      <c r="Z45" s="13"/>
      <c r="AA45" s="13"/>
      <c r="AB45" s="13"/>
      <c r="AC45" s="1" t="s">
        <v>1027</v>
      </c>
      <c r="AD45" s="13"/>
      <c r="AE45" s="1" t="s">
        <v>1594</v>
      </c>
      <c r="AF45" s="1" t="s">
        <v>372</v>
      </c>
      <c r="AG45" s="13"/>
      <c r="AH45" s="14" t="s">
        <v>1527</v>
      </c>
      <c r="AI45" s="13"/>
      <c r="AJ45" s="13"/>
      <c r="AK45" s="13"/>
      <c r="AL45" s="13"/>
      <c r="AM45" s="13"/>
      <c r="AN45" s="13"/>
      <c r="AO45" s="28"/>
    </row>
    <row r="46" spans="1:41" s="10" customFormat="1" ht="23.25" customHeight="1">
      <c r="A46" s="4"/>
      <c r="B46" s="4"/>
      <c r="C46" s="4"/>
      <c r="D46" s="4"/>
      <c r="E46" s="11" t="s">
        <v>844</v>
      </c>
      <c r="F46" s="4"/>
      <c r="G46" s="4"/>
      <c r="H46" s="4"/>
      <c r="I46" s="4"/>
      <c r="J46" s="4"/>
      <c r="K46" s="4"/>
      <c r="L46" s="4"/>
      <c r="M46" s="4"/>
      <c r="N46" s="4"/>
      <c r="O46" s="6"/>
      <c r="P46" s="6"/>
      <c r="Q46" s="4"/>
      <c r="R46" s="7"/>
      <c r="S46" s="4"/>
      <c r="T46" s="4"/>
      <c r="U46" s="3" t="str">
        <f>"[" &amp; _xlfn.TEXTJOIN(", ", TRUE,
    IF(H46&lt;&gt;"", """" &amp; VJDBCore!I$1 &amp; """", ""),
    IF(I46&lt;&gt;"", """" &amp; VJDBCore!J$1 &amp; """", ""),
    IF(J46&lt;&gt;"", """" &amp; VJDBCore!K$1 &amp; """", ""),
    IF(K46&lt;&gt;"", """" &amp; VJDBCore!L$1 &amp; """", ""),
    IF(L46&lt;&gt;"", """" &amp; VJDBCore!M$1 &amp; """", ""),    IF(M46&lt;&gt;"", """" &amp; VJDBCore!N$1 &amp; """", ""),    IF(N46&lt;&gt;"", """" &amp; VJDBCore!O$1 &amp; """", ""),     IF(O46&lt;&gt;"", """" &amp; VJDBCore!P$1 &amp; """", ""),     IF(O46&lt;&gt;"", """" &amp; VJDBCore!P$1 &amp; """", ""),     IF(P46&lt;&gt;"", """" &amp; VJDBCore!Q$1 &amp; """", ""),
    IF(Q50&lt;&gt;"", """" &amp; Q50 &amp; """", ""),
    IF(R46&lt;&gt;"", """" &amp; R46 &amp; """", ""),
    IF(S46&lt;&gt;"", """" &amp; S46 &amp; """", "")
) &amp; "]"</f>
        <v>[]</v>
      </c>
      <c r="V46" s="12" t="s">
        <v>347</v>
      </c>
      <c r="W46" s="1" t="s">
        <v>1527</v>
      </c>
      <c r="X46" s="13"/>
      <c r="Y46" s="13"/>
      <c r="Z46" s="13"/>
      <c r="AA46" s="13"/>
      <c r="AB46" s="13"/>
      <c r="AC46" s="13"/>
      <c r="AD46" s="13"/>
      <c r="AE46" s="1" t="s">
        <v>1595</v>
      </c>
      <c r="AF46" s="1" t="s">
        <v>372</v>
      </c>
      <c r="AG46" s="13"/>
      <c r="AH46" s="14" t="s">
        <v>1527</v>
      </c>
      <c r="AI46" s="13"/>
      <c r="AJ46" s="13"/>
      <c r="AK46" s="13"/>
      <c r="AL46" s="13"/>
      <c r="AM46" s="13"/>
      <c r="AN46" s="13"/>
      <c r="AO46" s="28"/>
    </row>
    <row r="47" spans="1:41" s="10" customFormat="1" ht="23.25" customHeight="1">
      <c r="A47" s="4"/>
      <c r="B47" s="4"/>
      <c r="C47" s="4"/>
      <c r="D47" s="4"/>
      <c r="E47" s="11" t="s">
        <v>844</v>
      </c>
      <c r="F47" s="4"/>
      <c r="G47" s="4"/>
      <c r="H47" s="4"/>
      <c r="I47" s="4"/>
      <c r="J47" s="4"/>
      <c r="K47" s="4"/>
      <c r="L47" s="4"/>
      <c r="M47" s="4"/>
      <c r="N47" s="4" t="s">
        <v>1596</v>
      </c>
      <c r="O47" s="6"/>
      <c r="P47" s="6"/>
      <c r="Q47" s="4"/>
      <c r="R47" s="7"/>
      <c r="S47" s="4"/>
      <c r="T47" s="4"/>
      <c r="U47" s="3" t="str">
        <f>"[" &amp; _xlfn.TEXTJOIN(", ", TRUE,
    IF(H47&lt;&gt;"", """" &amp; VJDBCore!I$1 &amp; """", ""),
    IF(I47&lt;&gt;"", """" &amp; VJDBCore!J$1 &amp; """", ""),
    IF(J47&lt;&gt;"", """" &amp; VJDBCore!K$1 &amp; """", ""),
    IF(K47&lt;&gt;"", """" &amp; VJDBCore!L$1 &amp; """", ""),
    IF(L47&lt;&gt;"", """" &amp; VJDBCore!M$1 &amp; """", ""),    IF(M47&lt;&gt;"", """" &amp; VJDBCore!N$1 &amp; """", ""),    IF(N47&lt;&gt;"", """" &amp; VJDBCore!O$1 &amp; """", ""),     IF(O47&lt;&gt;"", """" &amp; VJDBCore!P$1 &amp; """", ""),     IF(O47&lt;&gt;"", """" &amp; VJDBCore!P$1 &amp; """", ""),     IF(P47&lt;&gt;"", """" &amp; VJDBCore!Q$1 &amp; """", ""),
    IF(Q51&lt;&gt;"", """" &amp; Q51 &amp; """", ""),
    IF(R47&lt;&gt;"", """" &amp; R47 &amp; """", ""),
    IF(S47&lt;&gt;"", """" &amp; S47 &amp; """", "")
) &amp; "]"</f>
        <v>["BV-BRC"]</v>
      </c>
      <c r="V47" s="12" t="s">
        <v>347</v>
      </c>
      <c r="W47" s="1" t="s">
        <v>1527</v>
      </c>
      <c r="X47" s="13"/>
      <c r="Y47" s="13"/>
      <c r="Z47" s="13"/>
      <c r="AA47" s="13"/>
      <c r="AB47" s="13"/>
      <c r="AC47" s="1" t="s">
        <v>1027</v>
      </c>
      <c r="AD47" s="13"/>
      <c r="AE47" s="1" t="s">
        <v>1597</v>
      </c>
      <c r="AF47" s="1" t="s">
        <v>372</v>
      </c>
      <c r="AG47" s="13"/>
      <c r="AH47" s="14" t="s">
        <v>1527</v>
      </c>
      <c r="AI47" s="13"/>
      <c r="AJ47" s="13"/>
      <c r="AK47" s="13"/>
      <c r="AL47" s="13"/>
      <c r="AM47" s="13"/>
      <c r="AN47" s="13"/>
      <c r="AO47" s="28"/>
    </row>
    <row r="48" spans="1:41" s="10" customFormat="1" ht="23.25" customHeight="1">
      <c r="A48" s="4"/>
      <c r="B48" s="4"/>
      <c r="C48" s="4"/>
      <c r="D48" s="4"/>
      <c r="E48" s="11" t="s">
        <v>844</v>
      </c>
      <c r="F48" s="4"/>
      <c r="G48" s="4"/>
      <c r="H48" s="4"/>
      <c r="I48" s="4"/>
      <c r="J48" s="4"/>
      <c r="K48" s="4"/>
      <c r="L48" s="4"/>
      <c r="M48" s="4"/>
      <c r="N48" s="4"/>
      <c r="O48" s="6"/>
      <c r="P48" s="6"/>
      <c r="Q48" s="4"/>
      <c r="R48" s="7"/>
      <c r="S48" s="4"/>
      <c r="T48" s="4"/>
      <c r="U48" s="3" t="str">
        <f>"[" &amp; _xlfn.TEXTJOIN(", ", TRUE,
    IF(H48&lt;&gt;"", """" &amp; VJDBCore!I$1 &amp; """", ""),
    IF(I48&lt;&gt;"", """" &amp; VJDBCore!J$1 &amp; """", ""),
    IF(J48&lt;&gt;"", """" &amp; VJDBCore!K$1 &amp; """", ""),
    IF(K48&lt;&gt;"", """" &amp; VJDBCore!L$1 &amp; """", ""),
    IF(L48&lt;&gt;"", """" &amp; VJDBCore!M$1 &amp; """", ""),    IF(M48&lt;&gt;"", """" &amp; VJDBCore!N$1 &amp; """", ""),    IF(N48&lt;&gt;"", """" &amp; VJDBCore!O$1 &amp; """", ""),     IF(O48&lt;&gt;"", """" &amp; VJDBCore!P$1 &amp; """", ""),     IF(O48&lt;&gt;"", """" &amp; VJDBCore!P$1 &amp; """", ""),     IF(P48&lt;&gt;"", """" &amp; VJDBCore!Q$1 &amp; """", ""),
    IF(Q52&lt;&gt;"", """" &amp; Q52 &amp; """", ""),
    IF(R48&lt;&gt;"", """" &amp; R48 &amp; """", ""),
    IF(S48&lt;&gt;"", """" &amp; S48 &amp; """", "")
) &amp; "]"</f>
        <v>[]</v>
      </c>
      <c r="V48" s="12" t="s">
        <v>347</v>
      </c>
      <c r="W48" s="1" t="s">
        <v>1527</v>
      </c>
      <c r="X48" s="13"/>
      <c r="Y48" s="13"/>
      <c r="Z48" s="13"/>
      <c r="AA48" s="13"/>
      <c r="AB48" s="13"/>
      <c r="AC48" s="13"/>
      <c r="AD48" s="13"/>
      <c r="AE48" s="1" t="s">
        <v>1598</v>
      </c>
      <c r="AF48" s="1" t="s">
        <v>351</v>
      </c>
      <c r="AG48" s="13"/>
      <c r="AH48" s="14" t="s">
        <v>1527</v>
      </c>
      <c r="AI48" s="13"/>
      <c r="AJ48" s="13"/>
      <c r="AK48" s="13"/>
      <c r="AL48" s="13"/>
      <c r="AM48" s="13"/>
      <c r="AN48" s="13"/>
      <c r="AO48" s="28"/>
    </row>
    <row r="49" spans="1:41" s="10" customFormat="1" ht="23.25" customHeight="1">
      <c r="A49" s="4"/>
      <c r="B49" s="4"/>
      <c r="C49" s="4"/>
      <c r="D49" s="4"/>
      <c r="E49" s="11" t="s">
        <v>844</v>
      </c>
      <c r="F49" s="4"/>
      <c r="G49" s="4"/>
      <c r="H49" s="4"/>
      <c r="I49" s="4"/>
      <c r="J49" s="4"/>
      <c r="K49" s="4"/>
      <c r="L49" s="4"/>
      <c r="M49" s="4"/>
      <c r="N49" s="4" t="s">
        <v>1599</v>
      </c>
      <c r="O49" s="6"/>
      <c r="P49" s="6"/>
      <c r="Q49" s="4"/>
      <c r="R49" s="7"/>
      <c r="S49" s="4"/>
      <c r="T49" s="4"/>
      <c r="U49" s="3" t="str">
        <f>"[" &amp; _xlfn.TEXTJOIN(", ", TRUE,
    IF(H49&lt;&gt;"", """" &amp; VJDBCore!I$1 &amp; """", ""),
    IF(I49&lt;&gt;"", """" &amp; VJDBCore!J$1 &amp; """", ""),
    IF(J49&lt;&gt;"", """" &amp; VJDBCore!K$1 &amp; """", ""),
    IF(K49&lt;&gt;"", """" &amp; VJDBCore!L$1 &amp; """", ""),
    IF(L49&lt;&gt;"", """" &amp; VJDBCore!M$1 &amp; """", ""),    IF(M49&lt;&gt;"", """" &amp; VJDBCore!N$1 &amp; """", ""),    IF(N49&lt;&gt;"", """" &amp; VJDBCore!O$1 &amp; """", ""),     IF(O49&lt;&gt;"", """" &amp; VJDBCore!P$1 &amp; """", ""),     IF(O49&lt;&gt;"", """" &amp; VJDBCore!P$1 &amp; """", ""),     IF(P49&lt;&gt;"", """" &amp; VJDBCore!Q$1 &amp; """", ""),
    IF(Q53&lt;&gt;"", """" &amp; Q53 &amp; """", ""),
    IF(R49&lt;&gt;"", """" &amp; R49 &amp; """", ""),
    IF(S49&lt;&gt;"", """" &amp; S49 &amp; """", "")
) &amp; "]"</f>
        <v>["BV-BRC"]</v>
      </c>
      <c r="V49" s="12" t="s">
        <v>347</v>
      </c>
      <c r="W49" s="1" t="s">
        <v>1527</v>
      </c>
      <c r="X49" s="13"/>
      <c r="Y49" s="13"/>
      <c r="Z49" s="13"/>
      <c r="AA49" s="13"/>
      <c r="AB49" s="13"/>
      <c r="AC49" s="1" t="s">
        <v>901</v>
      </c>
      <c r="AD49" s="13"/>
      <c r="AE49" s="1" t="s">
        <v>1600</v>
      </c>
      <c r="AF49" s="1" t="s">
        <v>351</v>
      </c>
      <c r="AG49" s="13"/>
      <c r="AH49" s="14" t="s">
        <v>1527</v>
      </c>
      <c r="AI49" s="13"/>
      <c r="AJ49" s="13"/>
      <c r="AK49" s="13"/>
      <c r="AL49" s="13"/>
      <c r="AM49" s="13"/>
      <c r="AN49" s="13"/>
      <c r="AO49" s="28"/>
    </row>
    <row r="50" spans="1:41" s="10" customFormat="1" ht="23.25" customHeight="1">
      <c r="A50" s="4"/>
      <c r="B50" s="4"/>
      <c r="C50" s="4"/>
      <c r="D50" s="4"/>
      <c r="E50" s="11" t="s">
        <v>844</v>
      </c>
      <c r="F50" s="4"/>
      <c r="G50" s="4"/>
      <c r="H50" s="4"/>
      <c r="I50" s="4"/>
      <c r="J50" s="4"/>
      <c r="K50" s="4"/>
      <c r="L50" s="4"/>
      <c r="M50" s="4"/>
      <c r="N50" s="4"/>
      <c r="O50" s="6"/>
      <c r="P50" s="6"/>
      <c r="Q50" s="4"/>
      <c r="R50" s="7"/>
      <c r="S50" s="4"/>
      <c r="T50" s="4"/>
      <c r="U50" s="3" t="str">
        <f>"[" &amp; _xlfn.TEXTJOIN(", ", TRUE,
    IF(H50&lt;&gt;"", """" &amp; VJDBCore!I$1 &amp; """", ""),
    IF(I50&lt;&gt;"", """" &amp; VJDBCore!J$1 &amp; """", ""),
    IF(J50&lt;&gt;"", """" &amp; VJDBCore!K$1 &amp; """", ""),
    IF(K50&lt;&gt;"", """" &amp; VJDBCore!L$1 &amp; """", ""),
    IF(L50&lt;&gt;"", """" &amp; VJDBCore!M$1 &amp; """", ""),    IF(M50&lt;&gt;"", """" &amp; VJDBCore!N$1 &amp; """", ""),    IF(N50&lt;&gt;"", """" &amp; VJDBCore!O$1 &amp; """", ""),     IF(O50&lt;&gt;"", """" &amp; VJDBCore!P$1 &amp; """", ""),     IF(O50&lt;&gt;"", """" &amp; VJDBCore!P$1 &amp; """", ""),     IF(P50&lt;&gt;"", """" &amp; VJDBCore!Q$1 &amp; """", ""),
    IF(Q54&lt;&gt;"", """" &amp; Q54 &amp; """", ""),
    IF(R50&lt;&gt;"", """" &amp; R50 &amp; """", ""),
    IF(S50&lt;&gt;"", """" &amp; S50 &amp; """", "")
) &amp; "]"</f>
        <v>[]</v>
      </c>
      <c r="V50" s="12" t="s">
        <v>347</v>
      </c>
      <c r="W50" s="1" t="s">
        <v>1527</v>
      </c>
      <c r="X50" s="13"/>
      <c r="Y50" s="13"/>
      <c r="Z50" s="13"/>
      <c r="AA50" s="13"/>
      <c r="AB50" s="13"/>
      <c r="AC50" s="13"/>
      <c r="AD50" s="13"/>
      <c r="AE50" s="1" t="s">
        <v>1601</v>
      </c>
      <c r="AF50" s="1" t="s">
        <v>351</v>
      </c>
      <c r="AG50" s="13"/>
      <c r="AH50" s="14" t="s">
        <v>1527</v>
      </c>
      <c r="AI50" s="13"/>
      <c r="AJ50" s="13"/>
      <c r="AK50" s="13"/>
      <c r="AL50" s="13"/>
      <c r="AM50" s="13"/>
      <c r="AN50" s="13"/>
      <c r="AO50" s="28"/>
    </row>
    <row r="51" spans="1:41" s="10" customFormat="1" ht="23.25" customHeight="1">
      <c r="A51" s="4"/>
      <c r="B51" s="4"/>
      <c r="C51" s="4"/>
      <c r="D51" s="4"/>
      <c r="E51" s="11" t="s">
        <v>844</v>
      </c>
      <c r="F51" s="4"/>
      <c r="G51" s="4"/>
      <c r="H51" s="4"/>
      <c r="I51" s="4"/>
      <c r="J51" s="4"/>
      <c r="K51" s="4"/>
      <c r="L51" s="4"/>
      <c r="M51" s="4"/>
      <c r="N51" s="4"/>
      <c r="O51" s="6"/>
      <c r="P51" s="6"/>
      <c r="Q51" s="4"/>
      <c r="R51" s="7"/>
      <c r="S51" s="4"/>
      <c r="T51" s="4"/>
      <c r="U51" s="3" t="str">
        <f>"[" &amp; _xlfn.TEXTJOIN(", ", TRUE,
    IF(H51&lt;&gt;"", """" &amp; VJDBCore!I$1 &amp; """", ""),
    IF(I51&lt;&gt;"", """" &amp; VJDBCore!J$1 &amp; """", ""),
    IF(J51&lt;&gt;"", """" &amp; VJDBCore!K$1 &amp; """", ""),
    IF(K51&lt;&gt;"", """" &amp; VJDBCore!L$1 &amp; """", ""),
    IF(L51&lt;&gt;"", """" &amp; VJDBCore!M$1 &amp; """", ""),    IF(M51&lt;&gt;"", """" &amp; VJDBCore!N$1 &amp; """", ""),    IF(N51&lt;&gt;"", """" &amp; VJDBCore!O$1 &amp; """", ""),     IF(O51&lt;&gt;"", """" &amp; VJDBCore!P$1 &amp; """", ""),     IF(O51&lt;&gt;"", """" &amp; VJDBCore!P$1 &amp; """", ""),     IF(P51&lt;&gt;"", """" &amp; VJDBCore!Q$1 &amp; """", ""),
    IF(Q55&lt;&gt;"", """" &amp; Q55 &amp; """", ""),
    IF(R51&lt;&gt;"", """" &amp; R51 &amp; """", ""),
    IF(S51&lt;&gt;"", """" &amp; S51 &amp; """", "")
) &amp; "]"</f>
        <v>[]</v>
      </c>
      <c r="V51" s="12" t="s">
        <v>347</v>
      </c>
      <c r="W51" s="1" t="s">
        <v>1527</v>
      </c>
      <c r="X51" s="13"/>
      <c r="Y51" s="13"/>
      <c r="Z51" s="13"/>
      <c r="AA51" s="13"/>
      <c r="AB51" s="13"/>
      <c r="AC51" s="13"/>
      <c r="AD51" s="1" t="s">
        <v>1542</v>
      </c>
      <c r="AE51" s="1" t="s">
        <v>1602</v>
      </c>
      <c r="AF51" s="1" t="s">
        <v>1060</v>
      </c>
      <c r="AG51" s="13"/>
      <c r="AH51" s="14" t="s">
        <v>1527</v>
      </c>
      <c r="AI51" s="13"/>
      <c r="AJ51" s="13"/>
      <c r="AK51" s="13"/>
      <c r="AL51" s="13"/>
      <c r="AM51" s="13"/>
      <c r="AN51" s="13"/>
      <c r="AO51" s="28"/>
    </row>
    <row r="52" spans="1:41" s="10" customFormat="1" ht="23.25" customHeight="1">
      <c r="A52" s="4"/>
      <c r="B52" s="4"/>
      <c r="C52" s="4"/>
      <c r="D52" s="4"/>
      <c r="E52" s="11" t="s">
        <v>844</v>
      </c>
      <c r="F52" s="4"/>
      <c r="G52" s="4"/>
      <c r="H52" s="4"/>
      <c r="I52" s="4"/>
      <c r="J52" s="4"/>
      <c r="K52" s="4"/>
      <c r="L52" s="4"/>
      <c r="M52" s="4"/>
      <c r="N52" s="4"/>
      <c r="O52" s="6"/>
      <c r="P52" s="6"/>
      <c r="Q52" s="4"/>
      <c r="R52" s="7"/>
      <c r="S52" s="4"/>
      <c r="T52" s="4"/>
      <c r="U52" s="3" t="e">
        <f>"[" &amp; _xlfn.TEXTJOIN(", ", TRUE,
    IF(H52&lt;&gt;"", """" &amp; VJDBCore!I$1 &amp; """", ""),
    IF(I52&lt;&gt;"", """" &amp; VJDBCore!J$1 &amp; """", ""),
    IF(J52&lt;&gt;"", """" &amp; VJDBCore!K$1 &amp; """", ""),
    IF(K52&lt;&gt;"", """" &amp; VJDBCore!L$1 &amp; """", ""),
    IF(L52&lt;&gt;"", """" &amp; VJDBCore!M$1 &amp; """", ""),    IF(M52&lt;&gt;"", """" &amp; VJDBCore!N$1 &amp; """", ""),    IF(N52&lt;&gt;"", """" &amp; VJDBCore!O$1 &amp; """", ""),     IF(O52&lt;&gt;"", """" &amp; VJDBCore!P$1 &amp; """", ""),     IF(O52&lt;&gt;"", """" &amp; VJDBCore!P$1 &amp; """", ""),     IF(P52&lt;&gt;"", """" &amp; VJDBCore!Q$1 &amp; """", ""),
    IF(#REF!&lt;&gt;"", """" &amp;#REF! &amp; """", ""),
    IF(R52&lt;&gt;"", """" &amp; R52 &amp; """", ""),
    IF(S52&lt;&gt;"", """" &amp; S52 &amp; """", "")
) &amp; "]"</f>
        <v>#REF!</v>
      </c>
      <c r="V52" s="12" t="s">
        <v>347</v>
      </c>
      <c r="W52" s="1" t="s">
        <v>1527</v>
      </c>
      <c r="X52" s="13"/>
      <c r="Y52" s="13"/>
      <c r="Z52" s="13"/>
      <c r="AA52" s="13"/>
      <c r="AB52" s="13"/>
      <c r="AC52" s="13"/>
      <c r="AD52" s="1" t="s">
        <v>1542</v>
      </c>
      <c r="AE52" s="1" t="s">
        <v>1603</v>
      </c>
      <c r="AF52" s="1" t="s">
        <v>92</v>
      </c>
      <c r="AG52" s="13"/>
      <c r="AH52" s="14" t="s">
        <v>1527</v>
      </c>
      <c r="AI52" s="13"/>
      <c r="AJ52" s="13"/>
      <c r="AK52" s="13"/>
      <c r="AL52" s="13"/>
      <c r="AM52" s="13"/>
      <c r="AN52" s="13"/>
      <c r="AO52" s="28"/>
    </row>
    <row r="53" spans="1:41" s="10" customFormat="1" ht="23.25" customHeight="1">
      <c r="A53" s="4"/>
      <c r="B53" s="4"/>
      <c r="C53" s="4"/>
      <c r="D53" s="4"/>
      <c r="E53" s="11" t="s">
        <v>844</v>
      </c>
      <c r="F53" s="4"/>
      <c r="G53" s="4"/>
      <c r="H53" s="4"/>
      <c r="I53" s="4"/>
      <c r="J53" s="4"/>
      <c r="K53" s="4"/>
      <c r="L53" s="4"/>
      <c r="M53" s="4"/>
      <c r="N53" s="4" t="s">
        <v>1604</v>
      </c>
      <c r="O53" s="6"/>
      <c r="P53" s="6"/>
      <c r="Q53" s="4"/>
      <c r="R53" s="7"/>
      <c r="S53" s="4"/>
      <c r="T53" s="4"/>
      <c r="U53" s="3" t="str">
        <f>"[" &amp; _xlfn.TEXTJOIN(", ", TRUE,
    IF(H53&lt;&gt;"", """" &amp; VJDBCore!I$1 &amp; """", ""),
    IF(I53&lt;&gt;"", """" &amp; VJDBCore!J$1 &amp; """", ""),
    IF(J53&lt;&gt;"", """" &amp; VJDBCore!K$1 &amp; """", ""),
    IF(K53&lt;&gt;"", """" &amp; VJDBCore!L$1 &amp; """", ""),
    IF(L53&lt;&gt;"", """" &amp; VJDBCore!M$1 &amp; """", ""),    IF(M53&lt;&gt;"", """" &amp; VJDBCore!N$1 &amp; """", ""),    IF(N53&lt;&gt;"", """" &amp; VJDBCore!O$1 &amp; """", ""),     IF(O53&lt;&gt;"", """" &amp; VJDBCore!P$1 &amp; """", ""),     IF(O53&lt;&gt;"", """" &amp; VJDBCore!P$1 &amp; """", ""),     IF(P53&lt;&gt;"", """" &amp; VJDBCore!Q$1 &amp; """", ""),
    IF(Q57&lt;&gt;"", """" &amp; Q57 &amp; """", ""),
    IF(R53&lt;&gt;"", """" &amp; R53 &amp; """", ""),
    IF(S53&lt;&gt;"", """" &amp; S53 &amp; """", "")
) &amp; "]"</f>
        <v>["BV-BRC"]</v>
      </c>
      <c r="V53" s="12" t="s">
        <v>347</v>
      </c>
      <c r="W53" s="1" t="s">
        <v>1527</v>
      </c>
      <c r="X53" s="13"/>
      <c r="Y53" s="13"/>
      <c r="Z53" s="13"/>
      <c r="AA53" s="13"/>
      <c r="AB53" s="13"/>
      <c r="AC53" s="1" t="s">
        <v>992</v>
      </c>
      <c r="AD53" s="1" t="s">
        <v>993</v>
      </c>
      <c r="AE53" s="1" t="s">
        <v>1605</v>
      </c>
      <c r="AF53" s="1" t="s">
        <v>351</v>
      </c>
      <c r="AG53" s="13"/>
      <c r="AH53" s="14" t="s">
        <v>1527</v>
      </c>
      <c r="AI53" s="13"/>
      <c r="AJ53" s="13"/>
      <c r="AK53" s="13"/>
      <c r="AL53" s="13"/>
      <c r="AM53" s="13"/>
      <c r="AN53" s="13"/>
      <c r="AO53" s="28"/>
    </row>
    <row r="54" spans="1:41" s="10" customFormat="1" ht="23.25" customHeight="1">
      <c r="A54" s="4"/>
      <c r="B54" s="4"/>
      <c r="C54" s="4"/>
      <c r="D54" s="4"/>
      <c r="E54" s="11" t="s">
        <v>844</v>
      </c>
      <c r="F54" s="4"/>
      <c r="G54" s="4"/>
      <c r="H54" s="4"/>
      <c r="I54" s="4"/>
      <c r="J54" s="4"/>
      <c r="K54" s="4"/>
      <c r="L54" s="4"/>
      <c r="M54" s="4"/>
      <c r="N54" s="4"/>
      <c r="O54" s="6"/>
      <c r="P54" s="6"/>
      <c r="Q54" s="4"/>
      <c r="R54" s="7"/>
      <c r="S54" s="4"/>
      <c r="T54" s="4"/>
      <c r="U54" s="3" t="str">
        <f>"[" &amp; _xlfn.TEXTJOIN(", ", TRUE,
    IF(H54&lt;&gt;"", """" &amp; VJDBCore!I$1 &amp; """", ""),
    IF(I54&lt;&gt;"", """" &amp; VJDBCore!J$1 &amp; """", ""),
    IF(J54&lt;&gt;"", """" &amp; VJDBCore!K$1 &amp; """", ""),
    IF(K54&lt;&gt;"", """" &amp; VJDBCore!L$1 &amp; """", ""),
    IF(L54&lt;&gt;"", """" &amp; VJDBCore!M$1 &amp; """", ""),    IF(M54&lt;&gt;"", """" &amp; VJDBCore!N$1 &amp; """", ""),    IF(N54&lt;&gt;"", """" &amp; VJDBCore!O$1 &amp; """", ""),     IF(O54&lt;&gt;"", """" &amp; VJDBCore!P$1 &amp; """", ""),     IF(O54&lt;&gt;"", """" &amp; VJDBCore!P$1 &amp; """", ""),     IF(P54&lt;&gt;"", """" &amp; VJDBCore!Q$1 &amp; """", ""),
    IF(Q58&lt;&gt;"", """" &amp; Q58 &amp; """", ""),
    IF(R54&lt;&gt;"", """" &amp; R54 &amp; """", ""),
    IF(S54&lt;&gt;"", """" &amp; S54 &amp; """", "")
) &amp; "]"</f>
        <v>[]</v>
      </c>
      <c r="V54" s="12" t="s">
        <v>347</v>
      </c>
      <c r="W54" s="1" t="s">
        <v>1527</v>
      </c>
      <c r="X54" s="13"/>
      <c r="Y54" s="13"/>
      <c r="Z54" s="13"/>
      <c r="AA54" s="13"/>
      <c r="AB54" s="13"/>
      <c r="AC54" s="13"/>
      <c r="AD54" s="1" t="s">
        <v>993</v>
      </c>
      <c r="AE54" s="1" t="s">
        <v>1606</v>
      </c>
      <c r="AF54" s="1" t="s">
        <v>351</v>
      </c>
      <c r="AG54" s="13"/>
      <c r="AH54" s="14" t="s">
        <v>1527</v>
      </c>
      <c r="AI54" s="13"/>
      <c r="AJ54" s="13"/>
      <c r="AK54" s="13"/>
      <c r="AL54" s="13"/>
      <c r="AM54" s="13"/>
      <c r="AN54" s="13"/>
      <c r="AO54" s="28"/>
    </row>
    <row r="55" spans="1:41" s="10" customFormat="1" ht="23.25" customHeight="1">
      <c r="A55" s="4"/>
      <c r="B55" s="4"/>
      <c r="C55" s="4"/>
      <c r="D55" s="4"/>
      <c r="E55" s="11" t="s">
        <v>844</v>
      </c>
      <c r="F55" s="4"/>
      <c r="G55" s="4"/>
      <c r="H55" s="4"/>
      <c r="I55" s="4"/>
      <c r="J55" s="4"/>
      <c r="K55" s="4"/>
      <c r="L55" s="4"/>
      <c r="M55" s="4"/>
      <c r="N55" s="4" t="s">
        <v>1607</v>
      </c>
      <c r="O55" s="6"/>
      <c r="P55" s="6"/>
      <c r="Q55" s="4"/>
      <c r="R55" s="7"/>
      <c r="S55" s="4"/>
      <c r="T55" s="4"/>
      <c r="U55" s="3" t="str">
        <f>"[" &amp; _xlfn.TEXTJOIN(", ", TRUE,
    IF(H55&lt;&gt;"", """" &amp; VJDBCore!I$1 &amp; """", ""),
    IF(I55&lt;&gt;"", """" &amp; VJDBCore!J$1 &amp; """", ""),
    IF(J55&lt;&gt;"", """" &amp; VJDBCore!K$1 &amp; """", ""),
    IF(K55&lt;&gt;"", """" &amp; VJDBCore!L$1 &amp; """", ""),
    IF(L55&lt;&gt;"", """" &amp; VJDBCore!M$1 &amp; """", ""),    IF(M55&lt;&gt;"", """" &amp; VJDBCore!N$1 &amp; """", ""),    IF(N55&lt;&gt;"", """" &amp; VJDBCore!O$1 &amp; """", ""),     IF(O55&lt;&gt;"", """" &amp; VJDBCore!P$1 &amp; """", ""),     IF(O55&lt;&gt;"", """" &amp; VJDBCore!P$1 &amp; """", ""),     IF(P55&lt;&gt;"", """" &amp; VJDBCore!Q$1 &amp; """", ""),
    IF(Q59&lt;&gt;"", """" &amp; Q59 &amp; """", ""),
    IF(R55&lt;&gt;"", """" &amp; R55 &amp; """", ""),
    IF(S55&lt;&gt;"", """" &amp; S55 &amp; """", "")
) &amp; "]"</f>
        <v>["BV-BRC"]</v>
      </c>
      <c r="V55" s="12" t="s">
        <v>347</v>
      </c>
      <c r="W55" s="1" t="s">
        <v>1527</v>
      </c>
      <c r="X55" s="13"/>
      <c r="Y55" s="13"/>
      <c r="Z55" s="13"/>
      <c r="AA55" s="13"/>
      <c r="AB55" s="13"/>
      <c r="AC55" s="1" t="s">
        <v>992</v>
      </c>
      <c r="AD55" s="1" t="s">
        <v>993</v>
      </c>
      <c r="AE55" s="1" t="s">
        <v>1608</v>
      </c>
      <c r="AF55" s="1" t="s">
        <v>351</v>
      </c>
      <c r="AG55" s="13"/>
      <c r="AH55" s="14" t="s">
        <v>1527</v>
      </c>
      <c r="AI55" s="13"/>
      <c r="AJ55" s="13"/>
      <c r="AK55" s="13"/>
      <c r="AL55" s="13"/>
      <c r="AM55" s="13"/>
      <c r="AN55" s="13"/>
      <c r="AO55" s="28"/>
    </row>
    <row r="56" spans="1:41" s="10" customFormat="1" ht="23.25" customHeight="1">
      <c r="A56" s="4"/>
      <c r="B56" s="4"/>
      <c r="C56" s="4"/>
      <c r="D56" s="4"/>
      <c r="E56" s="11" t="s">
        <v>844</v>
      </c>
      <c r="F56" s="4"/>
      <c r="G56" s="4"/>
      <c r="H56" s="4"/>
      <c r="I56" s="4"/>
      <c r="J56" s="4"/>
      <c r="K56" s="4"/>
      <c r="L56" s="4"/>
      <c r="M56" s="4"/>
      <c r="AI56" s="13"/>
      <c r="AJ56" s="13"/>
      <c r="AK56" s="13"/>
      <c r="AL56" s="13"/>
      <c r="AM56" s="13"/>
      <c r="AN56" s="13"/>
      <c r="AO56" s="28"/>
    </row>
    <row r="57" spans="1:41" s="10" customFormat="1" ht="23.25" customHeight="1">
      <c r="A57" s="4"/>
      <c r="B57" s="4"/>
      <c r="C57" s="4"/>
      <c r="D57" s="4"/>
      <c r="E57" s="11" t="s">
        <v>844</v>
      </c>
      <c r="F57" s="4"/>
      <c r="G57" s="4"/>
      <c r="H57" s="4"/>
      <c r="I57" s="4"/>
      <c r="J57" s="4"/>
      <c r="K57" s="4"/>
      <c r="L57" s="4"/>
      <c r="M57" s="4"/>
      <c r="N57" s="4"/>
      <c r="O57" s="6"/>
      <c r="P57" s="6"/>
      <c r="Q57" s="4"/>
      <c r="R57" s="7"/>
      <c r="S57" s="4"/>
      <c r="T57" s="4"/>
      <c r="U57" s="3" t="str">
        <f>"[" &amp; _xlfn.TEXTJOIN(", ", TRUE,
    IF(H57&lt;&gt;"", """" &amp; VJDBCore!I$1 &amp; """", ""),
    IF(I57&lt;&gt;"", """" &amp; VJDBCore!J$1 &amp; """", ""),
    IF(J57&lt;&gt;"", """" &amp; VJDBCore!K$1 &amp; """", ""),
    IF(K57&lt;&gt;"", """" &amp; VJDBCore!L$1 &amp; """", ""),
    IF(L57&lt;&gt;"", """" &amp; VJDBCore!M$1 &amp; """", ""),    IF(M57&lt;&gt;"", """" &amp; VJDBCore!N$1 &amp; """", ""),    IF(N57&lt;&gt;"", """" &amp; VJDBCore!O$1 &amp; """", ""),     IF(O57&lt;&gt;"", """" &amp; VJDBCore!P$1 &amp; """", ""),     IF(O57&lt;&gt;"", """" &amp; VJDBCore!P$1 &amp; """", ""),     IF(P57&lt;&gt;"", """" &amp; VJDBCore!Q$1 &amp; """", ""),
    IF(Q61&lt;&gt;"", """" &amp; Q61 &amp; """", ""),
    IF(R57&lt;&gt;"", """" &amp; R57 &amp; """", ""),
    IF(S57&lt;&gt;"", """" &amp; S57 &amp; """", "")
) &amp; "]"</f>
        <v>[]</v>
      </c>
      <c r="V57" s="12" t="s">
        <v>347</v>
      </c>
      <c r="W57" s="1" t="s">
        <v>1527</v>
      </c>
      <c r="X57" s="13"/>
      <c r="Y57" s="13"/>
      <c r="Z57" s="13"/>
      <c r="AA57" s="13"/>
      <c r="AB57" s="13"/>
      <c r="AC57" s="13"/>
      <c r="AD57" s="1" t="s">
        <v>993</v>
      </c>
      <c r="AE57" s="1" t="s">
        <v>1609</v>
      </c>
      <c r="AF57" s="1" t="s">
        <v>351</v>
      </c>
      <c r="AG57" s="13"/>
      <c r="AH57" s="14" t="s">
        <v>1527</v>
      </c>
      <c r="AI57" s="13"/>
      <c r="AJ57" s="13"/>
      <c r="AK57" s="13"/>
      <c r="AL57" s="13"/>
      <c r="AM57" s="13"/>
      <c r="AN57" s="13"/>
      <c r="AO57" s="28"/>
    </row>
    <row r="58" spans="1:41" s="10" customFormat="1" ht="23.25" customHeight="1">
      <c r="A58" s="4"/>
      <c r="B58" s="4"/>
      <c r="C58" s="4"/>
      <c r="D58" s="4"/>
      <c r="E58" s="11" t="s">
        <v>844</v>
      </c>
      <c r="F58" s="4"/>
      <c r="G58" s="4"/>
      <c r="H58" s="4"/>
      <c r="I58" s="4"/>
      <c r="J58" s="4"/>
      <c r="K58" s="4"/>
      <c r="L58" s="4"/>
      <c r="M58" s="4"/>
      <c r="N58" s="4"/>
      <c r="O58" s="6"/>
      <c r="P58" s="6"/>
      <c r="Q58" s="4"/>
      <c r="R58" s="7"/>
      <c r="S58" s="4"/>
      <c r="T58" s="4"/>
      <c r="U58" s="3" t="str">
        <f>"[" &amp; _xlfn.TEXTJOIN(", ", TRUE,
    IF(H58&lt;&gt;"", """" &amp; VJDBCore!I$1 &amp; """", ""),
    IF(I58&lt;&gt;"", """" &amp; VJDBCore!J$1 &amp; """", ""),
    IF(J58&lt;&gt;"", """" &amp; VJDBCore!K$1 &amp; """", ""),
    IF(K58&lt;&gt;"", """" &amp; VJDBCore!L$1 &amp; """", ""),
    IF(L58&lt;&gt;"", """" &amp; VJDBCore!M$1 &amp; """", ""),    IF(M58&lt;&gt;"", """" &amp; VJDBCore!N$1 &amp; """", ""),    IF(N58&lt;&gt;"", """" &amp; VJDBCore!O$1 &amp; """", ""),     IF(O58&lt;&gt;"", """" &amp; VJDBCore!P$1 &amp; """", ""),     IF(O58&lt;&gt;"", """" &amp; VJDBCore!P$1 &amp; """", ""),     IF(P58&lt;&gt;"", """" &amp; VJDBCore!Q$1 &amp; """", ""),
    IF(Q62&lt;&gt;"", """" &amp; Q62 &amp; """", ""),
    IF(R58&lt;&gt;"", """" &amp; R58 &amp; """", ""),
    IF(S58&lt;&gt;"", """" &amp; S58 &amp; """", "")
) &amp; "]"</f>
        <v>[]</v>
      </c>
      <c r="V58" s="12" t="s">
        <v>347</v>
      </c>
      <c r="W58" s="1" t="s">
        <v>1527</v>
      </c>
      <c r="X58" s="13"/>
      <c r="Y58" s="13"/>
      <c r="Z58" s="13"/>
      <c r="AA58" s="13"/>
      <c r="AB58" s="13"/>
      <c r="AC58" s="13"/>
      <c r="AD58" s="1" t="s">
        <v>993</v>
      </c>
      <c r="AE58" s="1" t="s">
        <v>1610</v>
      </c>
      <c r="AF58" s="1" t="s">
        <v>351</v>
      </c>
      <c r="AG58" s="13"/>
      <c r="AH58" s="14" t="s">
        <v>1527</v>
      </c>
      <c r="AI58" s="13"/>
      <c r="AJ58" s="13"/>
      <c r="AK58" s="13"/>
      <c r="AL58" s="13"/>
      <c r="AM58" s="13"/>
      <c r="AN58" s="13"/>
      <c r="AO58" s="28"/>
    </row>
    <row r="59" spans="1:41" s="10" customFormat="1" ht="23.25" customHeight="1">
      <c r="A59" s="4"/>
      <c r="B59" s="4"/>
      <c r="C59" s="4"/>
      <c r="D59" s="4"/>
      <c r="E59" s="11" t="s">
        <v>844</v>
      </c>
      <c r="F59" s="4"/>
      <c r="G59" s="4"/>
      <c r="H59" s="4"/>
      <c r="I59" s="4"/>
      <c r="J59" s="4"/>
      <c r="K59" s="4"/>
      <c r="L59" s="4"/>
      <c r="M59" s="4"/>
      <c r="N59" s="4" t="s">
        <v>1611</v>
      </c>
      <c r="O59" s="6"/>
      <c r="P59" s="6"/>
      <c r="Q59" s="4"/>
      <c r="R59" s="7"/>
      <c r="S59" s="4"/>
      <c r="T59" s="4"/>
      <c r="U59" s="3" t="str">
        <f>"[" &amp; _xlfn.TEXTJOIN(", ", TRUE,
    IF(H59&lt;&gt;"", """" &amp; VJDBCore!I$1 &amp; """", ""),
    IF(I59&lt;&gt;"", """" &amp; VJDBCore!J$1 &amp; """", ""),
    IF(J59&lt;&gt;"", """" &amp; VJDBCore!K$1 &amp; """", ""),
    IF(K59&lt;&gt;"", """" &amp; VJDBCore!L$1 &amp; """", ""),
    IF(L59&lt;&gt;"", """" &amp; VJDBCore!M$1 &amp; """", ""),    IF(M59&lt;&gt;"", """" &amp; VJDBCore!N$1 &amp; """", ""),    IF(N59&lt;&gt;"", """" &amp; VJDBCore!O$1 &amp; """", ""),     IF(O59&lt;&gt;"", """" &amp; VJDBCore!P$1 &amp; """", ""),     IF(O59&lt;&gt;"", """" &amp; VJDBCore!P$1 &amp; """", ""),     IF(P59&lt;&gt;"", """" &amp; VJDBCore!Q$1 &amp; """", ""),
    IF(Q63&lt;&gt;"", """" &amp; Q63 &amp; """", ""),
    IF(R59&lt;&gt;"", """" &amp; R59 &amp; """", ""),
    IF(S59&lt;&gt;"", """" &amp; S59 &amp; """", "")
) &amp; "]"</f>
        <v>["BV-BRC"]</v>
      </c>
      <c r="V59" s="12" t="s">
        <v>347</v>
      </c>
      <c r="W59" s="1" t="s">
        <v>1527</v>
      </c>
      <c r="X59" s="13"/>
      <c r="Y59" s="13"/>
      <c r="Z59" s="13"/>
      <c r="AA59" s="13"/>
      <c r="AB59" s="13"/>
      <c r="AC59" s="1" t="s">
        <v>1542</v>
      </c>
      <c r="AD59" s="1" t="s">
        <v>1542</v>
      </c>
      <c r="AE59" s="1" t="s">
        <v>1612</v>
      </c>
      <c r="AF59" s="1" t="s">
        <v>1060</v>
      </c>
      <c r="AG59" s="13"/>
      <c r="AH59" s="14" t="s">
        <v>1527</v>
      </c>
      <c r="AI59" s="13"/>
      <c r="AJ59" s="13"/>
      <c r="AK59" s="13"/>
      <c r="AL59" s="13"/>
      <c r="AM59" s="13"/>
      <c r="AN59" s="13"/>
      <c r="AO59" s="28"/>
    </row>
    <row r="60" spans="1:41" s="10" customFormat="1" ht="23.25" customHeight="1">
      <c r="A60" s="4"/>
      <c r="B60" s="4"/>
      <c r="C60" s="4"/>
      <c r="D60" s="4"/>
      <c r="E60" s="11" t="s">
        <v>844</v>
      </c>
      <c r="F60" s="4"/>
      <c r="G60" s="4"/>
      <c r="H60" s="4"/>
      <c r="I60" s="4"/>
      <c r="J60" s="4"/>
      <c r="K60" s="4"/>
      <c r="L60" s="4"/>
      <c r="M60" s="4"/>
      <c r="N60" s="4"/>
      <c r="O60" s="6"/>
      <c r="P60" s="6"/>
      <c r="Q60" s="4"/>
      <c r="R60" s="7"/>
      <c r="S60" s="4"/>
      <c r="T60" s="4"/>
      <c r="U60" s="3" t="str">
        <f>"[" &amp; _xlfn.TEXTJOIN(", ", TRUE,
    IF(H60&lt;&gt;"", """" &amp; VJDBCore!I$1 &amp; """", ""),
    IF(I60&lt;&gt;"", """" &amp; VJDBCore!J$1 &amp; """", ""),
    IF(J60&lt;&gt;"", """" &amp; VJDBCore!K$1 &amp; """", ""),
    IF(K60&lt;&gt;"", """" &amp; VJDBCore!L$1 &amp; """", ""),
    IF(L60&lt;&gt;"", """" &amp; VJDBCore!M$1 &amp; """", ""),    IF(M60&lt;&gt;"", """" &amp; VJDBCore!N$1 &amp; """", ""),    IF(N60&lt;&gt;"", """" &amp; VJDBCore!O$1 &amp; """", ""),     IF(O60&lt;&gt;"", """" &amp; VJDBCore!P$1 &amp; """", ""),     IF(O60&lt;&gt;"", """" &amp; VJDBCore!P$1 &amp; """", ""),     IF(P60&lt;&gt;"", """" &amp; VJDBCore!Q$1 &amp; """", ""),
    IF(Q64&lt;&gt;"", """" &amp; Q64 &amp; """", ""),
    IF(R60&lt;&gt;"", """" &amp; R60 &amp; """", ""),
    IF(S60&lt;&gt;"", """" &amp; S60 &amp; """", "")
) &amp; "]"</f>
        <v>[]</v>
      </c>
      <c r="V60" s="12" t="s">
        <v>347</v>
      </c>
      <c r="W60" s="1" t="s">
        <v>1527</v>
      </c>
      <c r="X60" s="13"/>
      <c r="Y60" s="13"/>
      <c r="Z60" s="13"/>
      <c r="AA60" s="13"/>
      <c r="AB60" s="13"/>
      <c r="AC60" s="13"/>
      <c r="AD60" s="1" t="s">
        <v>1542</v>
      </c>
      <c r="AE60" s="1" t="s">
        <v>1613</v>
      </c>
      <c r="AF60" s="1" t="s">
        <v>372</v>
      </c>
      <c r="AG60" s="13"/>
      <c r="AH60" s="14" t="s">
        <v>1527</v>
      </c>
      <c r="AI60" s="13"/>
      <c r="AJ60" s="13"/>
      <c r="AK60" s="13"/>
      <c r="AL60" s="13"/>
      <c r="AM60" s="13"/>
      <c r="AN60" s="13"/>
      <c r="AO60" s="28"/>
    </row>
    <row r="61" spans="1:41" s="10" customFormat="1" ht="23.25" customHeight="1">
      <c r="A61" s="4"/>
      <c r="B61" s="4"/>
      <c r="C61" s="4"/>
      <c r="D61" s="4"/>
      <c r="E61" s="11" t="s">
        <v>844</v>
      </c>
      <c r="F61" s="4"/>
      <c r="G61" s="4"/>
      <c r="H61" s="4"/>
      <c r="I61" s="4"/>
      <c r="J61" s="4"/>
      <c r="K61" s="4"/>
      <c r="L61" s="4"/>
      <c r="M61" s="4"/>
      <c r="N61" s="4" t="s">
        <v>1614</v>
      </c>
      <c r="O61" s="6"/>
      <c r="P61" s="6"/>
      <c r="Q61" s="4"/>
      <c r="R61" s="7"/>
      <c r="S61" s="4"/>
      <c r="T61" s="4"/>
      <c r="U61" s="3" t="str">
        <f>"[" &amp; _xlfn.TEXTJOIN(", ", TRUE,
    IF(H61&lt;&gt;"", """" &amp; VJDBCore!I$1 &amp; """", ""),
    IF(I61&lt;&gt;"", """" &amp; VJDBCore!J$1 &amp; """", ""),
    IF(J61&lt;&gt;"", """" &amp; VJDBCore!K$1 &amp; """", ""),
    IF(K61&lt;&gt;"", """" &amp; VJDBCore!L$1 &amp; """", ""),
    IF(L61&lt;&gt;"", """" &amp; VJDBCore!M$1 &amp; """", ""),    IF(M61&lt;&gt;"", """" &amp; VJDBCore!N$1 &amp; """", ""),    IF(N61&lt;&gt;"", """" &amp; VJDBCore!O$1 &amp; """", ""),     IF(O61&lt;&gt;"", """" &amp; VJDBCore!P$1 &amp; """", ""),     IF(O61&lt;&gt;"", """" &amp; VJDBCore!P$1 &amp; """", ""),     IF(P61&lt;&gt;"", """" &amp; VJDBCore!Q$1 &amp; """", ""),
    IF(Q65&lt;&gt;"", """" &amp; Q65 &amp; """", ""),
    IF(R61&lt;&gt;"", """" &amp; R61 &amp; """", ""),
    IF(S61&lt;&gt;"", """" &amp; S61 &amp; """", "")
) &amp; "]"</f>
        <v>["BV-BRC"]</v>
      </c>
      <c r="V61" s="12" t="s">
        <v>347</v>
      </c>
      <c r="W61" s="1" t="s">
        <v>1527</v>
      </c>
      <c r="X61" s="13"/>
      <c r="Y61" s="13"/>
      <c r="Z61" s="13"/>
      <c r="AA61" s="13"/>
      <c r="AB61" s="13"/>
      <c r="AC61" s="1" t="s">
        <v>1027</v>
      </c>
      <c r="AD61" s="13"/>
      <c r="AE61" s="1" t="s">
        <v>1615</v>
      </c>
      <c r="AF61" s="1" t="s">
        <v>351</v>
      </c>
      <c r="AG61" s="13"/>
      <c r="AH61" s="14" t="s">
        <v>1527</v>
      </c>
      <c r="AI61" s="13"/>
      <c r="AJ61" s="13"/>
      <c r="AK61" s="13"/>
      <c r="AL61" s="13"/>
      <c r="AM61" s="13"/>
      <c r="AN61" s="13"/>
      <c r="AO61" s="28"/>
    </row>
    <row r="62" spans="1:41" s="10" customFormat="1" ht="23.25" customHeight="1">
      <c r="A62" s="4"/>
      <c r="B62" s="4"/>
      <c r="C62" s="4"/>
      <c r="D62" s="4"/>
      <c r="E62" s="11" t="s">
        <v>844</v>
      </c>
      <c r="F62" s="4"/>
      <c r="G62" s="4"/>
      <c r="H62" s="4"/>
      <c r="I62" s="4"/>
      <c r="J62" s="4"/>
      <c r="K62" s="4"/>
      <c r="L62" s="4"/>
      <c r="M62" s="4"/>
      <c r="N62" s="4"/>
      <c r="O62" s="6"/>
      <c r="P62" s="6"/>
      <c r="Q62" s="4"/>
      <c r="R62" s="7"/>
      <c r="S62" s="4"/>
      <c r="T62" s="4"/>
      <c r="U62" s="3" t="str">
        <f>"[" &amp; _xlfn.TEXTJOIN(", ", TRUE,
    IF(H62&lt;&gt;"", """" &amp; VJDBCore!I$1 &amp; """", ""),
    IF(I62&lt;&gt;"", """" &amp; VJDBCore!J$1 &amp; """", ""),
    IF(J62&lt;&gt;"", """" &amp; VJDBCore!K$1 &amp; """", ""),
    IF(K62&lt;&gt;"", """" &amp; VJDBCore!L$1 &amp; """", ""),
    IF(L62&lt;&gt;"", """" &amp; VJDBCore!M$1 &amp; """", ""),    IF(M62&lt;&gt;"", """" &amp; VJDBCore!N$1 &amp; """", ""),    IF(N62&lt;&gt;"", """" &amp; VJDBCore!O$1 &amp; """", ""),     IF(O62&lt;&gt;"", """" &amp; VJDBCore!P$1 &amp; """", ""),     IF(O62&lt;&gt;"", """" &amp; VJDBCore!P$1 &amp; """", ""),     IF(P62&lt;&gt;"", """" &amp; VJDBCore!Q$1 &amp; """", ""),
    IF(Q66&lt;&gt;"", """" &amp; Q66 &amp; """", ""),
    IF(R62&lt;&gt;"", """" &amp; R62 &amp; """", ""),
    IF(S62&lt;&gt;"", """" &amp; S62 &amp; """", "")
) &amp; "]"</f>
        <v>[]</v>
      </c>
      <c r="V62" s="12" t="s">
        <v>347</v>
      </c>
      <c r="W62" s="1" t="s">
        <v>1527</v>
      </c>
      <c r="X62" s="13"/>
      <c r="Y62" s="13"/>
      <c r="Z62" s="13"/>
      <c r="AA62" s="13"/>
      <c r="AB62" s="13"/>
      <c r="AC62" s="13"/>
      <c r="AD62" s="13"/>
      <c r="AE62" s="1" t="s">
        <v>1616</v>
      </c>
      <c r="AF62" s="1" t="s">
        <v>351</v>
      </c>
      <c r="AG62" s="13"/>
      <c r="AH62" s="14" t="s">
        <v>1527</v>
      </c>
      <c r="AI62" s="13"/>
      <c r="AJ62" s="13"/>
      <c r="AK62" s="13"/>
      <c r="AL62" s="13"/>
      <c r="AM62" s="13"/>
      <c r="AN62" s="13"/>
      <c r="AO62" s="28"/>
    </row>
    <row r="63" spans="1:41" s="10" customFormat="1" ht="23.25" customHeight="1">
      <c r="A63" s="4"/>
      <c r="B63" s="4"/>
      <c r="C63" s="4"/>
      <c r="D63" s="4"/>
      <c r="E63" s="11" t="s">
        <v>844</v>
      </c>
      <c r="F63" s="4"/>
      <c r="G63" s="4"/>
      <c r="H63" s="4"/>
      <c r="I63" s="4"/>
      <c r="J63" s="4"/>
      <c r="K63" s="4"/>
      <c r="L63" s="4"/>
      <c r="M63" s="4"/>
      <c r="N63" s="4" t="s">
        <v>1617</v>
      </c>
      <c r="O63" s="6"/>
      <c r="P63" s="6"/>
      <c r="Q63" s="4"/>
      <c r="R63" s="7"/>
      <c r="S63" s="4"/>
      <c r="T63" s="4"/>
      <c r="U63" s="3" t="e">
        <f>"[" &amp; _xlfn.TEXTJOIN(", ", TRUE,
    IF(H63&lt;&gt;"", """" &amp; VJDBCore!I$1 &amp; """", ""),
    IF(I63&lt;&gt;"", """" &amp; VJDBCore!J$1 &amp; """", ""),
    IF(J63&lt;&gt;"", """" &amp; VJDBCore!K$1 &amp; """", ""),
    IF(K63&lt;&gt;"", """" &amp; VJDBCore!L$1 &amp; """", ""),
    IF(L63&lt;&gt;"", """" &amp; VJDBCore!M$1 &amp; """", ""),    IF(M63&lt;&gt;"", """" &amp; VJDBCore!N$1 &amp; """", ""),    IF(N63&lt;&gt;"", """" &amp; VJDBCore!O$1 &amp; """", ""),     IF(O63&lt;&gt;"", """" &amp; VJDBCore!P$1 &amp; """", ""),     IF(O63&lt;&gt;"", """" &amp; VJDBCore!P$1 &amp; """", ""),     IF(P63&lt;&gt;"", """" &amp; VJDBCore!Q$1 &amp; """", ""),
    IF(#REF!&lt;&gt;"", """" &amp;#REF! &amp; """", ""),
    IF(R63&lt;&gt;"", """" &amp; R63 &amp; """", ""),
    IF(S63&lt;&gt;"", """" &amp; S63 &amp; """", "")
) &amp; "]"</f>
        <v>#REF!</v>
      </c>
      <c r="V63" s="12" t="s">
        <v>347</v>
      </c>
      <c r="W63" s="1" t="s">
        <v>1527</v>
      </c>
      <c r="X63" s="13"/>
      <c r="Y63" s="13"/>
      <c r="Z63" s="13"/>
      <c r="AA63" s="13"/>
      <c r="AB63" s="13"/>
      <c r="AC63" s="1" t="s">
        <v>1027</v>
      </c>
      <c r="AD63" s="13"/>
      <c r="AE63" s="1" t="s">
        <v>1618</v>
      </c>
      <c r="AF63" s="1" t="s">
        <v>1060</v>
      </c>
      <c r="AG63" s="13"/>
      <c r="AH63" s="14" t="s">
        <v>1527</v>
      </c>
      <c r="AI63" s="13"/>
      <c r="AJ63" s="13"/>
      <c r="AK63" s="13"/>
      <c r="AL63" s="13"/>
      <c r="AM63" s="13"/>
      <c r="AN63" s="13"/>
      <c r="AO63" s="28"/>
    </row>
    <row r="64" spans="1:41" s="10" customFormat="1" ht="23.25" customHeight="1">
      <c r="A64" s="4"/>
      <c r="B64" s="4"/>
      <c r="C64" s="4"/>
      <c r="D64" s="4"/>
      <c r="E64" s="11" t="s">
        <v>844</v>
      </c>
      <c r="F64" s="4"/>
      <c r="G64" s="4"/>
      <c r="H64" s="4"/>
      <c r="I64" s="4"/>
      <c r="J64" s="4"/>
      <c r="K64" s="4"/>
      <c r="L64" s="4"/>
      <c r="M64" s="4"/>
      <c r="N64" s="4"/>
      <c r="O64" s="6"/>
      <c r="P64" s="6"/>
      <c r="Q64" s="4"/>
      <c r="R64" s="7"/>
      <c r="S64" s="4"/>
      <c r="T64" s="4"/>
      <c r="U64" s="3" t="str">
        <f>"[" &amp; _xlfn.TEXTJOIN(", ", TRUE,
    IF(H64&lt;&gt;"", """" &amp; VJDBCore!I$1 &amp; """", ""),
    IF(I64&lt;&gt;"", """" &amp; VJDBCore!J$1 &amp; """", ""),
    IF(J64&lt;&gt;"", """" &amp; VJDBCore!K$1 &amp; """", ""),
    IF(K64&lt;&gt;"", """" &amp; VJDBCore!L$1 &amp; """", ""),
    IF(L64&lt;&gt;"", """" &amp; VJDBCore!M$1 &amp; """", ""),    IF(M64&lt;&gt;"", """" &amp; VJDBCore!N$1 &amp; """", ""),    IF(N64&lt;&gt;"", """" &amp; VJDBCore!O$1 &amp; """", ""),     IF(O64&lt;&gt;"", """" &amp; VJDBCore!P$1 &amp; """", ""),     IF(O64&lt;&gt;"", """" &amp; VJDBCore!P$1 &amp; """", ""),     IF(P64&lt;&gt;"", """" &amp; VJDBCore!Q$1 &amp; """", ""),
    IF(Q68&lt;&gt;"", """" &amp; Q68 &amp; """", ""),
    IF(R64&lt;&gt;"", """" &amp; R64 &amp; """", ""),
    IF(S64&lt;&gt;"", """" &amp; S64 &amp; """", "")
) &amp; "]"</f>
        <v>[]</v>
      </c>
      <c r="V64" s="12" t="s">
        <v>347</v>
      </c>
      <c r="W64" s="1" t="s">
        <v>1527</v>
      </c>
      <c r="X64" s="13"/>
      <c r="Y64" s="13"/>
      <c r="Z64" s="13"/>
      <c r="AA64" s="13"/>
      <c r="AB64" s="13"/>
      <c r="AC64" s="13"/>
      <c r="AD64" s="13"/>
      <c r="AE64" s="1" t="s">
        <v>1619</v>
      </c>
      <c r="AF64" s="1" t="s">
        <v>372</v>
      </c>
      <c r="AG64" s="13"/>
      <c r="AH64" s="14" t="s">
        <v>1527</v>
      </c>
      <c r="AI64" s="13"/>
      <c r="AJ64" s="13"/>
      <c r="AK64" s="13"/>
      <c r="AL64" s="13"/>
      <c r="AM64" s="13"/>
      <c r="AN64" s="13"/>
      <c r="AO64" s="28"/>
    </row>
    <row r="65" spans="1:41" s="10" customFormat="1" ht="23.25" customHeight="1">
      <c r="A65" s="4"/>
      <c r="B65" s="4"/>
      <c r="C65" s="4"/>
      <c r="D65" s="4"/>
      <c r="E65" s="11" t="s">
        <v>844</v>
      </c>
      <c r="F65" s="4"/>
      <c r="G65" s="4"/>
      <c r="H65" s="4"/>
      <c r="I65" s="4"/>
      <c r="J65" s="4"/>
      <c r="K65" s="4"/>
      <c r="L65" s="4"/>
      <c r="M65" s="4"/>
      <c r="N65" s="4"/>
      <c r="O65" s="6"/>
      <c r="P65" s="6"/>
      <c r="Q65" s="4"/>
      <c r="R65" s="7"/>
      <c r="S65" s="4"/>
      <c r="T65" s="4"/>
      <c r="U65" s="3" t="str">
        <f>"[" &amp; _xlfn.TEXTJOIN(", ", TRUE,
    IF(H65&lt;&gt;"", """" &amp; VJDBCore!I$1 &amp; """", ""),
    IF(I65&lt;&gt;"", """" &amp; VJDBCore!J$1 &amp; """", ""),
    IF(J65&lt;&gt;"", """" &amp; VJDBCore!K$1 &amp; """", ""),
    IF(K65&lt;&gt;"", """" &amp; VJDBCore!L$1 &amp; """", ""),
    IF(L65&lt;&gt;"", """" &amp; VJDBCore!M$1 &amp; """", ""),    IF(M65&lt;&gt;"", """" &amp; VJDBCore!N$1 &amp; """", ""),    IF(N65&lt;&gt;"", """" &amp; VJDBCore!O$1 &amp; """", ""),     IF(O65&lt;&gt;"", """" &amp; VJDBCore!P$1 &amp; """", ""),     IF(O65&lt;&gt;"", """" &amp; VJDBCore!P$1 &amp; """", ""),     IF(P65&lt;&gt;"", """" &amp; VJDBCore!Q$1 &amp; """", ""),
    IF(Q69&lt;&gt;"", """" &amp; Q69 &amp; """", ""),
    IF(R65&lt;&gt;"", """" &amp; R65 &amp; """", ""),
    IF(S65&lt;&gt;"", """" &amp; S65 &amp; """", "")
) &amp; "]"</f>
        <v>[]</v>
      </c>
      <c r="V65" s="12" t="s">
        <v>347</v>
      </c>
      <c r="W65" s="1" t="s">
        <v>1527</v>
      </c>
      <c r="X65" s="13"/>
      <c r="Y65" s="13"/>
      <c r="Z65" s="13"/>
      <c r="AA65" s="13"/>
      <c r="AB65" s="13"/>
      <c r="AC65" s="13"/>
      <c r="AD65" s="1" t="s">
        <v>1548</v>
      </c>
      <c r="AE65" s="1" t="s">
        <v>1620</v>
      </c>
      <c r="AF65" s="1" t="s">
        <v>372</v>
      </c>
      <c r="AG65" s="13"/>
      <c r="AH65" s="14" t="s">
        <v>1527</v>
      </c>
      <c r="AI65" s="13"/>
      <c r="AJ65" s="13"/>
      <c r="AK65" s="13"/>
      <c r="AL65" s="13"/>
      <c r="AM65" s="13"/>
      <c r="AN65" s="13"/>
      <c r="AO65" s="28"/>
    </row>
    <row r="66" spans="1:41" s="10" customFormat="1" ht="23.25" customHeight="1">
      <c r="A66" s="4"/>
      <c r="B66" s="4"/>
      <c r="C66" s="4"/>
      <c r="D66" s="4"/>
      <c r="E66" s="11" t="s">
        <v>844</v>
      </c>
      <c r="F66" s="4"/>
      <c r="G66" s="4"/>
      <c r="H66" s="4"/>
      <c r="I66" s="4"/>
      <c r="J66" s="4"/>
      <c r="K66" s="4"/>
      <c r="L66" s="4"/>
      <c r="M66" s="4"/>
      <c r="N66" s="4"/>
      <c r="O66" s="6"/>
      <c r="P66" s="6"/>
      <c r="Q66" s="4"/>
      <c r="R66" s="7"/>
      <c r="S66" s="4"/>
      <c r="T66" s="4"/>
      <c r="U66" s="3" t="str">
        <f>"[" &amp; _xlfn.TEXTJOIN(", ", TRUE,
    IF(H66&lt;&gt;"", """" &amp; VJDBCore!I$1 &amp; """", ""),
    IF(I66&lt;&gt;"", """" &amp; VJDBCore!J$1 &amp; """", ""),
    IF(J66&lt;&gt;"", """" &amp; VJDBCore!K$1 &amp; """", ""),
    IF(K66&lt;&gt;"", """" &amp; VJDBCore!L$1 &amp; """", ""),
    IF(L66&lt;&gt;"", """" &amp; VJDBCore!M$1 &amp; """", ""),    IF(M66&lt;&gt;"", """" &amp; VJDBCore!N$1 &amp; """", ""),    IF(N66&lt;&gt;"", """" &amp; VJDBCore!O$1 &amp; """", ""),     IF(O66&lt;&gt;"", """" &amp; VJDBCore!P$1 &amp; """", ""),     IF(O66&lt;&gt;"", """" &amp; VJDBCore!P$1 &amp; """", ""),     IF(P66&lt;&gt;"", """" &amp; VJDBCore!Q$1 &amp; """", ""),
    IF(Q70&lt;&gt;"", """" &amp; Q70 &amp; """", ""),
    IF(R66&lt;&gt;"", """" &amp; R66 &amp; """", ""),
    IF(S66&lt;&gt;"", """" &amp; S66 &amp; """", "")
) &amp; "]"</f>
        <v>[]</v>
      </c>
      <c r="V66" s="12" t="s">
        <v>347</v>
      </c>
      <c r="W66" s="1" t="s">
        <v>1527</v>
      </c>
      <c r="X66" s="13"/>
      <c r="Y66" s="13"/>
      <c r="Z66" s="13"/>
      <c r="AA66" s="13"/>
      <c r="AB66" s="13"/>
      <c r="AC66" s="13"/>
      <c r="AD66" s="13"/>
      <c r="AE66" s="1" t="s">
        <v>1621</v>
      </c>
      <c r="AF66" s="1" t="s">
        <v>351</v>
      </c>
      <c r="AG66" s="13"/>
      <c r="AH66" s="14" t="s">
        <v>1527</v>
      </c>
      <c r="AI66" s="13"/>
      <c r="AJ66" s="13"/>
      <c r="AK66" s="13"/>
      <c r="AL66" s="13"/>
      <c r="AM66" s="13"/>
      <c r="AN66" s="13"/>
      <c r="AO66" s="28"/>
    </row>
    <row r="67" spans="1:41" s="10" customFormat="1" ht="23.25" customHeight="1">
      <c r="A67" s="4"/>
      <c r="B67" s="4"/>
      <c r="C67" s="4"/>
      <c r="D67" s="4"/>
      <c r="E67" s="11" t="s">
        <v>844</v>
      </c>
      <c r="F67" s="4"/>
      <c r="G67" s="4"/>
      <c r="H67" s="4"/>
      <c r="I67" s="4"/>
      <c r="J67" s="4"/>
      <c r="K67" s="4"/>
      <c r="L67" s="4"/>
      <c r="M67" s="4"/>
      <c r="AI67" s="13"/>
      <c r="AJ67" s="13"/>
      <c r="AK67" s="13"/>
      <c r="AL67" s="13"/>
      <c r="AM67" s="13"/>
      <c r="AN67" s="13"/>
      <c r="AO67" s="28"/>
    </row>
    <row r="68" spans="1:41" s="10" customFormat="1" ht="23.25" customHeight="1">
      <c r="A68" s="4"/>
      <c r="B68" s="4"/>
      <c r="C68" s="4"/>
      <c r="D68" s="4"/>
      <c r="E68" s="11" t="s">
        <v>844</v>
      </c>
      <c r="F68" s="4"/>
      <c r="G68" s="4"/>
      <c r="H68" s="4"/>
      <c r="I68" s="4"/>
      <c r="J68" s="4"/>
      <c r="K68" s="4"/>
      <c r="L68" s="4"/>
      <c r="M68" s="4"/>
      <c r="N68" s="4"/>
      <c r="O68" s="6"/>
      <c r="P68" s="6"/>
      <c r="Q68" s="4"/>
      <c r="R68" s="7"/>
      <c r="S68" s="4"/>
      <c r="T68" s="4"/>
      <c r="U68" s="3" t="str">
        <f>"[" &amp; _xlfn.TEXTJOIN(", ", TRUE,
    IF(H68&lt;&gt;"", """" &amp; VJDBCore!I$1 &amp; """", ""),
    IF(I68&lt;&gt;"", """" &amp; VJDBCore!J$1 &amp; """", ""),
    IF(J68&lt;&gt;"", """" &amp; VJDBCore!K$1 &amp; """", ""),
    IF(K68&lt;&gt;"", """" &amp; VJDBCore!L$1 &amp; """", ""),
    IF(L68&lt;&gt;"", """" &amp; VJDBCore!M$1 &amp; """", ""),    IF(M68&lt;&gt;"", """" &amp; VJDBCore!N$1 &amp; """", ""),    IF(N68&lt;&gt;"", """" &amp; VJDBCore!O$1 &amp; """", ""),     IF(O68&lt;&gt;"", """" &amp; VJDBCore!P$1 &amp; """", ""),     IF(O68&lt;&gt;"", """" &amp; VJDBCore!P$1 &amp; """", ""),     IF(P68&lt;&gt;"", """" &amp; VJDBCore!Q$1 &amp; """", ""),
    IF(Q72&lt;&gt;"", """" &amp; Q72 &amp; """", ""),
    IF(R68&lt;&gt;"", """" &amp; R68 &amp; """", ""),
    IF(S68&lt;&gt;"", """" &amp; S68 &amp; """", "")
) &amp; "]"</f>
        <v>[]</v>
      </c>
      <c r="V68" s="12" t="s">
        <v>347</v>
      </c>
      <c r="W68" s="1" t="s">
        <v>1527</v>
      </c>
      <c r="X68" s="13"/>
      <c r="Y68" s="13"/>
      <c r="Z68" s="13"/>
      <c r="AA68" s="13"/>
      <c r="AB68" s="13"/>
      <c r="AC68" s="13"/>
      <c r="AD68" s="13"/>
      <c r="AE68" s="1" t="s">
        <v>1087</v>
      </c>
      <c r="AF68" s="1" t="s">
        <v>351</v>
      </c>
      <c r="AG68" s="13"/>
      <c r="AH68" s="14" t="s">
        <v>1527</v>
      </c>
      <c r="AI68" s="13"/>
      <c r="AJ68" s="13"/>
      <c r="AK68" s="13"/>
      <c r="AL68" s="13"/>
      <c r="AM68" s="13"/>
      <c r="AN68" s="13"/>
      <c r="AO68" s="28"/>
    </row>
    <row r="69" spans="1:41" s="10" customFormat="1" ht="23.25" customHeight="1">
      <c r="A69" s="4"/>
      <c r="B69" s="4"/>
      <c r="C69" s="4"/>
      <c r="D69" s="4"/>
      <c r="E69" s="11" t="s">
        <v>844</v>
      </c>
      <c r="F69" s="4"/>
      <c r="G69" s="4"/>
      <c r="H69" s="4"/>
      <c r="I69" s="4"/>
      <c r="J69" s="4"/>
      <c r="K69" s="4"/>
      <c r="L69" s="4"/>
      <c r="M69" s="4"/>
      <c r="N69" s="4" t="s">
        <v>1622</v>
      </c>
      <c r="O69" s="6"/>
      <c r="P69" s="6"/>
      <c r="Q69" s="4"/>
      <c r="R69" s="7"/>
      <c r="S69" s="4"/>
      <c r="T69" s="4"/>
      <c r="U69" s="3" t="str">
        <f>"[" &amp; _xlfn.TEXTJOIN(", ", TRUE,
    IF(H69&lt;&gt;"", """" &amp; VJDBCore!I$1 &amp; """", ""),
    IF(I69&lt;&gt;"", """" &amp; VJDBCore!J$1 &amp; """", ""),
    IF(J69&lt;&gt;"", """" &amp; VJDBCore!K$1 &amp; """", ""),
    IF(K69&lt;&gt;"", """" &amp; VJDBCore!L$1 &amp; """", ""),
    IF(L69&lt;&gt;"", """" &amp; VJDBCore!M$1 &amp; """", ""),    IF(M69&lt;&gt;"", """" &amp; VJDBCore!N$1 &amp; """", ""),    IF(N69&lt;&gt;"", """" &amp; VJDBCore!O$1 &amp; """", ""),     IF(O69&lt;&gt;"", """" &amp; VJDBCore!P$1 &amp; """", ""),     IF(O69&lt;&gt;"", """" &amp; VJDBCore!P$1 &amp; """", ""),     IF(P69&lt;&gt;"", """" &amp; VJDBCore!Q$1 &amp; """", ""),
    IF(Q73&lt;&gt;"", """" &amp; Q73 &amp; """", ""),
    IF(R69&lt;&gt;"", """" &amp; R69 &amp; """", ""),
    IF(S69&lt;&gt;"", """" &amp; S69 &amp; """", "")
) &amp; "]"</f>
        <v>["BV-BRC"]</v>
      </c>
      <c r="V69" s="12" t="s">
        <v>347</v>
      </c>
      <c r="W69" s="1" t="s">
        <v>1527</v>
      </c>
      <c r="X69" s="13"/>
      <c r="Y69" s="13"/>
      <c r="Z69" s="13"/>
      <c r="AA69" s="13"/>
      <c r="AB69" s="13"/>
      <c r="AC69" s="1" t="s">
        <v>901</v>
      </c>
      <c r="AD69" s="13"/>
      <c r="AE69" s="1" t="s">
        <v>1623</v>
      </c>
      <c r="AF69" s="1" t="s">
        <v>351</v>
      </c>
      <c r="AG69" s="13"/>
      <c r="AH69" s="14" t="s">
        <v>1527</v>
      </c>
      <c r="AI69" s="13"/>
      <c r="AJ69" s="13"/>
      <c r="AK69" s="13"/>
      <c r="AL69" s="13"/>
      <c r="AM69" s="13"/>
      <c r="AN69" s="13"/>
      <c r="AO69" s="28"/>
    </row>
    <row r="70" spans="1:41" s="10" customFormat="1" ht="23.25" customHeight="1">
      <c r="A70" s="4"/>
      <c r="B70" s="4"/>
      <c r="C70" s="4"/>
      <c r="D70" s="4"/>
      <c r="E70" s="11" t="s">
        <v>844</v>
      </c>
      <c r="F70" s="4"/>
      <c r="G70" s="4"/>
      <c r="H70" s="4"/>
      <c r="I70" s="4"/>
      <c r="J70" s="4"/>
      <c r="K70" s="4"/>
      <c r="L70" s="4"/>
      <c r="M70" s="4"/>
      <c r="N70" s="4" t="s">
        <v>1624</v>
      </c>
      <c r="O70" s="6"/>
      <c r="P70" s="6"/>
      <c r="Q70" s="4"/>
      <c r="R70" s="7"/>
      <c r="S70" s="4"/>
      <c r="T70" s="4"/>
      <c r="U70" s="3" t="str">
        <f>"[" &amp; _xlfn.TEXTJOIN(", ", TRUE,
    IF(H70&lt;&gt;"", """" &amp; VJDBCore!I$1 &amp; """", ""),
    IF(I70&lt;&gt;"", """" &amp; VJDBCore!J$1 &amp; """", ""),
    IF(J70&lt;&gt;"", """" &amp; VJDBCore!K$1 &amp; """", ""),
    IF(K70&lt;&gt;"", """" &amp; VJDBCore!L$1 &amp; """", ""),
    IF(L70&lt;&gt;"", """" &amp; VJDBCore!M$1 &amp; """", ""),    IF(M70&lt;&gt;"", """" &amp; VJDBCore!N$1 &amp; """", ""),    IF(N70&lt;&gt;"", """" &amp; VJDBCore!O$1 &amp; """", ""),     IF(O70&lt;&gt;"", """" &amp; VJDBCore!P$1 &amp; """", ""),     IF(O70&lt;&gt;"", """" &amp; VJDBCore!P$1 &amp; """", ""),     IF(P70&lt;&gt;"", """" &amp; VJDBCore!Q$1 &amp; """", ""),
    IF(Q74&lt;&gt;"", """" &amp; Q74 &amp; """", ""),
    IF(R70&lt;&gt;"", """" &amp; R70 &amp; """", ""),
    IF(S70&lt;&gt;"", """" &amp; S70 &amp; """", "")
) &amp; "]"</f>
        <v>["BV-BRC"]</v>
      </c>
      <c r="V70" s="12" t="s">
        <v>347</v>
      </c>
      <c r="W70" s="1" t="s">
        <v>1527</v>
      </c>
      <c r="X70" s="13"/>
      <c r="Y70" s="13"/>
      <c r="Z70" s="13"/>
      <c r="AA70" s="13"/>
      <c r="AB70" s="13"/>
      <c r="AC70" s="1" t="s">
        <v>992</v>
      </c>
      <c r="AD70" s="1" t="s">
        <v>993</v>
      </c>
      <c r="AE70" s="1" t="s">
        <v>1625</v>
      </c>
      <c r="AF70" s="1" t="s">
        <v>351</v>
      </c>
      <c r="AG70" s="13"/>
      <c r="AH70" s="14" t="s">
        <v>1527</v>
      </c>
      <c r="AI70" s="13"/>
      <c r="AJ70" s="13"/>
      <c r="AK70" s="13"/>
      <c r="AL70" s="13"/>
      <c r="AM70" s="13"/>
      <c r="AN70" s="13"/>
      <c r="AO70" s="28"/>
    </row>
    <row r="71" spans="1:41" s="10" customFormat="1" ht="23.25" customHeight="1">
      <c r="A71" s="4"/>
      <c r="B71" s="4"/>
      <c r="C71" s="4"/>
      <c r="D71" s="4"/>
      <c r="E71" s="11" t="s">
        <v>844</v>
      </c>
      <c r="F71" s="4"/>
      <c r="G71" s="4"/>
      <c r="H71" s="4"/>
      <c r="I71" s="4"/>
      <c r="J71" s="4"/>
      <c r="K71" s="4"/>
      <c r="L71" s="4"/>
      <c r="M71" s="4"/>
      <c r="N71" s="4" t="s">
        <v>1626</v>
      </c>
      <c r="O71" s="6"/>
      <c r="P71" s="6"/>
      <c r="Q71" s="4"/>
      <c r="R71" s="7"/>
      <c r="S71" s="4"/>
      <c r="T71" s="4"/>
      <c r="U71" s="3" t="str">
        <f>"[" &amp; _xlfn.TEXTJOIN(", ", TRUE,
    IF(H71&lt;&gt;"", """" &amp; VJDBCore!I$1 &amp; """", ""),
    IF(I71&lt;&gt;"", """" &amp; VJDBCore!J$1 &amp; """", ""),
    IF(J71&lt;&gt;"", """" &amp; VJDBCore!K$1 &amp; """", ""),
    IF(K71&lt;&gt;"", """" &amp; VJDBCore!L$1 &amp; """", ""),
    IF(L71&lt;&gt;"", """" &amp; VJDBCore!M$1 &amp; """", ""),    IF(M71&lt;&gt;"", """" &amp; VJDBCore!N$1 &amp; """", ""),    IF(N71&lt;&gt;"", """" &amp; VJDBCore!O$1 &amp; """", ""),     IF(O71&lt;&gt;"", """" &amp; VJDBCore!P$1 &amp; """", ""),     IF(O71&lt;&gt;"", """" &amp; VJDBCore!P$1 &amp; """", ""),     IF(P71&lt;&gt;"", """" &amp; VJDBCore!Q$1 &amp; """", ""),
    IF(Q75&lt;&gt;"", """" &amp; Q75 &amp; """", ""),
    IF(R71&lt;&gt;"", """" &amp; R71 &amp; """", ""),
    IF(S71&lt;&gt;"", """" &amp; S71 &amp; """", "")
) &amp; "]"</f>
        <v>["BV-BRC"]</v>
      </c>
      <c r="V71" s="12" t="s">
        <v>347</v>
      </c>
      <c r="W71" s="1" t="s">
        <v>1527</v>
      </c>
      <c r="X71" s="13"/>
      <c r="Y71" s="13"/>
      <c r="Z71" s="13"/>
      <c r="AA71" s="13"/>
      <c r="AB71" s="13"/>
      <c r="AC71" s="1" t="s">
        <v>349</v>
      </c>
      <c r="AD71" s="13"/>
      <c r="AE71" s="1" t="s">
        <v>1627</v>
      </c>
      <c r="AF71" s="1" t="s">
        <v>351</v>
      </c>
      <c r="AG71" s="13"/>
      <c r="AH71" s="14" t="s">
        <v>1527</v>
      </c>
      <c r="AI71" s="13"/>
      <c r="AJ71" s="13"/>
      <c r="AK71" s="13"/>
      <c r="AL71" s="13"/>
      <c r="AM71" s="13"/>
      <c r="AN71" s="13"/>
      <c r="AO71" s="28"/>
    </row>
    <row r="72" spans="1:41" s="10" customFormat="1" ht="23.25" customHeight="1">
      <c r="A72" s="4"/>
      <c r="B72" s="4"/>
      <c r="C72" s="4"/>
      <c r="D72" s="4"/>
      <c r="E72" s="11" t="s">
        <v>844</v>
      </c>
      <c r="F72" s="4"/>
      <c r="G72" s="4"/>
      <c r="H72" s="4"/>
      <c r="I72" s="4"/>
      <c r="J72" s="4"/>
      <c r="K72" s="4"/>
      <c r="L72" s="4"/>
      <c r="M72" s="4"/>
      <c r="N72" s="4" t="s">
        <v>1628</v>
      </c>
      <c r="O72" s="6"/>
      <c r="P72" s="6"/>
      <c r="Q72" s="4"/>
      <c r="R72" s="7"/>
      <c r="S72" s="4"/>
      <c r="T72" s="4"/>
      <c r="U72" s="3" t="str">
        <f>"[" &amp; _xlfn.TEXTJOIN(", ", TRUE,
    IF(H72&lt;&gt;"", """" &amp; VJDBCore!I$1 &amp; """", ""),
    IF(I72&lt;&gt;"", """" &amp; VJDBCore!J$1 &amp; """", ""),
    IF(J72&lt;&gt;"", """" &amp; VJDBCore!K$1 &amp; """", ""),
    IF(K72&lt;&gt;"", """" &amp; VJDBCore!L$1 &amp; """", ""),
    IF(L72&lt;&gt;"", """" &amp; VJDBCore!M$1 &amp; """", ""),    IF(M72&lt;&gt;"", """" &amp; VJDBCore!N$1 &amp; """", ""),    IF(N72&lt;&gt;"", """" &amp; VJDBCore!O$1 &amp; """", ""),     IF(O72&lt;&gt;"", """" &amp; VJDBCore!P$1 &amp; """", ""),     IF(O72&lt;&gt;"", """" &amp; VJDBCore!P$1 &amp; """", ""),     IF(P72&lt;&gt;"", """" &amp; VJDBCore!Q$1 &amp; """", ""),
    IF(Q76&lt;&gt;"", """" &amp; Q76 &amp; """", ""),
    IF(R72&lt;&gt;"", """" &amp; R72 &amp; """", ""),
    IF(S72&lt;&gt;"", """" &amp; S72 &amp; """", "")
) &amp; "]"</f>
        <v>["BV-BRC"]</v>
      </c>
      <c r="V72" s="12" t="s">
        <v>347</v>
      </c>
      <c r="W72" s="1" t="s">
        <v>1527</v>
      </c>
      <c r="X72" s="13"/>
      <c r="Y72" s="13"/>
      <c r="Z72" s="13"/>
      <c r="AA72" s="13"/>
      <c r="AB72" s="13"/>
      <c r="AC72" s="1" t="s">
        <v>1027</v>
      </c>
      <c r="AD72" s="13"/>
      <c r="AE72" s="1" t="s">
        <v>1629</v>
      </c>
      <c r="AF72" s="1" t="s">
        <v>351</v>
      </c>
      <c r="AG72" s="13"/>
      <c r="AH72" s="14" t="s">
        <v>1527</v>
      </c>
      <c r="AI72" s="13"/>
      <c r="AJ72" s="13"/>
      <c r="AK72" s="13"/>
      <c r="AL72" s="13"/>
      <c r="AM72" s="13"/>
      <c r="AN72" s="13"/>
      <c r="AO72" s="28"/>
    </row>
    <row r="73" spans="1:41" s="10" customFormat="1" ht="23.25" customHeight="1">
      <c r="A73" s="4"/>
      <c r="B73" s="4"/>
      <c r="C73" s="4"/>
      <c r="D73" s="4"/>
      <c r="E73" s="11" t="s">
        <v>844</v>
      </c>
      <c r="F73" s="4"/>
      <c r="G73" s="4"/>
      <c r="H73" s="4"/>
      <c r="I73" s="4"/>
      <c r="J73" s="4"/>
      <c r="K73" s="4"/>
      <c r="L73" s="4"/>
      <c r="M73" s="4"/>
      <c r="N73" s="4"/>
      <c r="O73" s="6"/>
      <c r="P73" s="6"/>
      <c r="Q73" s="4"/>
      <c r="R73" s="7"/>
      <c r="S73" s="4"/>
      <c r="T73" s="4"/>
      <c r="U73" s="3" t="str">
        <f>"[" &amp; _xlfn.TEXTJOIN(", ", TRUE,
    IF(H73&lt;&gt;"", """" &amp; VJDBCore!I$1 &amp; """", ""),
    IF(I73&lt;&gt;"", """" &amp; VJDBCore!J$1 &amp; """", ""),
    IF(J73&lt;&gt;"", """" &amp; VJDBCore!K$1 &amp; """", ""),
    IF(K73&lt;&gt;"", """" &amp; VJDBCore!L$1 &amp; """", ""),
    IF(L73&lt;&gt;"", """" &amp; VJDBCore!M$1 &amp; """", ""),    IF(M73&lt;&gt;"", """" &amp; VJDBCore!N$1 &amp; """", ""),    IF(N73&lt;&gt;"", """" &amp; VJDBCore!O$1 &amp; """", ""),     IF(O73&lt;&gt;"", """" &amp; VJDBCore!P$1 &amp; """", ""),     IF(O73&lt;&gt;"", """" &amp; VJDBCore!P$1 &amp; """", ""),     IF(P73&lt;&gt;"", """" &amp; VJDBCore!Q$1 &amp; """", ""),
    IF(Q77&lt;&gt;"", """" &amp; Q77 &amp; """", ""),
    IF(R73&lt;&gt;"", """" &amp; R73 &amp; """", ""),
    IF(S73&lt;&gt;"", """" &amp; S73 &amp; """", "")
) &amp; "]"</f>
        <v>[]</v>
      </c>
      <c r="V73" s="12" t="s">
        <v>347</v>
      </c>
      <c r="W73" s="1" t="s">
        <v>1527</v>
      </c>
      <c r="X73" s="13"/>
      <c r="Y73" s="13"/>
      <c r="Z73" s="13"/>
      <c r="AA73" s="13"/>
      <c r="AB73" s="13"/>
      <c r="AC73" s="13"/>
      <c r="AD73" s="1" t="s">
        <v>1548</v>
      </c>
      <c r="AE73" s="1" t="s">
        <v>1630</v>
      </c>
      <c r="AF73" s="1" t="s">
        <v>372</v>
      </c>
      <c r="AG73" s="13"/>
      <c r="AH73" s="14" t="s">
        <v>1527</v>
      </c>
      <c r="AI73" s="13"/>
      <c r="AJ73" s="13"/>
      <c r="AK73" s="13"/>
      <c r="AL73" s="13"/>
      <c r="AM73" s="13"/>
      <c r="AN73" s="13"/>
      <c r="AO73" s="28"/>
    </row>
    <row r="74" spans="1:41" s="10" customFormat="1" ht="23.25" customHeight="1">
      <c r="A74" s="4"/>
      <c r="B74" s="4"/>
      <c r="C74" s="4"/>
      <c r="D74" s="4"/>
      <c r="E74" s="11" t="s">
        <v>844</v>
      </c>
      <c r="F74" s="4"/>
      <c r="G74" s="4"/>
      <c r="H74" s="4"/>
      <c r="I74" s="4"/>
      <c r="J74" s="4"/>
      <c r="K74" s="4"/>
      <c r="L74" s="4"/>
      <c r="M74" s="4"/>
      <c r="N74" s="4" t="s">
        <v>1631</v>
      </c>
      <c r="O74" s="6"/>
      <c r="P74" s="6"/>
      <c r="Q74" s="4"/>
      <c r="R74" s="7"/>
      <c r="S74" s="4"/>
      <c r="T74" s="4"/>
      <c r="U74" s="3" t="str">
        <f>"[" &amp; _xlfn.TEXTJOIN(", ", TRUE,
    IF(H74&lt;&gt;"", """" &amp; VJDBCore!I$1 &amp; """", ""),
    IF(I74&lt;&gt;"", """" &amp; VJDBCore!J$1 &amp; """", ""),
    IF(J74&lt;&gt;"", """" &amp; VJDBCore!K$1 &amp; """", ""),
    IF(K74&lt;&gt;"", """" &amp; VJDBCore!L$1 &amp; """", ""),
    IF(L74&lt;&gt;"", """" &amp; VJDBCore!M$1 &amp; """", ""),    IF(M74&lt;&gt;"", """" &amp; VJDBCore!N$1 &amp; """", ""),    IF(N74&lt;&gt;"", """" &amp; VJDBCore!O$1 &amp; """", ""),     IF(O74&lt;&gt;"", """" &amp; VJDBCore!P$1 &amp; """", ""),     IF(O74&lt;&gt;"", """" &amp; VJDBCore!P$1 &amp; """", ""),     IF(P74&lt;&gt;"", """" &amp; VJDBCore!Q$1 &amp; """", ""),
    IF(Q78&lt;&gt;"", """" &amp; Q78 &amp; """", ""),
    IF(R74&lt;&gt;"", """" &amp; R74 &amp; """", ""),
    IF(S74&lt;&gt;"", """" &amp; S74 &amp; """", "")
) &amp; "]"</f>
        <v>["BV-BRC"]</v>
      </c>
      <c r="V74" s="12" t="s">
        <v>347</v>
      </c>
      <c r="W74" s="1" t="s">
        <v>1527</v>
      </c>
      <c r="X74" s="13"/>
      <c r="Y74" s="13"/>
      <c r="Z74" s="13"/>
      <c r="AA74" s="13"/>
      <c r="AB74" s="13"/>
      <c r="AC74" s="1" t="s">
        <v>381</v>
      </c>
      <c r="AD74" s="1" t="s">
        <v>1632</v>
      </c>
      <c r="AE74" s="1" t="s">
        <v>1633</v>
      </c>
      <c r="AF74" s="1" t="s">
        <v>372</v>
      </c>
      <c r="AG74" s="13"/>
      <c r="AH74" s="14" t="s">
        <v>1527</v>
      </c>
      <c r="AI74" s="13"/>
      <c r="AJ74" s="13"/>
      <c r="AK74" s="13"/>
      <c r="AL74" s="13"/>
      <c r="AM74" s="13"/>
      <c r="AN74" s="13"/>
      <c r="AO74" s="28"/>
    </row>
    <row r="75" spans="1:41" s="10" customFormat="1" ht="23.25" customHeight="1">
      <c r="A75" s="4"/>
      <c r="B75" s="4"/>
      <c r="C75" s="4"/>
      <c r="D75" s="4"/>
      <c r="E75" s="11" t="s">
        <v>844</v>
      </c>
      <c r="F75" s="4"/>
      <c r="G75" s="4"/>
      <c r="H75" s="4"/>
      <c r="I75" s="4"/>
      <c r="J75" s="4"/>
      <c r="K75" s="4"/>
      <c r="L75" s="4"/>
      <c r="M75" s="4"/>
      <c r="N75" s="4"/>
      <c r="O75" s="6"/>
      <c r="P75" s="6"/>
      <c r="Q75" s="4"/>
      <c r="R75" s="7"/>
      <c r="S75" s="4"/>
      <c r="T75" s="4"/>
      <c r="U75" s="3" t="str">
        <f>"[" &amp; _xlfn.TEXTJOIN(", ", TRUE,
    IF(H75&lt;&gt;"", """" &amp; VJDBCore!I$1 &amp; """", ""),
    IF(I75&lt;&gt;"", """" &amp; VJDBCore!J$1 &amp; """", ""),
    IF(J75&lt;&gt;"", """" &amp; VJDBCore!K$1 &amp; """", ""),
    IF(K75&lt;&gt;"", """" &amp; VJDBCore!L$1 &amp; """", ""),
    IF(L75&lt;&gt;"", """" &amp; VJDBCore!M$1 &amp; """", ""),    IF(M75&lt;&gt;"", """" &amp; VJDBCore!N$1 &amp; """", ""),    IF(N75&lt;&gt;"", """" &amp; VJDBCore!O$1 &amp; """", ""),     IF(O75&lt;&gt;"", """" &amp; VJDBCore!P$1 &amp; """", ""),     IF(O75&lt;&gt;"", """" &amp; VJDBCore!P$1 &amp; """", ""),     IF(P75&lt;&gt;"", """" &amp; VJDBCore!Q$1 &amp; """", ""),
    IF(Q79&lt;&gt;"", """" &amp; Q79 &amp; """", ""),
    IF(R75&lt;&gt;"", """" &amp; R75 &amp; """", ""),
    IF(S75&lt;&gt;"", """" &amp; S75 &amp; """", "")
) &amp; "]"</f>
        <v>[]</v>
      </c>
      <c r="V75" s="12" t="s">
        <v>347</v>
      </c>
      <c r="W75" s="1" t="s">
        <v>1527</v>
      </c>
      <c r="X75" s="13"/>
      <c r="Y75" s="13"/>
      <c r="Z75" s="13"/>
      <c r="AA75" s="13"/>
      <c r="AB75" s="13"/>
      <c r="AC75" s="13"/>
      <c r="AD75" s="13"/>
      <c r="AE75" s="1" t="s">
        <v>1634</v>
      </c>
      <c r="AF75" s="1" t="s">
        <v>351</v>
      </c>
      <c r="AG75" s="13"/>
      <c r="AH75" s="14" t="s">
        <v>1527</v>
      </c>
      <c r="AI75" s="13"/>
      <c r="AJ75" s="13"/>
      <c r="AK75" s="13"/>
      <c r="AL75" s="13"/>
      <c r="AM75" s="13"/>
      <c r="AN75" s="13"/>
      <c r="AO75" s="28"/>
    </row>
    <row r="76" spans="1:41" s="10" customFormat="1" ht="23.25" customHeight="1">
      <c r="A76" s="4"/>
      <c r="B76" s="4"/>
      <c r="C76" s="4"/>
      <c r="D76" s="4"/>
      <c r="E76" s="11" t="s">
        <v>844</v>
      </c>
      <c r="F76" s="4"/>
      <c r="G76" s="4"/>
      <c r="H76" s="4"/>
      <c r="I76" s="4"/>
      <c r="J76" s="4"/>
      <c r="K76" s="4"/>
      <c r="L76" s="4"/>
      <c r="M76" s="4"/>
      <c r="N76" s="4"/>
      <c r="O76" s="6"/>
      <c r="P76" s="6"/>
      <c r="Q76" s="4"/>
      <c r="R76" s="7"/>
      <c r="S76" s="4"/>
      <c r="T76" s="4"/>
      <c r="U76" s="3" t="str">
        <f>"[" &amp; _xlfn.TEXTJOIN(", ", TRUE,
    IF(H76&lt;&gt;"", """" &amp; VJDBCore!I$1 &amp; """", ""),
    IF(I76&lt;&gt;"", """" &amp; VJDBCore!J$1 &amp; """", ""),
    IF(J76&lt;&gt;"", """" &amp; VJDBCore!K$1 &amp; """", ""),
    IF(K76&lt;&gt;"", """" &amp; VJDBCore!L$1 &amp; """", ""),
    IF(L76&lt;&gt;"", """" &amp; VJDBCore!M$1 &amp; """", ""),    IF(M76&lt;&gt;"", """" &amp; VJDBCore!N$1 &amp; """", ""),    IF(N76&lt;&gt;"", """" &amp; VJDBCore!O$1 &amp; """", ""),     IF(O76&lt;&gt;"", """" &amp; VJDBCore!P$1 &amp; """", ""),     IF(O76&lt;&gt;"", """" &amp; VJDBCore!P$1 &amp; """", ""),     IF(P76&lt;&gt;"", """" &amp; VJDBCore!Q$1 &amp; """", ""),
    IF(Q80&lt;&gt;"", """" &amp; Q80 &amp; """", ""),
    IF(R76&lt;&gt;"", """" &amp; R76 &amp; """", ""),
    IF(S76&lt;&gt;"", """" &amp; S76 &amp; """", "")
) &amp; "]"</f>
        <v>[]</v>
      </c>
      <c r="V76" s="12" t="s">
        <v>347</v>
      </c>
      <c r="W76" s="1" t="s">
        <v>1527</v>
      </c>
      <c r="X76" s="13"/>
      <c r="Y76" s="13"/>
      <c r="Z76" s="13"/>
      <c r="AA76" s="13"/>
      <c r="AB76" s="13"/>
      <c r="AC76" s="13"/>
      <c r="AD76" s="13"/>
      <c r="AE76" s="1" t="s">
        <v>1635</v>
      </c>
      <c r="AF76" s="1" t="s">
        <v>1060</v>
      </c>
      <c r="AG76" s="13"/>
      <c r="AH76" s="14" t="s">
        <v>1527</v>
      </c>
      <c r="AI76" s="13"/>
      <c r="AJ76" s="13"/>
      <c r="AK76" s="13"/>
      <c r="AL76" s="13"/>
      <c r="AM76" s="13"/>
      <c r="AN76" s="13"/>
      <c r="AO76" s="28"/>
    </row>
    <row r="77" spans="1:41" s="10" customFormat="1" ht="23.25" customHeight="1">
      <c r="A77" s="4"/>
      <c r="B77" s="4"/>
      <c r="C77" s="4"/>
      <c r="D77" s="4"/>
      <c r="E77" s="11" t="s">
        <v>844</v>
      </c>
      <c r="F77" s="4"/>
      <c r="G77" s="4"/>
      <c r="H77" s="4"/>
      <c r="I77" s="4"/>
      <c r="J77" s="4"/>
      <c r="K77" s="4"/>
      <c r="L77" s="4"/>
      <c r="M77" s="4"/>
      <c r="N77" s="4"/>
      <c r="O77" s="6"/>
      <c r="P77" s="6"/>
      <c r="Q77" s="4"/>
      <c r="R77" s="7"/>
      <c r="S77" s="4"/>
      <c r="T77" s="4"/>
      <c r="U77" s="3" t="str">
        <f>"[" &amp; _xlfn.TEXTJOIN(", ", TRUE,
    IF(H77&lt;&gt;"", """" &amp; VJDBCore!I$1 &amp; """", ""),
    IF(I77&lt;&gt;"", """" &amp; VJDBCore!J$1 &amp; """", ""),
    IF(J77&lt;&gt;"", """" &amp; VJDBCore!K$1 &amp; """", ""),
    IF(K77&lt;&gt;"", """" &amp; VJDBCore!L$1 &amp; """", ""),
    IF(L77&lt;&gt;"", """" &amp; VJDBCore!M$1 &amp; """", ""),    IF(M77&lt;&gt;"", """" &amp; VJDBCore!N$1 &amp; """", ""),    IF(N77&lt;&gt;"", """" &amp; VJDBCore!O$1 &amp; """", ""),     IF(O77&lt;&gt;"", """" &amp; VJDBCore!P$1 &amp; """", ""),     IF(O77&lt;&gt;"", """" &amp; VJDBCore!P$1 &amp; """", ""),     IF(P77&lt;&gt;"", """" &amp; VJDBCore!Q$1 &amp; """", ""),
    IF(Q81&lt;&gt;"", """" &amp; Q81 &amp; """", ""),
    IF(R77&lt;&gt;"", """" &amp; R77 &amp; """", ""),
    IF(S77&lt;&gt;"", """" &amp; S77 &amp; """", "")
) &amp; "]"</f>
        <v>[]</v>
      </c>
      <c r="V77" s="12" t="s">
        <v>347</v>
      </c>
      <c r="W77" s="1" t="s">
        <v>1527</v>
      </c>
      <c r="X77" s="13"/>
      <c r="Y77" s="13"/>
      <c r="Z77" s="13"/>
      <c r="AA77" s="13"/>
      <c r="AB77" s="13"/>
      <c r="AC77" s="13"/>
      <c r="AD77" s="1" t="s">
        <v>1542</v>
      </c>
      <c r="AE77" s="1" t="s">
        <v>1636</v>
      </c>
      <c r="AF77" s="1" t="s">
        <v>1060</v>
      </c>
      <c r="AG77" s="13"/>
      <c r="AH77" s="14" t="s">
        <v>1527</v>
      </c>
      <c r="AI77" s="13"/>
      <c r="AJ77" s="13"/>
      <c r="AK77" s="13"/>
      <c r="AL77" s="13"/>
      <c r="AM77" s="13"/>
      <c r="AN77" s="13"/>
      <c r="AO77" s="28"/>
    </row>
    <row r="78" spans="1:41" s="10" customFormat="1" ht="23.25" customHeight="1">
      <c r="A78" s="4"/>
      <c r="B78" s="4"/>
      <c r="C78" s="4"/>
      <c r="D78" s="4"/>
      <c r="E78" s="11" t="s">
        <v>844</v>
      </c>
      <c r="F78" s="4"/>
      <c r="G78" s="4"/>
      <c r="H78" s="4"/>
      <c r="I78" s="4"/>
      <c r="J78" s="4"/>
      <c r="K78" s="4"/>
      <c r="L78" s="4"/>
      <c r="M78" s="4"/>
      <c r="N78" s="4"/>
      <c r="O78" s="6"/>
      <c r="P78" s="6"/>
      <c r="Q78" s="4"/>
      <c r="R78" s="7"/>
      <c r="S78" s="4"/>
      <c r="T78" s="4"/>
      <c r="U78" s="3" t="str">
        <f>"[" &amp; _xlfn.TEXTJOIN(", ", TRUE,
    IF(H78&lt;&gt;"", """" &amp; VJDBCore!I$1 &amp; """", ""),
    IF(I78&lt;&gt;"", """" &amp; VJDBCore!J$1 &amp; """", ""),
    IF(J78&lt;&gt;"", """" &amp; VJDBCore!K$1 &amp; """", ""),
    IF(K78&lt;&gt;"", """" &amp; VJDBCore!L$1 &amp; """", ""),
    IF(L78&lt;&gt;"", """" &amp; VJDBCore!M$1 &amp; """", ""),    IF(M78&lt;&gt;"", """" &amp; VJDBCore!N$1 &amp; """", ""),    IF(N78&lt;&gt;"", """" &amp; VJDBCore!O$1 &amp; """", ""),     IF(O78&lt;&gt;"", """" &amp; VJDBCore!P$1 &amp; """", ""),     IF(O78&lt;&gt;"", """" &amp; VJDBCore!P$1 &amp; """", ""),     IF(P78&lt;&gt;"", """" &amp; VJDBCore!Q$1 &amp; """", ""),
    IF(Q82&lt;&gt;"", """" &amp; Q82 &amp; """", ""),
    IF(R78&lt;&gt;"", """" &amp; R78 &amp; """", ""),
    IF(S78&lt;&gt;"", """" &amp; S78 &amp; """", "")
) &amp; "]"</f>
        <v>[]</v>
      </c>
      <c r="V78" s="12" t="s">
        <v>347</v>
      </c>
      <c r="W78" s="1" t="s">
        <v>1527</v>
      </c>
      <c r="X78" s="13"/>
      <c r="Y78" s="13"/>
      <c r="Z78" s="13"/>
      <c r="AA78" s="13"/>
      <c r="AB78" s="13"/>
      <c r="AC78" s="13"/>
      <c r="AD78" s="1" t="s">
        <v>1542</v>
      </c>
      <c r="AE78" s="1" t="s">
        <v>1637</v>
      </c>
      <c r="AF78" s="1" t="s">
        <v>92</v>
      </c>
      <c r="AG78" s="13"/>
      <c r="AH78" s="14" t="s">
        <v>1527</v>
      </c>
      <c r="AI78" s="13"/>
      <c r="AJ78" s="13"/>
      <c r="AK78" s="13"/>
      <c r="AL78" s="13"/>
      <c r="AM78" s="13"/>
      <c r="AN78" s="13"/>
      <c r="AO78" s="28"/>
    </row>
    <row r="79" spans="1:41" s="10" customFormat="1" ht="23.25" customHeight="1">
      <c r="A79" s="4"/>
      <c r="B79" s="4"/>
      <c r="C79" s="4"/>
      <c r="D79" s="4"/>
      <c r="E79" s="11" t="s">
        <v>844</v>
      </c>
      <c r="F79" s="4"/>
      <c r="G79" s="4"/>
      <c r="H79" s="4"/>
      <c r="I79" s="4"/>
      <c r="J79" s="4"/>
      <c r="K79" s="4"/>
      <c r="L79" s="4"/>
      <c r="M79" s="4"/>
      <c r="N79" s="4" t="s">
        <v>1638</v>
      </c>
      <c r="O79" s="6"/>
      <c r="P79" s="6"/>
      <c r="Q79" s="4"/>
      <c r="R79" s="7"/>
      <c r="S79" s="4"/>
      <c r="T79" s="4"/>
      <c r="U79" s="3" t="str">
        <f>"[" &amp; _xlfn.TEXTJOIN(", ", TRUE,
    IF(H79&lt;&gt;"", """" &amp; VJDBCore!I$1 &amp; """", ""),
    IF(I79&lt;&gt;"", """" &amp; VJDBCore!J$1 &amp; """", ""),
    IF(J79&lt;&gt;"", """" &amp; VJDBCore!K$1 &amp; """", ""),
    IF(K79&lt;&gt;"", """" &amp; VJDBCore!L$1 &amp; """", ""),
    IF(L79&lt;&gt;"", """" &amp; VJDBCore!M$1 &amp; """", ""),    IF(M79&lt;&gt;"", """" &amp; VJDBCore!N$1 &amp; """", ""),    IF(N79&lt;&gt;"", """" &amp; VJDBCore!O$1 &amp; """", ""),     IF(O79&lt;&gt;"", """" &amp; VJDBCore!P$1 &amp; """", ""),     IF(O79&lt;&gt;"", """" &amp; VJDBCore!P$1 &amp; """", ""),     IF(P79&lt;&gt;"", """" &amp; VJDBCore!Q$1 &amp; """", ""),
    IF(Q83&lt;&gt;"", """" &amp; Q83 &amp; """", ""),
    IF(R79&lt;&gt;"", """" &amp; R79 &amp; """", ""),
    IF(S79&lt;&gt;"", """" &amp; S79 &amp; """", "")
) &amp; "]"</f>
        <v>["BV-BRC"]</v>
      </c>
      <c r="V79" s="12" t="s">
        <v>347</v>
      </c>
      <c r="W79" s="1" t="s">
        <v>1527</v>
      </c>
      <c r="X79" s="13"/>
      <c r="Y79" s="13"/>
      <c r="Z79" s="13"/>
      <c r="AA79" s="13"/>
      <c r="AB79" s="13"/>
      <c r="AC79" s="1" t="s">
        <v>901</v>
      </c>
      <c r="AD79" s="13"/>
      <c r="AE79" s="1" t="s">
        <v>1639</v>
      </c>
      <c r="AF79" s="1" t="s">
        <v>351</v>
      </c>
      <c r="AG79" s="13"/>
      <c r="AH79" s="14" t="s">
        <v>1527</v>
      </c>
      <c r="AI79" s="13"/>
      <c r="AJ79" s="13"/>
      <c r="AK79" s="13"/>
      <c r="AL79" s="13"/>
      <c r="AM79" s="13"/>
      <c r="AN79" s="13"/>
      <c r="AO79" s="28"/>
    </row>
    <row r="80" spans="1:41" s="10" customFormat="1" ht="23.25" customHeight="1">
      <c r="A80" s="4"/>
      <c r="B80" s="4"/>
      <c r="C80" s="4"/>
      <c r="D80" s="4"/>
      <c r="E80" s="11" t="s">
        <v>844</v>
      </c>
      <c r="F80" s="4"/>
      <c r="G80" s="4"/>
      <c r="H80" s="4"/>
      <c r="I80" s="4"/>
      <c r="J80" s="4"/>
      <c r="K80" s="4"/>
      <c r="L80" s="4"/>
      <c r="M80" s="4"/>
      <c r="N80" s="4" t="s">
        <v>1640</v>
      </c>
      <c r="O80" s="6"/>
      <c r="P80" s="6"/>
      <c r="Q80" s="4"/>
      <c r="R80" s="7"/>
      <c r="S80" s="4"/>
      <c r="T80" s="4"/>
      <c r="U80" s="3" t="str">
        <f>"[" &amp; _xlfn.TEXTJOIN(", ", TRUE,
    IF(H80&lt;&gt;"", """" &amp; VJDBCore!I$1 &amp; """", ""),
    IF(I80&lt;&gt;"", """" &amp; VJDBCore!J$1 &amp; """", ""),
    IF(J80&lt;&gt;"", """" &amp; VJDBCore!K$1 &amp; """", ""),
    IF(K80&lt;&gt;"", """" &amp; VJDBCore!L$1 &amp; """", ""),
    IF(L80&lt;&gt;"", """" &amp; VJDBCore!M$1 &amp; """", ""),    IF(M80&lt;&gt;"", """" &amp; VJDBCore!N$1 &amp; """", ""),    IF(N80&lt;&gt;"", """" &amp; VJDBCore!O$1 &amp; """", ""),     IF(O80&lt;&gt;"", """" &amp; VJDBCore!P$1 &amp; """", ""),     IF(O80&lt;&gt;"", """" &amp; VJDBCore!P$1 &amp; """", ""),     IF(P80&lt;&gt;"", """" &amp; VJDBCore!Q$1 &amp; """", ""),
    IF(Q84&lt;&gt;"", """" &amp; Q84 &amp; """", ""),
    IF(R80&lt;&gt;"", """" &amp; R80 &amp; """", ""),
    IF(S80&lt;&gt;"", """" &amp; S80 &amp; """", "")
) &amp; "]"</f>
        <v>["BV-BRC"]</v>
      </c>
      <c r="V80" s="12" t="s">
        <v>347</v>
      </c>
      <c r="W80" s="1" t="s">
        <v>1527</v>
      </c>
      <c r="X80" s="13"/>
      <c r="Y80" s="13"/>
      <c r="Z80" s="13"/>
      <c r="AA80" s="13"/>
      <c r="AB80" s="13"/>
      <c r="AC80" s="1" t="s">
        <v>1027</v>
      </c>
      <c r="AD80" s="13"/>
      <c r="AE80" s="1" t="s">
        <v>1641</v>
      </c>
      <c r="AF80" s="1" t="s">
        <v>351</v>
      </c>
      <c r="AG80" s="13"/>
      <c r="AH80" s="14" t="s">
        <v>1527</v>
      </c>
      <c r="AI80" s="13"/>
      <c r="AJ80" s="13"/>
      <c r="AK80" s="13"/>
      <c r="AL80" s="13"/>
      <c r="AM80" s="13"/>
      <c r="AN80" s="13"/>
      <c r="AO80" s="28"/>
    </row>
    <row r="81" spans="1:41" s="10" customFormat="1" ht="23.25" customHeight="1">
      <c r="A81" s="4"/>
      <c r="B81" s="4"/>
      <c r="C81" s="4"/>
      <c r="D81" s="4"/>
      <c r="E81" s="11" t="s">
        <v>844</v>
      </c>
      <c r="F81" s="4"/>
      <c r="G81" s="4"/>
      <c r="H81" s="4"/>
      <c r="I81" s="4"/>
      <c r="J81" s="4"/>
      <c r="K81" s="4"/>
      <c r="L81" s="4"/>
      <c r="M81" s="4"/>
      <c r="N81" s="4"/>
      <c r="O81" s="6"/>
      <c r="P81" s="6"/>
      <c r="Q81" s="4"/>
      <c r="R81" s="7"/>
      <c r="S81" s="4"/>
      <c r="T81" s="4"/>
      <c r="U81" s="3" t="str">
        <f>"[" &amp; _xlfn.TEXTJOIN(", ", TRUE,
    IF(H81&lt;&gt;"", """" &amp; VJDBCore!I$1 &amp; """", ""),
    IF(I81&lt;&gt;"", """" &amp; VJDBCore!J$1 &amp; """", ""),
    IF(J81&lt;&gt;"", """" &amp; VJDBCore!K$1 &amp; """", ""),
    IF(K81&lt;&gt;"", """" &amp; VJDBCore!L$1 &amp; """", ""),
    IF(L81&lt;&gt;"", """" &amp; VJDBCore!M$1 &amp; """", ""),    IF(M81&lt;&gt;"", """" &amp; VJDBCore!N$1 &amp; """", ""),    IF(N81&lt;&gt;"", """" &amp; VJDBCore!O$1 &amp; """", ""),     IF(O81&lt;&gt;"", """" &amp; VJDBCore!P$1 &amp; """", ""),     IF(O81&lt;&gt;"", """" &amp; VJDBCore!P$1 &amp; """", ""),     IF(P81&lt;&gt;"", """" &amp; VJDBCore!Q$1 &amp; """", ""),
    IF(Q85&lt;&gt;"", """" &amp; Q85 &amp; """", ""),
    IF(R81&lt;&gt;"", """" &amp; R81 &amp; """", ""),
    IF(S81&lt;&gt;"", """" &amp; S81 &amp; """", "")
) &amp; "]"</f>
        <v>[]</v>
      </c>
      <c r="V81" s="12" t="s">
        <v>347</v>
      </c>
      <c r="W81" s="1" t="s">
        <v>1527</v>
      </c>
      <c r="X81" s="13"/>
      <c r="Y81" s="13"/>
      <c r="Z81" s="13"/>
      <c r="AA81" s="13"/>
      <c r="AB81" s="13"/>
      <c r="AC81" s="13"/>
      <c r="AD81" s="1" t="s">
        <v>1542</v>
      </c>
      <c r="AE81" s="1" t="s">
        <v>1642</v>
      </c>
      <c r="AF81" s="1" t="s">
        <v>1060</v>
      </c>
      <c r="AG81" s="13"/>
      <c r="AH81" s="14" t="s">
        <v>1527</v>
      </c>
      <c r="AI81" s="13"/>
      <c r="AJ81" s="13"/>
      <c r="AK81" s="13"/>
      <c r="AL81" s="13"/>
      <c r="AM81" s="13"/>
      <c r="AN81" s="13"/>
      <c r="AO81" s="28"/>
    </row>
    <row r="82" spans="1:41" s="10" customFormat="1" ht="23.25" customHeight="1">
      <c r="A82" s="4"/>
      <c r="B82" s="4"/>
      <c r="C82" s="4"/>
      <c r="D82" s="4"/>
      <c r="E82" s="11" t="s">
        <v>844</v>
      </c>
      <c r="F82" s="4"/>
      <c r="G82" s="4"/>
      <c r="H82" s="4"/>
      <c r="I82" s="4"/>
      <c r="J82" s="4"/>
      <c r="K82" s="4"/>
      <c r="L82" s="4"/>
      <c r="M82" s="4"/>
      <c r="N82" s="4" t="s">
        <v>1643</v>
      </c>
      <c r="O82" s="6"/>
      <c r="P82" s="6"/>
      <c r="Q82" s="4"/>
      <c r="R82" s="7"/>
      <c r="S82" s="4"/>
      <c r="T82" s="4"/>
      <c r="U82" s="3" t="str">
        <f>"[" &amp; _xlfn.TEXTJOIN(", ", TRUE,
    IF(H82&lt;&gt;"", """" &amp; VJDBCore!I$1 &amp; """", ""),
    IF(I82&lt;&gt;"", """" &amp; VJDBCore!J$1 &amp; """", ""),
    IF(J82&lt;&gt;"", """" &amp; VJDBCore!K$1 &amp; """", ""),
    IF(K82&lt;&gt;"", """" &amp; VJDBCore!L$1 &amp; """", ""),
    IF(L82&lt;&gt;"", """" &amp; VJDBCore!M$1 &amp; """", ""),    IF(M82&lt;&gt;"", """" &amp; VJDBCore!N$1 &amp; """", ""),    IF(N82&lt;&gt;"", """" &amp; VJDBCore!O$1 &amp; """", ""),     IF(O82&lt;&gt;"", """" &amp; VJDBCore!P$1 &amp; """", ""),     IF(O82&lt;&gt;"", """" &amp; VJDBCore!P$1 &amp; """", ""),     IF(P82&lt;&gt;"", """" &amp; VJDBCore!Q$1 &amp; """", ""),
    IF(Q86&lt;&gt;"", """" &amp; Q86 &amp; """", ""),
    IF(R82&lt;&gt;"", """" &amp; R82 &amp; """", ""),
    IF(S82&lt;&gt;"", """" &amp; S82 &amp; """", "")
) &amp; "]"</f>
        <v>["BV-BRC"]</v>
      </c>
      <c r="V82" s="12" t="s">
        <v>347</v>
      </c>
      <c r="W82" s="1" t="s">
        <v>1527</v>
      </c>
      <c r="X82" s="13"/>
      <c r="Y82" s="13"/>
      <c r="Z82" s="13"/>
      <c r="AA82" s="13"/>
      <c r="AB82" s="13"/>
      <c r="AC82" s="1" t="s">
        <v>1027</v>
      </c>
      <c r="AD82" s="13"/>
      <c r="AE82" s="1" t="s">
        <v>1644</v>
      </c>
      <c r="AF82" s="1" t="s">
        <v>372</v>
      </c>
      <c r="AG82" s="13"/>
      <c r="AH82" s="14" t="s">
        <v>1527</v>
      </c>
      <c r="AI82" s="13"/>
      <c r="AJ82" s="13"/>
      <c r="AK82" s="13"/>
      <c r="AL82" s="13"/>
      <c r="AM82" s="13"/>
      <c r="AN82" s="13"/>
      <c r="AO82" s="28"/>
    </row>
    <row r="83" spans="1:41" s="10" customFormat="1" ht="23.25" customHeight="1">
      <c r="A83" s="4"/>
      <c r="B83" s="4"/>
      <c r="C83" s="4"/>
      <c r="D83" s="4"/>
      <c r="E83" s="11" t="s">
        <v>844</v>
      </c>
      <c r="F83" s="4"/>
      <c r="G83" s="4"/>
      <c r="H83" s="4"/>
      <c r="I83" s="4"/>
      <c r="J83" s="4"/>
      <c r="K83" s="4"/>
      <c r="L83" s="4"/>
      <c r="M83" s="4"/>
      <c r="N83" s="4"/>
      <c r="O83" s="6"/>
      <c r="P83" s="6"/>
      <c r="Q83" s="4"/>
      <c r="R83" s="7"/>
      <c r="S83" s="4"/>
      <c r="T83" s="4"/>
      <c r="U83" s="3" t="str">
        <f>"[" &amp; _xlfn.TEXTJOIN(", ", TRUE,
    IF(H83&lt;&gt;"", """" &amp; VJDBCore!I$1 &amp; """", ""),
    IF(I83&lt;&gt;"", """" &amp; VJDBCore!J$1 &amp; """", ""),
    IF(J83&lt;&gt;"", """" &amp; VJDBCore!K$1 &amp; """", ""),
    IF(K83&lt;&gt;"", """" &amp; VJDBCore!L$1 &amp; """", ""),
    IF(L83&lt;&gt;"", """" &amp; VJDBCore!M$1 &amp; """", ""),    IF(M83&lt;&gt;"", """" &amp; VJDBCore!N$1 &amp; """", ""),    IF(N83&lt;&gt;"", """" &amp; VJDBCore!O$1 &amp; """", ""),     IF(O83&lt;&gt;"", """" &amp; VJDBCore!P$1 &amp; """", ""),     IF(O83&lt;&gt;"", """" &amp; VJDBCore!P$1 &amp; """", ""),     IF(P83&lt;&gt;"", """" &amp; VJDBCore!Q$1 &amp; """", ""),
    IF(Q87&lt;&gt;"", """" &amp; Q87 &amp; """", ""),
    IF(R83&lt;&gt;"", """" &amp; R83 &amp; """", ""),
    IF(S83&lt;&gt;"", """" &amp; S83 &amp; """", "")
) &amp; "]"</f>
        <v>[]</v>
      </c>
      <c r="V83" s="12" t="s">
        <v>347</v>
      </c>
      <c r="W83" s="1" t="s">
        <v>1527</v>
      </c>
      <c r="X83" s="13"/>
      <c r="Y83" s="13"/>
      <c r="Z83" s="13"/>
      <c r="AA83" s="13"/>
      <c r="AB83" s="13"/>
      <c r="AC83" s="13"/>
      <c r="AD83" s="13"/>
      <c r="AE83" s="1" t="s">
        <v>1645</v>
      </c>
      <c r="AF83" s="1" t="s">
        <v>351</v>
      </c>
      <c r="AG83" s="13"/>
      <c r="AH83" s="14" t="s">
        <v>1527</v>
      </c>
      <c r="AI83" s="13"/>
      <c r="AJ83" s="13"/>
      <c r="AK83" s="13"/>
      <c r="AL83" s="13"/>
      <c r="AM83" s="13"/>
      <c r="AN83" s="13"/>
      <c r="AO83" s="28"/>
    </row>
    <row r="84" spans="1:41" s="10" customFormat="1" ht="23.25" customHeight="1">
      <c r="A84" s="4"/>
      <c r="B84" s="4"/>
      <c r="C84" s="4"/>
      <c r="D84" s="4"/>
      <c r="E84" s="11" t="s">
        <v>844</v>
      </c>
      <c r="F84" s="4"/>
      <c r="G84" s="4"/>
      <c r="H84" s="4"/>
      <c r="I84" s="4"/>
      <c r="J84" s="4"/>
      <c r="K84" s="4"/>
      <c r="L84" s="4"/>
      <c r="M84" s="4"/>
      <c r="N84" s="4"/>
      <c r="O84" s="6"/>
      <c r="P84" s="6"/>
      <c r="Q84" s="4"/>
      <c r="R84" s="7"/>
      <c r="S84" s="4"/>
      <c r="T84" s="4"/>
      <c r="U84" s="3"/>
      <c r="V84" s="12"/>
      <c r="W84" s="1"/>
      <c r="X84" s="13"/>
      <c r="Y84" s="13"/>
      <c r="Z84" s="13"/>
      <c r="AA84" s="13"/>
      <c r="AB84" s="13"/>
      <c r="AC84" s="1"/>
      <c r="AD84" s="1"/>
      <c r="AE84" s="1"/>
      <c r="AF84" s="1"/>
      <c r="AG84" s="13"/>
      <c r="AH84" s="14"/>
      <c r="AI84" s="13"/>
      <c r="AJ84" s="13"/>
      <c r="AK84" s="13"/>
      <c r="AL84" s="13"/>
      <c r="AM84" s="13"/>
      <c r="AN84" s="13"/>
      <c r="AO84" s="28"/>
    </row>
    <row r="85" spans="1:41" s="10" customFormat="1" ht="23.25" customHeight="1">
      <c r="A85" s="4"/>
      <c r="B85" s="4"/>
      <c r="C85" s="4"/>
      <c r="D85" s="4"/>
      <c r="E85" s="11" t="s">
        <v>844</v>
      </c>
      <c r="F85" s="4"/>
      <c r="G85" s="4"/>
      <c r="H85" s="4"/>
      <c r="I85" s="4"/>
      <c r="J85" s="4"/>
      <c r="K85" s="4"/>
      <c r="L85" s="4"/>
      <c r="M85" s="4"/>
      <c r="N85" s="4" t="s">
        <v>1646</v>
      </c>
      <c r="O85" s="6"/>
      <c r="P85" s="6"/>
      <c r="Q85" s="4"/>
      <c r="R85" s="7"/>
      <c r="S85" s="4"/>
      <c r="T85" s="4"/>
      <c r="U85" s="3" t="str">
        <f>"[" &amp; _xlfn.TEXTJOIN(", ", TRUE,
    IF(H85&lt;&gt;"", """" &amp; VJDBCore!I$1 &amp; """", ""),
    IF(I85&lt;&gt;"", """" &amp; VJDBCore!J$1 &amp; """", ""),
    IF(J85&lt;&gt;"", """" &amp; VJDBCore!K$1 &amp; """", ""),
    IF(K85&lt;&gt;"", """" &amp; VJDBCore!L$1 &amp; """", ""),
    IF(L85&lt;&gt;"", """" &amp; VJDBCore!M$1 &amp; """", ""),    IF(M85&lt;&gt;"", """" &amp; VJDBCore!N$1 &amp; """", ""),    IF(N85&lt;&gt;"", """" &amp; VJDBCore!O$1 &amp; """", ""),     IF(O85&lt;&gt;"", """" &amp; VJDBCore!P$1 &amp; """", ""),     IF(O85&lt;&gt;"", """" &amp; VJDBCore!P$1 &amp; """", ""),     IF(P85&lt;&gt;"", """" &amp; VJDBCore!Q$1 &amp; """", ""),
    IF(Q89&lt;&gt;"", """" &amp; Q89 &amp; """", ""),
    IF(R85&lt;&gt;"", """" &amp; R85 &amp; """", ""),
    IF(S85&lt;&gt;"", """" &amp; S85 &amp; """", "")
) &amp; "]"</f>
        <v>["BV-BRC"]</v>
      </c>
      <c r="V85" s="12" t="s">
        <v>347</v>
      </c>
      <c r="W85" s="1" t="s">
        <v>1527</v>
      </c>
      <c r="X85" s="13"/>
      <c r="Y85" s="13"/>
      <c r="Z85" s="13"/>
      <c r="AA85" s="13"/>
      <c r="AB85" s="13"/>
      <c r="AC85" s="1" t="s">
        <v>1058</v>
      </c>
      <c r="AD85" s="1" t="s">
        <v>1058</v>
      </c>
      <c r="AE85" s="1" t="s">
        <v>1647</v>
      </c>
      <c r="AF85" s="1" t="s">
        <v>1060</v>
      </c>
      <c r="AG85" s="13"/>
      <c r="AH85" s="14" t="s">
        <v>1527</v>
      </c>
      <c r="AI85" s="13"/>
      <c r="AJ85" s="13"/>
      <c r="AK85" s="13"/>
      <c r="AL85" s="13"/>
      <c r="AM85" s="13"/>
      <c r="AN85" s="13"/>
      <c r="AO85" s="28"/>
    </row>
    <row r="86" spans="1:41" s="10" customFormat="1" ht="23.25" customHeight="1">
      <c r="A86" s="4"/>
      <c r="B86" s="4"/>
      <c r="C86" s="4"/>
      <c r="D86" s="4"/>
      <c r="E86" s="11" t="s">
        <v>844</v>
      </c>
      <c r="F86" s="4"/>
      <c r="G86" s="4"/>
      <c r="H86" s="4"/>
      <c r="I86" s="4"/>
      <c r="J86" s="4"/>
      <c r="K86" s="4"/>
      <c r="L86" s="4"/>
      <c r="M86" s="4"/>
      <c r="N86" s="4"/>
      <c r="O86" s="6"/>
      <c r="P86" s="6"/>
      <c r="Q86" s="4"/>
      <c r="R86" s="7"/>
      <c r="S86" s="4"/>
      <c r="T86" s="4"/>
      <c r="U86" s="3" t="str">
        <f>"[" &amp; _xlfn.TEXTJOIN(", ", TRUE,
    IF(H86&lt;&gt;"", """" &amp; VJDBCore!I$1 &amp; """", ""),
    IF(I86&lt;&gt;"", """" &amp; VJDBCore!J$1 &amp; """", ""),
    IF(J86&lt;&gt;"", """" &amp; VJDBCore!K$1 &amp; """", ""),
    IF(K86&lt;&gt;"", """" &amp; VJDBCore!L$1 &amp; """", ""),
    IF(L86&lt;&gt;"", """" &amp; VJDBCore!M$1 &amp; """", ""),    IF(M86&lt;&gt;"", """" &amp; VJDBCore!N$1 &amp; """", ""),    IF(N86&lt;&gt;"", """" &amp; VJDBCore!O$1 &amp; """", ""),     IF(O86&lt;&gt;"", """" &amp; VJDBCore!P$1 &amp; """", ""),     IF(O86&lt;&gt;"", """" &amp; VJDBCore!P$1 &amp; """", ""),     IF(P86&lt;&gt;"", """" &amp; VJDBCore!Q$1 &amp; """", ""),
    IF(Q90&lt;&gt;"", """" &amp; Q90 &amp; """", ""),
    IF(R86&lt;&gt;"", """" &amp; R86 &amp; """", ""),
    IF(S86&lt;&gt;"", """" &amp; S86 &amp; """", "")
) &amp; "]"</f>
        <v>[]</v>
      </c>
      <c r="V86" s="12" t="s">
        <v>347</v>
      </c>
      <c r="W86" s="1" t="s">
        <v>1527</v>
      </c>
      <c r="X86" s="13"/>
      <c r="Y86" s="13"/>
      <c r="Z86" s="13"/>
      <c r="AA86" s="13"/>
      <c r="AB86" s="13"/>
      <c r="AC86" s="13"/>
      <c r="AD86" s="1" t="s">
        <v>1542</v>
      </c>
      <c r="AE86" s="1" t="s">
        <v>1648</v>
      </c>
      <c r="AF86" s="1" t="s">
        <v>1060</v>
      </c>
      <c r="AG86" s="13"/>
      <c r="AH86" s="14" t="s">
        <v>1527</v>
      </c>
      <c r="AI86" s="13"/>
      <c r="AJ86" s="13"/>
      <c r="AK86" s="13"/>
      <c r="AL86" s="13"/>
      <c r="AM86" s="13"/>
      <c r="AN86" s="13"/>
      <c r="AO86" s="28"/>
    </row>
    <row r="87" spans="1:41" s="10" customFormat="1" ht="23.25" customHeight="1">
      <c r="A87" s="4"/>
      <c r="B87" s="4"/>
      <c r="C87" s="4"/>
      <c r="D87" s="4"/>
      <c r="E87" s="11" t="s">
        <v>844</v>
      </c>
      <c r="F87" s="4"/>
      <c r="G87" s="4"/>
      <c r="H87" s="4"/>
      <c r="I87" s="4"/>
      <c r="J87" s="4"/>
      <c r="K87" s="4"/>
      <c r="L87" s="4"/>
      <c r="M87" s="4"/>
      <c r="N87" s="4"/>
      <c r="O87" s="6"/>
      <c r="P87" s="6"/>
      <c r="Q87" s="4"/>
      <c r="R87" s="7"/>
      <c r="S87" s="4"/>
      <c r="T87" s="4"/>
      <c r="U87" s="3" t="str">
        <f>"[" &amp; _xlfn.TEXTJOIN(", ", TRUE,
    IF(H87&lt;&gt;"", """" &amp; VJDBCore!I$1 &amp; """", ""),
    IF(I87&lt;&gt;"", """" &amp; VJDBCore!J$1 &amp; """", ""),
    IF(J87&lt;&gt;"", """" &amp; VJDBCore!K$1 &amp; """", ""),
    IF(K87&lt;&gt;"", """" &amp; VJDBCore!L$1 &amp; """", ""),
    IF(L87&lt;&gt;"", """" &amp; VJDBCore!M$1 &amp; """", ""),    IF(M87&lt;&gt;"", """" &amp; VJDBCore!N$1 &amp; """", ""),    IF(N87&lt;&gt;"", """" &amp; VJDBCore!O$1 &amp; """", ""),     IF(O87&lt;&gt;"", """" &amp; VJDBCore!P$1 &amp; """", ""),     IF(O87&lt;&gt;"", """" &amp; VJDBCore!P$1 &amp; """", ""),     IF(P87&lt;&gt;"", """" &amp; VJDBCore!Q$1 &amp; """", ""),
    IF(Q91&lt;&gt;"", """" &amp; Q91 &amp; """", ""),
    IF(R87&lt;&gt;"", """" &amp; R87 &amp; """", ""),
    IF(S87&lt;&gt;"", """" &amp; S87 &amp; """", "")
) &amp; "]"</f>
        <v>[]</v>
      </c>
      <c r="V87" s="12" t="s">
        <v>347</v>
      </c>
      <c r="W87" s="1" t="s">
        <v>1527</v>
      </c>
      <c r="X87" s="13"/>
      <c r="Y87" s="13"/>
      <c r="Z87" s="13"/>
      <c r="AA87" s="13"/>
      <c r="AB87" s="13"/>
      <c r="AC87" s="13"/>
      <c r="AD87" s="1" t="s">
        <v>1542</v>
      </c>
      <c r="AE87" s="1" t="s">
        <v>1649</v>
      </c>
      <c r="AF87" s="1" t="s">
        <v>92</v>
      </c>
      <c r="AG87" s="13"/>
      <c r="AH87" s="14" t="s">
        <v>1527</v>
      </c>
      <c r="AI87" s="13"/>
      <c r="AJ87" s="13"/>
      <c r="AK87" s="13"/>
      <c r="AL87" s="13"/>
      <c r="AM87" s="13"/>
      <c r="AN87" s="13"/>
      <c r="AO87" s="28"/>
    </row>
    <row r="88" spans="1:41" s="10" customFormat="1" ht="23.25" customHeight="1">
      <c r="A88" s="4"/>
      <c r="B88" s="4"/>
      <c r="C88" s="4"/>
      <c r="D88" s="4"/>
      <c r="E88" s="11" t="s">
        <v>844</v>
      </c>
      <c r="F88" s="4"/>
      <c r="G88" s="4"/>
      <c r="H88" s="4"/>
      <c r="I88" s="4"/>
      <c r="J88" s="4"/>
      <c r="K88" s="4"/>
      <c r="L88" s="4"/>
      <c r="M88" s="4"/>
      <c r="N88" s="4" t="s">
        <v>1650</v>
      </c>
      <c r="O88" s="6"/>
      <c r="P88" s="6"/>
      <c r="Q88" s="4"/>
      <c r="R88" s="7"/>
      <c r="S88" s="4"/>
      <c r="T88" s="4"/>
      <c r="U88" s="3" t="str">
        <f>"[" &amp; _xlfn.TEXTJOIN(", ", TRUE,
    IF(H88&lt;&gt;"", """" &amp; VJDBCore!I$1 &amp; """", ""),
    IF(I88&lt;&gt;"", """" &amp; VJDBCore!J$1 &amp; """", ""),
    IF(J88&lt;&gt;"", """" &amp; VJDBCore!K$1 &amp; """", ""),
    IF(K88&lt;&gt;"", """" &amp; VJDBCore!L$1 &amp; """", ""),
    IF(L88&lt;&gt;"", """" &amp; VJDBCore!M$1 &amp; """", ""),    IF(M88&lt;&gt;"", """" &amp; VJDBCore!N$1 &amp; """", ""),    IF(N88&lt;&gt;"", """" &amp; VJDBCore!O$1 &amp; """", ""),     IF(O88&lt;&gt;"", """" &amp; VJDBCore!P$1 &amp; """", ""),     IF(O88&lt;&gt;"", """" &amp; VJDBCore!P$1 &amp; """", ""),     IF(P88&lt;&gt;"", """" &amp; VJDBCore!Q$1 &amp; """", ""),
    IF(Q92&lt;&gt;"", """" &amp; Q92 &amp; """", ""),
    IF(R88&lt;&gt;"", """" &amp; R88 &amp; """", ""),
    IF(S88&lt;&gt;"", """" &amp; S88 &amp; """", "")
) &amp; "]"</f>
        <v>["BV-BRC"]</v>
      </c>
      <c r="V88" s="12" t="s">
        <v>347</v>
      </c>
      <c r="W88" s="1" t="s">
        <v>1527</v>
      </c>
      <c r="X88" s="13"/>
      <c r="Y88" s="13"/>
      <c r="Z88" s="13"/>
      <c r="AA88" s="13"/>
      <c r="AB88" s="13"/>
      <c r="AC88" s="1" t="s">
        <v>381</v>
      </c>
      <c r="AD88" s="1" t="s">
        <v>1632</v>
      </c>
      <c r="AE88" s="1" t="s">
        <v>795</v>
      </c>
      <c r="AF88" s="1" t="s">
        <v>735</v>
      </c>
      <c r="AG88" s="13"/>
      <c r="AH88" s="14" t="s">
        <v>1527</v>
      </c>
      <c r="AI88" s="13"/>
      <c r="AJ88" s="13"/>
      <c r="AK88" s="13"/>
      <c r="AL88" s="13"/>
      <c r="AM88" s="13"/>
      <c r="AN88" s="13"/>
      <c r="AO88" s="28"/>
    </row>
    <row r="89" spans="1:41" s="10" customFormat="1" ht="23.25" customHeight="1">
      <c r="A89" s="4"/>
      <c r="B89" s="4"/>
      <c r="C89" s="4"/>
      <c r="D89" s="4"/>
      <c r="E89" s="11" t="s">
        <v>844</v>
      </c>
      <c r="F89" s="4"/>
      <c r="G89" s="4"/>
      <c r="H89" s="4"/>
      <c r="I89" s="4"/>
      <c r="J89" s="4"/>
      <c r="K89" s="4"/>
      <c r="L89" s="4"/>
      <c r="M89" s="4"/>
      <c r="N89" s="4"/>
      <c r="O89" s="6"/>
      <c r="P89" s="6"/>
      <c r="Q89" s="4"/>
      <c r="R89" s="7"/>
      <c r="S89" s="4"/>
      <c r="T89" s="4"/>
      <c r="U89" s="3" t="str">
        <f>"[" &amp; _xlfn.TEXTJOIN(", ", TRUE,
    IF(H89&lt;&gt;"", """" &amp; VJDBCore!I$1 &amp; """", ""),
    IF(I89&lt;&gt;"", """" &amp; VJDBCore!J$1 &amp; """", ""),
    IF(J89&lt;&gt;"", """" &amp; VJDBCore!K$1 &amp; """", ""),
    IF(K89&lt;&gt;"", """" &amp; VJDBCore!L$1 &amp; """", ""),
    IF(L89&lt;&gt;"", """" &amp; VJDBCore!M$1 &amp; """", ""),    IF(M89&lt;&gt;"", """" &amp; VJDBCore!N$1 &amp; """", ""),    IF(N89&lt;&gt;"", """" &amp; VJDBCore!O$1 &amp; """", ""),     IF(O89&lt;&gt;"", """" &amp; VJDBCore!P$1 &amp; """", ""),     IF(O89&lt;&gt;"", """" &amp; VJDBCore!P$1 &amp; """", ""),     IF(P89&lt;&gt;"", """" &amp; VJDBCore!Q$1 &amp; """", ""),
    IF(Q93&lt;&gt;"", """" &amp; Q93 &amp; """", ""),
    IF(R89&lt;&gt;"", """" &amp; R89 &amp; """", ""),
    IF(S89&lt;&gt;"", """" &amp; S89 &amp; """", "")
) &amp; "]"</f>
        <v>[]</v>
      </c>
      <c r="V89" s="12" t="s">
        <v>347</v>
      </c>
      <c r="W89" s="1" t="s">
        <v>1527</v>
      </c>
      <c r="X89" s="13"/>
      <c r="Y89" s="13"/>
      <c r="Z89" s="13"/>
      <c r="AA89" s="13"/>
      <c r="AB89" s="13"/>
      <c r="AC89" s="13"/>
      <c r="AD89" s="13"/>
      <c r="AE89" s="1" t="s">
        <v>1028</v>
      </c>
      <c r="AF89" s="1" t="s">
        <v>372</v>
      </c>
      <c r="AG89" s="13"/>
      <c r="AH89" s="14" t="s">
        <v>1527</v>
      </c>
      <c r="AI89" s="13"/>
      <c r="AJ89" s="13"/>
      <c r="AK89" s="13"/>
      <c r="AL89" s="13"/>
      <c r="AM89" s="13"/>
      <c r="AN89" s="13"/>
      <c r="AO89" s="28"/>
    </row>
    <row r="90" spans="1:41" s="10" customFormat="1" ht="23.25" customHeight="1">
      <c r="A90" s="4"/>
      <c r="B90" s="4"/>
      <c r="C90" s="4"/>
      <c r="D90" s="4"/>
      <c r="E90" s="11" t="s">
        <v>844</v>
      </c>
      <c r="F90" s="4"/>
      <c r="G90" s="4"/>
      <c r="H90" s="4"/>
      <c r="I90" s="4"/>
      <c r="J90" s="4"/>
      <c r="K90" s="4"/>
      <c r="L90" s="4"/>
      <c r="M90" s="4"/>
      <c r="N90" s="4"/>
      <c r="O90" s="6"/>
      <c r="P90" s="6"/>
      <c r="Q90" s="4"/>
      <c r="R90" s="7"/>
      <c r="S90" s="4"/>
      <c r="T90" s="4"/>
      <c r="U90" s="3" t="str">
        <f>"[" &amp; _xlfn.TEXTJOIN(", ", TRUE,
    IF(H90&lt;&gt;"", """" &amp; VJDBCore!I$1 &amp; """", ""),
    IF(I90&lt;&gt;"", """" &amp; VJDBCore!J$1 &amp; """", ""),
    IF(J90&lt;&gt;"", """" &amp; VJDBCore!K$1 &amp; """", ""),
    IF(K90&lt;&gt;"", """" &amp; VJDBCore!L$1 &amp; """", ""),
    IF(L90&lt;&gt;"", """" &amp; VJDBCore!M$1 &amp; """", ""),    IF(M90&lt;&gt;"", """" &amp; VJDBCore!N$1 &amp; """", ""),    IF(N90&lt;&gt;"", """" &amp; VJDBCore!O$1 &amp; """", ""),     IF(O90&lt;&gt;"", """" &amp; VJDBCore!P$1 &amp; """", ""),     IF(O90&lt;&gt;"", """" &amp; VJDBCore!P$1 &amp; """", ""),     IF(P90&lt;&gt;"", """" &amp; VJDBCore!Q$1 &amp; """", ""),
    IF(Q94&lt;&gt;"", """" &amp; Q94 &amp; """", ""),
    IF(R90&lt;&gt;"", """" &amp; R90 &amp; """", ""),
    IF(S90&lt;&gt;"", """" &amp; S90 &amp; """", "")
) &amp; "]"</f>
        <v>[]</v>
      </c>
      <c r="V90" s="12" t="s">
        <v>347</v>
      </c>
      <c r="W90" s="1" t="s">
        <v>1527</v>
      </c>
      <c r="X90" s="13"/>
      <c r="Y90" s="13"/>
      <c r="Z90" s="13"/>
      <c r="AA90" s="13"/>
      <c r="AB90" s="13"/>
      <c r="AC90" s="13"/>
      <c r="AD90" s="13"/>
      <c r="AE90" s="1" t="s">
        <v>1651</v>
      </c>
      <c r="AF90" s="1" t="s">
        <v>351</v>
      </c>
      <c r="AG90" s="13"/>
      <c r="AH90" s="14" t="s">
        <v>1527</v>
      </c>
      <c r="AI90" s="13"/>
      <c r="AJ90" s="13"/>
      <c r="AK90" s="13"/>
      <c r="AL90" s="13"/>
      <c r="AM90" s="13"/>
      <c r="AN90" s="13"/>
      <c r="AO90" s="28"/>
    </row>
    <row r="91" spans="1:41" s="10" customFormat="1" ht="23.25" customHeight="1">
      <c r="A91" s="4"/>
      <c r="B91" s="4"/>
      <c r="C91" s="4"/>
      <c r="D91" s="4"/>
      <c r="E91" s="11" t="s">
        <v>844</v>
      </c>
      <c r="F91" s="4"/>
      <c r="G91" s="4"/>
      <c r="H91" s="4"/>
      <c r="I91" s="4"/>
      <c r="J91" s="4"/>
      <c r="K91" s="4"/>
      <c r="L91" s="4"/>
      <c r="M91" s="4"/>
      <c r="N91" s="4"/>
      <c r="O91" s="6"/>
      <c r="P91" s="6"/>
      <c r="Q91" s="4"/>
      <c r="R91" s="7"/>
      <c r="S91" s="4"/>
      <c r="T91" s="4"/>
      <c r="U91" s="3" t="str">
        <f>"[" &amp; _xlfn.TEXTJOIN(", ", TRUE,
    IF(H91&lt;&gt;"", """" &amp; VJDBCore!I$1 &amp; """", ""),
    IF(I91&lt;&gt;"", """" &amp; VJDBCore!J$1 &amp; """", ""),
    IF(J91&lt;&gt;"", """" &amp; VJDBCore!K$1 &amp; """", ""),
    IF(K91&lt;&gt;"", """" &amp; VJDBCore!L$1 &amp; """", ""),
    IF(L91&lt;&gt;"", """" &amp; VJDBCore!M$1 &amp; """", ""),    IF(M91&lt;&gt;"", """" &amp; VJDBCore!N$1 &amp; """", ""),    IF(N91&lt;&gt;"", """" &amp; VJDBCore!O$1 &amp; """", ""),     IF(O91&lt;&gt;"", """" &amp; VJDBCore!P$1 &amp; """", ""),     IF(O91&lt;&gt;"", """" &amp; VJDBCore!P$1 &amp; """", ""),     IF(P91&lt;&gt;"", """" &amp; VJDBCore!Q$1 &amp; """", ""),
    IF(Q95&lt;&gt;"", """" &amp; Q95 &amp; """", ""),
    IF(R91&lt;&gt;"", """" &amp; R91 &amp; """", ""),
    IF(S91&lt;&gt;"", """" &amp; S91 &amp; """", "")
) &amp; "]"</f>
        <v>[]</v>
      </c>
      <c r="V91" s="12" t="s">
        <v>347</v>
      </c>
      <c r="W91" s="1" t="s">
        <v>1527</v>
      </c>
      <c r="X91" s="13"/>
      <c r="Y91" s="13"/>
      <c r="Z91" s="13"/>
      <c r="AA91" s="13"/>
      <c r="AB91" s="13"/>
      <c r="AC91" s="13"/>
      <c r="AD91" s="1" t="s">
        <v>1542</v>
      </c>
      <c r="AE91" s="1" t="s">
        <v>1652</v>
      </c>
      <c r="AF91" s="1" t="s">
        <v>1060</v>
      </c>
      <c r="AG91" s="13"/>
      <c r="AH91" s="14" t="s">
        <v>1527</v>
      </c>
      <c r="AI91" s="13"/>
      <c r="AJ91" s="13"/>
      <c r="AK91" s="13"/>
      <c r="AL91" s="13"/>
      <c r="AM91" s="13"/>
      <c r="AN91" s="13"/>
      <c r="AO91" s="28"/>
    </row>
    <row r="92" spans="1:41" s="10" customFormat="1" ht="23.25" customHeight="1">
      <c r="A92" s="4"/>
      <c r="B92" s="4"/>
      <c r="C92" s="4"/>
      <c r="D92" s="4"/>
      <c r="E92" s="11" t="s">
        <v>844</v>
      </c>
      <c r="F92" s="4"/>
      <c r="G92" s="4"/>
      <c r="H92" s="4"/>
      <c r="I92" s="4"/>
      <c r="J92" s="4"/>
      <c r="K92" s="4"/>
      <c r="L92" s="4"/>
      <c r="M92" s="4"/>
      <c r="N92" s="4"/>
      <c r="O92" s="6"/>
      <c r="P92" s="6"/>
      <c r="Q92" s="4"/>
      <c r="R92" s="7"/>
      <c r="S92" s="4"/>
      <c r="T92" s="4"/>
      <c r="U92" s="3" t="str">
        <f>"[" &amp; _xlfn.TEXTJOIN(", ", TRUE,
    IF(H92&lt;&gt;"", """" &amp; VJDBCore!I$1 &amp; """", ""),
    IF(I92&lt;&gt;"", """" &amp; VJDBCore!J$1 &amp; """", ""),
    IF(J92&lt;&gt;"", """" &amp; VJDBCore!K$1 &amp; """", ""),
    IF(K92&lt;&gt;"", """" &amp; VJDBCore!L$1 &amp; """", ""),
    IF(L92&lt;&gt;"", """" &amp; VJDBCore!M$1 &amp; """", ""),    IF(M92&lt;&gt;"", """" &amp; VJDBCore!N$1 &amp; """", ""),    IF(N92&lt;&gt;"", """" &amp; VJDBCore!O$1 &amp; """", ""),     IF(O92&lt;&gt;"", """" &amp; VJDBCore!P$1 &amp; """", ""),     IF(O92&lt;&gt;"", """" &amp; VJDBCore!P$1 &amp; """", ""),     IF(P92&lt;&gt;"", """" &amp; VJDBCore!Q$1 &amp; """", ""),
    IF(Q96&lt;&gt;"", """" &amp; Q96 &amp; """", ""),
    IF(R92&lt;&gt;"", """" &amp; R92 &amp; """", ""),
    IF(S92&lt;&gt;"", """" &amp; S92 &amp; """", "")
) &amp; "]"</f>
        <v>[]</v>
      </c>
      <c r="V92" s="12" t="s">
        <v>347</v>
      </c>
      <c r="W92" s="1" t="s">
        <v>1527</v>
      </c>
      <c r="X92" s="13"/>
      <c r="Y92" s="13"/>
      <c r="Z92" s="13"/>
      <c r="AA92" s="13"/>
      <c r="AB92" s="13"/>
      <c r="AC92" s="13"/>
      <c r="AD92" s="13"/>
      <c r="AE92" s="1" t="s">
        <v>1653</v>
      </c>
      <c r="AF92" s="1" t="s">
        <v>372</v>
      </c>
      <c r="AG92" s="13"/>
      <c r="AH92" s="14" t="s">
        <v>1527</v>
      </c>
      <c r="AI92" s="13"/>
      <c r="AJ92" s="13"/>
      <c r="AK92" s="13"/>
      <c r="AL92" s="13"/>
      <c r="AM92" s="13"/>
      <c r="AN92" s="13"/>
      <c r="AO92" s="28"/>
    </row>
    <row r="93" spans="1:41" s="10" customFormat="1" ht="23.25" customHeight="1">
      <c r="A93" s="4"/>
      <c r="B93" s="4"/>
      <c r="C93" s="4"/>
      <c r="D93" s="4"/>
      <c r="E93" s="11" t="s">
        <v>844</v>
      </c>
      <c r="F93" s="4"/>
      <c r="G93" s="4"/>
      <c r="H93" s="4"/>
      <c r="I93" s="4"/>
      <c r="J93" s="4"/>
      <c r="K93" s="4"/>
      <c r="L93" s="4"/>
      <c r="M93" s="4"/>
      <c r="N93" s="4" t="s">
        <v>1654</v>
      </c>
      <c r="O93" s="6"/>
      <c r="P93" s="6"/>
      <c r="Q93" s="4"/>
      <c r="R93" s="7"/>
      <c r="S93" s="4"/>
      <c r="T93" s="4"/>
      <c r="U93" s="3" t="str">
        <f>"[" &amp; _xlfn.TEXTJOIN(", ", TRUE,
    IF(H93&lt;&gt;"", """" &amp; VJDBCore!I$1 &amp; """", ""),
    IF(I93&lt;&gt;"", """" &amp; VJDBCore!J$1 &amp; """", ""),
    IF(J93&lt;&gt;"", """" &amp; VJDBCore!K$1 &amp; """", ""),
    IF(K93&lt;&gt;"", """" &amp; VJDBCore!L$1 &amp; """", ""),
    IF(L93&lt;&gt;"", """" &amp; VJDBCore!M$1 &amp; """", ""),    IF(M93&lt;&gt;"", """" &amp; VJDBCore!N$1 &amp; """", ""),    IF(N93&lt;&gt;"", """" &amp; VJDBCore!O$1 &amp; """", ""),     IF(O93&lt;&gt;"", """" &amp; VJDBCore!P$1 &amp; """", ""),     IF(O93&lt;&gt;"", """" &amp; VJDBCore!P$1 &amp; """", ""),     IF(P93&lt;&gt;"", """" &amp; VJDBCore!Q$1 &amp; """", ""),
    IF(Q97&lt;&gt;"", """" &amp; Q97 &amp; """", ""),
    IF(R93&lt;&gt;"", """" &amp; R93 &amp; """", ""),
    IF(S93&lt;&gt;"", """" &amp; S93 &amp; """", "")
) &amp; "]"</f>
        <v>["BV-BRC"]</v>
      </c>
      <c r="V93" s="12" t="s">
        <v>347</v>
      </c>
      <c r="W93" s="1" t="s">
        <v>1527</v>
      </c>
      <c r="X93" s="13"/>
      <c r="Y93" s="13"/>
      <c r="Z93" s="13"/>
      <c r="AA93" s="13"/>
      <c r="AB93" s="13"/>
      <c r="AC93" s="1" t="s">
        <v>1542</v>
      </c>
      <c r="AD93" s="1" t="s">
        <v>1542</v>
      </c>
      <c r="AE93" s="1" t="s">
        <v>1655</v>
      </c>
      <c r="AF93" s="1" t="s">
        <v>1060</v>
      </c>
      <c r="AG93" s="13"/>
      <c r="AH93" s="14" t="s">
        <v>1527</v>
      </c>
      <c r="AI93" s="13"/>
      <c r="AJ93" s="13"/>
      <c r="AK93" s="13"/>
      <c r="AL93" s="13"/>
      <c r="AM93" s="13"/>
      <c r="AN93" s="13"/>
      <c r="AO93" s="28"/>
    </row>
    <row r="94" spans="1:41" s="10" customFormat="1" ht="23.25" customHeight="1">
      <c r="A94" s="4"/>
      <c r="B94" s="4"/>
      <c r="C94" s="4"/>
      <c r="D94" s="4"/>
      <c r="E94" s="11" t="s">
        <v>844</v>
      </c>
      <c r="F94" s="4"/>
      <c r="G94" s="4"/>
      <c r="H94" s="4"/>
      <c r="I94" s="4"/>
      <c r="J94" s="4"/>
      <c r="K94" s="4"/>
      <c r="L94" s="4"/>
      <c r="M94" s="4"/>
      <c r="N94" s="4"/>
      <c r="O94" s="6"/>
      <c r="P94" s="6"/>
      <c r="Q94" s="4"/>
      <c r="R94" s="7"/>
      <c r="S94" s="4"/>
      <c r="T94" s="4"/>
      <c r="U94" s="3" t="str">
        <f>"[" &amp; _xlfn.TEXTJOIN(", ", TRUE,
    IF(H94&lt;&gt;"", """" &amp; VJDBCore!I$1 &amp; """", ""),
    IF(I94&lt;&gt;"", """" &amp; VJDBCore!J$1 &amp; """", ""),
    IF(J94&lt;&gt;"", """" &amp; VJDBCore!K$1 &amp; """", ""),
    IF(K94&lt;&gt;"", """" &amp; VJDBCore!L$1 &amp; """", ""),
    IF(L94&lt;&gt;"", """" &amp; VJDBCore!M$1 &amp; """", ""),    IF(M94&lt;&gt;"", """" &amp; VJDBCore!N$1 &amp; """", ""),    IF(N94&lt;&gt;"", """" &amp; VJDBCore!O$1 &amp; """", ""),     IF(O94&lt;&gt;"", """" &amp; VJDBCore!P$1 &amp; """", ""),     IF(O94&lt;&gt;"", """" &amp; VJDBCore!P$1 &amp; """", ""),     IF(P94&lt;&gt;"", """" &amp; VJDBCore!Q$1 &amp; """", ""),
    IF(Q98&lt;&gt;"", """" &amp; Q98 &amp; """", ""),
    IF(R94&lt;&gt;"", """" &amp; R94 &amp; """", ""),
    IF(S94&lt;&gt;"", """" &amp; S94 &amp; """", "")
) &amp; "]"</f>
        <v>[]</v>
      </c>
      <c r="V94" s="12" t="s">
        <v>347</v>
      </c>
      <c r="W94" s="1" t="s">
        <v>1527</v>
      </c>
      <c r="X94" s="13"/>
      <c r="Y94" s="13"/>
      <c r="Z94" s="13"/>
      <c r="AA94" s="13"/>
      <c r="AB94" s="13"/>
      <c r="AC94" s="13"/>
      <c r="AD94" s="13"/>
      <c r="AE94" s="1" t="s">
        <v>1656</v>
      </c>
      <c r="AF94" s="1" t="s">
        <v>351</v>
      </c>
      <c r="AG94" s="13"/>
      <c r="AH94" s="14" t="s">
        <v>1527</v>
      </c>
      <c r="AI94" s="13"/>
      <c r="AJ94" s="13"/>
      <c r="AK94" s="13"/>
      <c r="AL94" s="13"/>
      <c r="AM94" s="13"/>
      <c r="AN94" s="13"/>
      <c r="AO94" s="28"/>
    </row>
    <row r="95" spans="1:41" s="10" customFormat="1" ht="23.25" customHeight="1">
      <c r="A95" s="4"/>
      <c r="B95" s="4"/>
      <c r="C95" s="4"/>
      <c r="D95" s="4"/>
      <c r="E95" s="11" t="s">
        <v>844</v>
      </c>
      <c r="F95" s="4"/>
      <c r="G95" s="4"/>
      <c r="H95" s="4"/>
      <c r="I95" s="4"/>
      <c r="J95" s="4"/>
      <c r="K95" s="4"/>
      <c r="L95" s="4"/>
      <c r="M95" s="4"/>
      <c r="N95" s="4" t="s">
        <v>1657</v>
      </c>
      <c r="O95" s="6"/>
      <c r="P95" s="6"/>
      <c r="Q95" s="4"/>
      <c r="R95" s="7"/>
      <c r="S95" s="4"/>
      <c r="T95" s="4"/>
      <c r="U95" s="3" t="str">
        <f>"[" &amp; _xlfn.TEXTJOIN(", ", TRUE,
    IF(H95&lt;&gt;"", """" &amp; VJDBCore!I$1 &amp; """", ""),
    IF(I95&lt;&gt;"", """" &amp; VJDBCore!J$1 &amp; """", ""),
    IF(J95&lt;&gt;"", """" &amp; VJDBCore!K$1 &amp; """", ""),
    IF(K95&lt;&gt;"", """" &amp; VJDBCore!L$1 &amp; """", ""),
    IF(L95&lt;&gt;"", """" &amp; VJDBCore!M$1 &amp; """", ""),    IF(M95&lt;&gt;"", """" &amp; VJDBCore!N$1 &amp; """", ""),    IF(N95&lt;&gt;"", """" &amp; VJDBCore!O$1 &amp; """", ""),     IF(O95&lt;&gt;"", """" &amp; VJDBCore!P$1 &amp; """", ""),     IF(O95&lt;&gt;"", """" &amp; VJDBCore!P$1 &amp; """", ""),     IF(P95&lt;&gt;"", """" &amp; VJDBCore!Q$1 &amp; """", ""),
    IF(Q99&lt;&gt;"", """" &amp; Q99 &amp; """", ""),
    IF(R95&lt;&gt;"", """" &amp; R95 &amp; """", ""),
    IF(S95&lt;&gt;"", """" &amp; S95 &amp; """", "")
) &amp; "]"</f>
        <v>["BV-BRC"]</v>
      </c>
      <c r="V95" s="12" t="s">
        <v>347</v>
      </c>
      <c r="W95" s="1" t="s">
        <v>1527</v>
      </c>
      <c r="X95" s="13"/>
      <c r="Y95" s="13"/>
      <c r="Z95" s="13"/>
      <c r="AA95" s="13"/>
      <c r="AB95" s="13"/>
      <c r="AC95" s="1" t="s">
        <v>992</v>
      </c>
      <c r="AD95" s="1" t="s">
        <v>993</v>
      </c>
      <c r="AE95" s="1" t="s">
        <v>1658</v>
      </c>
      <c r="AF95" s="1" t="s">
        <v>372</v>
      </c>
      <c r="AG95" s="13"/>
      <c r="AH95" s="14" t="s">
        <v>1527</v>
      </c>
      <c r="AI95" s="13"/>
      <c r="AJ95" s="13"/>
      <c r="AK95" s="13"/>
      <c r="AL95" s="13"/>
      <c r="AM95" s="13"/>
      <c r="AN95" s="13"/>
      <c r="AO95" s="28"/>
    </row>
    <row r="96" spans="1:41" s="10" customFormat="1" ht="23.25" customHeight="1">
      <c r="A96" s="4"/>
      <c r="B96" s="4"/>
      <c r="C96" s="4"/>
      <c r="D96" s="4"/>
      <c r="E96" s="11" t="s">
        <v>844</v>
      </c>
      <c r="F96" s="4"/>
      <c r="G96" s="4"/>
      <c r="H96" s="4"/>
      <c r="I96" s="4"/>
      <c r="J96" s="4"/>
      <c r="K96" s="4"/>
      <c r="L96" s="4"/>
      <c r="M96" s="4"/>
      <c r="N96" s="4" t="s">
        <v>1117</v>
      </c>
      <c r="O96" s="6"/>
      <c r="P96" s="6"/>
      <c r="Q96" s="4"/>
      <c r="R96" s="7"/>
      <c r="S96" s="4"/>
      <c r="T96" s="4"/>
      <c r="U96" s="3" t="str">
        <f>"[" &amp; _xlfn.TEXTJOIN(", ", TRUE,
    IF(H96&lt;&gt;"", """" &amp; VJDBCore!I$1 &amp; """", ""),
    IF(I96&lt;&gt;"", """" &amp; VJDBCore!J$1 &amp; """", ""),
    IF(J96&lt;&gt;"", """" &amp; VJDBCore!K$1 &amp; """", ""),
    IF(K96&lt;&gt;"", """" &amp; VJDBCore!L$1 &amp; """", ""),
    IF(L96&lt;&gt;"", """" &amp; VJDBCore!M$1 &amp; """", ""),    IF(M96&lt;&gt;"", """" &amp; VJDBCore!N$1 &amp; """", ""),    IF(N96&lt;&gt;"", """" &amp; VJDBCore!O$1 &amp; """", ""),     IF(O96&lt;&gt;"", """" &amp; VJDBCore!P$1 &amp; """", ""),     IF(O96&lt;&gt;"", """" &amp; VJDBCore!P$1 &amp; """", ""),     IF(P96&lt;&gt;"", """" &amp; VJDBCore!Q$1 &amp; """", ""),
    IF(Q100&lt;&gt;"", """" &amp; Q100 &amp; """", ""),
    IF(R96&lt;&gt;"", """" &amp; R96 &amp; """", ""),
    IF(S96&lt;&gt;"", """" &amp; S96 &amp; """", "")
) &amp; "]"</f>
        <v>["BV-BRC"]</v>
      </c>
      <c r="V96" s="12" t="s">
        <v>347</v>
      </c>
      <c r="W96" s="1" t="s">
        <v>1527</v>
      </c>
      <c r="X96" s="13"/>
      <c r="Y96" s="13"/>
      <c r="Z96" s="13"/>
      <c r="AA96" s="13"/>
      <c r="AB96" s="13"/>
      <c r="AC96" s="1" t="s">
        <v>1027</v>
      </c>
      <c r="AD96" s="13"/>
      <c r="AE96" s="1" t="s">
        <v>1659</v>
      </c>
      <c r="AF96" s="1" t="s">
        <v>372</v>
      </c>
      <c r="AG96" s="13"/>
      <c r="AH96" s="14" t="s">
        <v>1527</v>
      </c>
      <c r="AI96" s="13"/>
      <c r="AJ96" s="13"/>
      <c r="AK96" s="13"/>
      <c r="AL96" s="13"/>
      <c r="AM96" s="13"/>
      <c r="AN96" s="13"/>
      <c r="AO96" s="28"/>
    </row>
    <row r="97" spans="1:41" s="10" customFormat="1" ht="23.25" customHeight="1">
      <c r="A97" s="4"/>
      <c r="B97" s="4"/>
      <c r="C97" s="4"/>
      <c r="D97" s="4"/>
      <c r="E97" s="11" t="s">
        <v>844</v>
      </c>
      <c r="F97" s="4"/>
      <c r="G97" s="4"/>
      <c r="H97" s="4"/>
      <c r="I97" s="4"/>
      <c r="J97" s="4"/>
      <c r="K97" s="4"/>
      <c r="L97" s="4"/>
      <c r="M97" s="4"/>
      <c r="N97" s="4"/>
      <c r="O97" s="6"/>
      <c r="P97" s="6"/>
      <c r="Q97" s="4"/>
      <c r="R97" s="7"/>
      <c r="S97" s="4"/>
      <c r="T97" s="4"/>
      <c r="U97" s="3" t="str">
        <f>"[" &amp; _xlfn.TEXTJOIN(", ", TRUE,
    IF(H97&lt;&gt;"", """" &amp; VJDBCore!I$1 &amp; """", ""),
    IF(I97&lt;&gt;"", """" &amp; VJDBCore!J$1 &amp; """", ""),
    IF(J97&lt;&gt;"", """" &amp; VJDBCore!K$1 &amp; """", ""),
    IF(K97&lt;&gt;"", """" &amp; VJDBCore!L$1 &amp; """", ""),
    IF(L97&lt;&gt;"", """" &amp; VJDBCore!M$1 &amp; """", ""),    IF(M97&lt;&gt;"", """" &amp; VJDBCore!N$1 &amp; """", ""),    IF(N97&lt;&gt;"", """" &amp; VJDBCore!O$1 &amp; """", ""),     IF(O97&lt;&gt;"", """" &amp; VJDBCore!P$1 &amp; """", ""),     IF(O97&lt;&gt;"", """" &amp; VJDBCore!P$1 &amp; """", ""),     IF(P97&lt;&gt;"", """" &amp; VJDBCore!Q$1 &amp; """", ""),
    IF(Q101&lt;&gt;"", """" &amp; Q101 &amp; """", ""),
    IF(R97&lt;&gt;"", """" &amp; R97 &amp; """", ""),
    IF(S97&lt;&gt;"", """" &amp; S97 &amp; """", "")
) &amp; "]"</f>
        <v>[]</v>
      </c>
      <c r="V97" s="12" t="s">
        <v>347</v>
      </c>
      <c r="W97" s="1" t="s">
        <v>1527</v>
      </c>
      <c r="X97" s="13"/>
      <c r="Y97" s="13"/>
      <c r="Z97" s="13"/>
      <c r="AA97" s="13"/>
      <c r="AB97" s="13"/>
      <c r="AC97" s="13"/>
      <c r="AD97" s="1" t="s">
        <v>1058</v>
      </c>
      <c r="AE97" s="1" t="s">
        <v>1660</v>
      </c>
      <c r="AF97" s="1" t="s">
        <v>1060</v>
      </c>
      <c r="AG97" s="13"/>
      <c r="AH97" s="14" t="s">
        <v>1527</v>
      </c>
      <c r="AI97" s="13"/>
      <c r="AJ97" s="13"/>
      <c r="AK97" s="13"/>
      <c r="AL97" s="13"/>
      <c r="AM97" s="13"/>
      <c r="AN97" s="13"/>
      <c r="AO97" s="28"/>
    </row>
    <row r="98" spans="1:41" s="10" customFormat="1" ht="23.25" customHeight="1">
      <c r="A98" s="4"/>
      <c r="B98" s="4"/>
      <c r="C98" s="4"/>
      <c r="D98" s="4"/>
      <c r="E98" s="11" t="s">
        <v>844</v>
      </c>
      <c r="F98" s="4"/>
      <c r="G98" s="4"/>
      <c r="H98" s="4"/>
      <c r="I98" s="4"/>
      <c r="J98" s="4"/>
      <c r="K98" s="4"/>
      <c r="L98" s="4"/>
      <c r="M98" s="4"/>
      <c r="N98" s="4" t="s">
        <v>1661</v>
      </c>
      <c r="O98" s="6"/>
      <c r="P98" s="6"/>
      <c r="Q98" s="4"/>
      <c r="R98" s="7"/>
      <c r="S98" s="4"/>
      <c r="T98" s="4"/>
      <c r="U98" s="3" t="str">
        <f>"[" &amp; _xlfn.TEXTJOIN(", ", TRUE,
    IF(H98&lt;&gt;"", """" &amp; VJDBCore!I$1 &amp; """", ""),
    IF(I98&lt;&gt;"", """" &amp; VJDBCore!J$1 &amp; """", ""),
    IF(J98&lt;&gt;"", """" &amp; VJDBCore!K$1 &amp; """", ""),
    IF(K98&lt;&gt;"", """" &amp; VJDBCore!L$1 &amp; """", ""),
    IF(L98&lt;&gt;"", """" &amp; VJDBCore!M$1 &amp; """", ""),    IF(M98&lt;&gt;"", """" &amp; VJDBCore!N$1 &amp; """", ""),    IF(N98&lt;&gt;"", """" &amp; VJDBCore!O$1 &amp; """", ""),     IF(O98&lt;&gt;"", """" &amp; VJDBCore!P$1 &amp; """", ""),     IF(O98&lt;&gt;"", """" &amp; VJDBCore!P$1 &amp; """", ""),     IF(P98&lt;&gt;"", """" &amp; VJDBCore!Q$1 &amp; """", ""),
    IF(Q102&lt;&gt;"", """" &amp; Q102 &amp; """", ""),
    IF(R98&lt;&gt;"", """" &amp; R98 &amp; """", ""),
    IF(S98&lt;&gt;"", """" &amp; S98 &amp; """", "")
) &amp; "]"</f>
        <v>["BV-BRC"]</v>
      </c>
      <c r="V98" s="12" t="s">
        <v>347</v>
      </c>
      <c r="W98" s="1" t="s">
        <v>1527</v>
      </c>
      <c r="X98" s="13"/>
      <c r="Y98" s="13"/>
      <c r="Z98" s="13"/>
      <c r="AA98" s="13"/>
      <c r="AB98" s="13"/>
      <c r="AC98" s="1" t="s">
        <v>887</v>
      </c>
      <c r="AD98" s="13"/>
      <c r="AE98" s="1" t="s">
        <v>1662</v>
      </c>
      <c r="AF98" s="1" t="s">
        <v>351</v>
      </c>
      <c r="AG98" s="13"/>
      <c r="AH98" s="14" t="s">
        <v>1527</v>
      </c>
      <c r="AI98" s="13"/>
      <c r="AJ98" s="13"/>
      <c r="AK98" s="13"/>
      <c r="AL98" s="13"/>
      <c r="AM98" s="13"/>
      <c r="AN98" s="13"/>
      <c r="AO98" s="28"/>
    </row>
    <row r="99" spans="1:41" s="10" customFormat="1" ht="23.25" customHeight="1">
      <c r="A99" s="4"/>
      <c r="B99" s="4"/>
      <c r="C99" s="4"/>
      <c r="D99" s="4"/>
      <c r="E99" s="11" t="s">
        <v>844</v>
      </c>
      <c r="F99" s="4"/>
      <c r="G99" s="4"/>
      <c r="H99" s="4"/>
      <c r="I99" s="4"/>
      <c r="J99" s="4"/>
      <c r="K99" s="4"/>
      <c r="L99" s="4"/>
      <c r="M99" s="4"/>
      <c r="N99" s="4" t="s">
        <v>1663</v>
      </c>
      <c r="O99" s="6"/>
      <c r="P99" s="6"/>
      <c r="Q99" s="4"/>
      <c r="R99" s="7"/>
      <c r="S99" s="4"/>
      <c r="T99" s="4"/>
      <c r="U99" s="3" t="str">
        <f>"[" &amp; _xlfn.TEXTJOIN(", ", TRUE,
    IF(H99&lt;&gt;"", """" &amp; VJDBCore!I$1 &amp; """", ""),
    IF(I99&lt;&gt;"", """" &amp; VJDBCore!J$1 &amp; """", ""),
    IF(J99&lt;&gt;"", """" &amp; VJDBCore!K$1 &amp; """", ""),
    IF(K99&lt;&gt;"", """" &amp; VJDBCore!L$1 &amp; """", ""),
    IF(L99&lt;&gt;"", """" &amp; VJDBCore!M$1 &amp; """", ""),    IF(M99&lt;&gt;"", """" &amp; VJDBCore!N$1 &amp; """", ""),    IF(N99&lt;&gt;"", """" &amp; VJDBCore!O$1 &amp; """", ""),     IF(O99&lt;&gt;"", """" &amp; VJDBCore!P$1 &amp; """", ""),     IF(O99&lt;&gt;"", """" &amp; VJDBCore!P$1 &amp; """", ""),     IF(P99&lt;&gt;"", """" &amp; VJDBCore!Q$1 &amp; """", ""),
    IF(Q103&lt;&gt;"", """" &amp; Q103 &amp; """", ""),
    IF(R99&lt;&gt;"", """" &amp; R99 &amp; """", ""),
    IF(S99&lt;&gt;"", """" &amp; S99 &amp; """", "")
) &amp; "]"</f>
        <v>["BV-BRC"]</v>
      </c>
      <c r="V99" s="12" t="s">
        <v>347</v>
      </c>
      <c r="W99" s="1" t="s">
        <v>1527</v>
      </c>
      <c r="X99" s="13"/>
      <c r="Y99" s="13"/>
      <c r="Z99" s="13"/>
      <c r="AA99" s="13"/>
      <c r="AB99" s="13"/>
      <c r="AC99" s="1" t="s">
        <v>1027</v>
      </c>
      <c r="AD99" s="13"/>
      <c r="AE99" s="1" t="s">
        <v>1664</v>
      </c>
      <c r="AF99" s="1" t="s">
        <v>351</v>
      </c>
      <c r="AG99" s="13"/>
      <c r="AH99" s="14" t="s">
        <v>1527</v>
      </c>
      <c r="AI99" s="13"/>
      <c r="AJ99" s="13"/>
      <c r="AK99" s="13"/>
      <c r="AL99" s="13"/>
      <c r="AM99" s="13"/>
      <c r="AN99" s="13"/>
      <c r="AO99" s="28"/>
    </row>
    <row r="100" spans="1:41" s="10" customFormat="1" ht="23.25" customHeight="1">
      <c r="A100" s="4"/>
      <c r="B100" s="4"/>
      <c r="C100" s="4"/>
      <c r="D100" s="4"/>
      <c r="E100" s="11" t="s">
        <v>844</v>
      </c>
      <c r="F100" s="4"/>
      <c r="G100" s="4"/>
      <c r="H100" s="4"/>
      <c r="I100" s="4"/>
      <c r="J100" s="4"/>
      <c r="K100" s="4"/>
      <c r="L100" s="4"/>
      <c r="M100" s="4"/>
      <c r="N100" s="4"/>
      <c r="O100" s="6"/>
      <c r="P100" s="6"/>
      <c r="Q100" s="4"/>
      <c r="R100" s="7"/>
      <c r="S100" s="4"/>
      <c r="T100" s="4"/>
      <c r="U100" s="3" t="str">
        <f>"[" &amp; _xlfn.TEXTJOIN(", ", TRUE,
    IF(H100&lt;&gt;"", """" &amp; VJDBCore!I$1 &amp; """", ""),
    IF(I100&lt;&gt;"", """" &amp; VJDBCore!J$1 &amp; """", ""),
    IF(J100&lt;&gt;"", """" &amp; VJDBCore!K$1 &amp; """", ""),
    IF(K100&lt;&gt;"", """" &amp; VJDBCore!L$1 &amp; """", ""),
    IF(L100&lt;&gt;"", """" &amp; VJDBCore!M$1 &amp; """", ""),    IF(M100&lt;&gt;"", """" &amp; VJDBCore!N$1 &amp; """", ""),    IF(N100&lt;&gt;"", """" &amp; VJDBCore!O$1 &amp; """", ""),     IF(O100&lt;&gt;"", """" &amp; VJDBCore!P$1 &amp; """", ""),     IF(O100&lt;&gt;"", """" &amp; VJDBCore!P$1 &amp; """", ""),     IF(P100&lt;&gt;"", """" &amp; VJDBCore!Q$1 &amp; """", ""),
    IF(Q104&lt;&gt;"", """" &amp; Q104 &amp; """", ""),
    IF(R100&lt;&gt;"", """" &amp; R100 &amp; """", ""),
    IF(S100&lt;&gt;"", """" &amp; S100 &amp; """", "")
) &amp; "]"</f>
        <v>[]</v>
      </c>
      <c r="V100" s="12" t="s">
        <v>347</v>
      </c>
      <c r="W100" s="1" t="s">
        <v>1527</v>
      </c>
      <c r="X100" s="13"/>
      <c r="Y100" s="13"/>
      <c r="Z100" s="13"/>
      <c r="AA100" s="13"/>
      <c r="AB100" s="13"/>
      <c r="AC100" s="13"/>
      <c r="AD100" s="13"/>
      <c r="AE100" s="1" t="s">
        <v>1665</v>
      </c>
      <c r="AF100" s="1" t="s">
        <v>351</v>
      </c>
      <c r="AG100" s="13"/>
      <c r="AH100" s="14" t="s">
        <v>1527</v>
      </c>
      <c r="AI100" s="13"/>
      <c r="AJ100" s="13"/>
      <c r="AK100" s="13"/>
      <c r="AL100" s="13"/>
      <c r="AM100" s="13"/>
      <c r="AN100" s="13"/>
      <c r="AO100" s="28"/>
    </row>
    <row r="101" spans="1:41" s="10" customFormat="1" ht="23.25" customHeight="1">
      <c r="A101" s="4"/>
      <c r="B101" s="4"/>
      <c r="C101" s="4"/>
      <c r="D101" s="4"/>
      <c r="E101" s="11" t="s">
        <v>844</v>
      </c>
      <c r="F101" s="4"/>
      <c r="G101" s="4"/>
      <c r="H101" s="4"/>
      <c r="I101" s="4"/>
      <c r="J101" s="4"/>
      <c r="K101" s="4"/>
      <c r="L101" s="4"/>
      <c r="M101" s="4"/>
      <c r="N101" s="4" t="s">
        <v>1666</v>
      </c>
      <c r="O101" s="6"/>
      <c r="P101" s="6"/>
      <c r="Q101" s="4"/>
      <c r="R101" s="7"/>
      <c r="S101" s="4"/>
      <c r="T101" s="4"/>
      <c r="U101" s="3" t="str">
        <f>"[" &amp; _xlfn.TEXTJOIN(", ", TRUE,
    IF(H101&lt;&gt;"", """" &amp; VJDBCore!I$1 &amp; """", ""),
    IF(I101&lt;&gt;"", """" &amp; VJDBCore!J$1 &amp; """", ""),
    IF(J101&lt;&gt;"", """" &amp; VJDBCore!K$1 &amp; """", ""),
    IF(K101&lt;&gt;"", """" &amp; VJDBCore!L$1 &amp; """", ""),
    IF(L101&lt;&gt;"", """" &amp; VJDBCore!M$1 &amp; """", ""),    IF(M101&lt;&gt;"", """" &amp; VJDBCore!N$1 &amp; """", ""),    IF(N101&lt;&gt;"", """" &amp; VJDBCore!O$1 &amp; """", ""),     IF(O101&lt;&gt;"", """" &amp; VJDBCore!P$1 &amp; """", ""),     IF(O101&lt;&gt;"", """" &amp; VJDBCore!P$1 &amp; """", ""),     IF(P101&lt;&gt;"", """" &amp; VJDBCore!Q$1 &amp; """", ""),
    IF(Q105&lt;&gt;"", """" &amp; Q105 &amp; """", ""),
    IF(R101&lt;&gt;"", """" &amp; R101 &amp; """", ""),
    IF(S101&lt;&gt;"", """" &amp; S101 &amp; """", "")
) &amp; "]"</f>
        <v>["BV-BRC"]</v>
      </c>
      <c r="V101" s="12" t="s">
        <v>347</v>
      </c>
      <c r="W101" s="1" t="s">
        <v>1527</v>
      </c>
      <c r="X101" s="13"/>
      <c r="Y101" s="13"/>
      <c r="Z101" s="13"/>
      <c r="AA101" s="13"/>
      <c r="AB101" s="13"/>
      <c r="AC101" s="1" t="s">
        <v>992</v>
      </c>
      <c r="AD101" s="1" t="s">
        <v>993</v>
      </c>
      <c r="AE101" s="1" t="s">
        <v>1667</v>
      </c>
      <c r="AF101" s="1" t="s">
        <v>351</v>
      </c>
      <c r="AG101" s="13"/>
      <c r="AH101" s="14" t="s">
        <v>1527</v>
      </c>
      <c r="AI101" s="13"/>
      <c r="AJ101" s="13"/>
      <c r="AK101" s="13"/>
      <c r="AL101" s="13"/>
      <c r="AM101" s="13"/>
      <c r="AN101" s="13"/>
      <c r="AO101" s="28"/>
    </row>
    <row r="102" spans="1:41" s="10" customFormat="1" ht="23.25" customHeight="1">
      <c r="A102" s="4"/>
      <c r="B102" s="4"/>
      <c r="C102" s="4"/>
      <c r="D102" s="4"/>
      <c r="E102" s="11" t="s">
        <v>844</v>
      </c>
      <c r="F102" s="4"/>
      <c r="G102" s="4"/>
      <c r="H102" s="4"/>
      <c r="I102" s="4"/>
      <c r="J102" s="4"/>
      <c r="K102" s="4"/>
      <c r="L102" s="4"/>
      <c r="M102" s="4"/>
      <c r="N102" s="4" t="s">
        <v>1277</v>
      </c>
      <c r="O102" s="6"/>
      <c r="P102" s="6"/>
      <c r="Q102" s="4"/>
      <c r="R102" s="7"/>
      <c r="S102" s="4"/>
      <c r="T102" s="4"/>
      <c r="U102" s="3" t="e">
        <f>"[" &amp; _xlfn.TEXTJOIN(", ", TRUE,
    IF(H102&lt;&gt;"", """" &amp; VJDBCore!I$1 &amp; """", ""),
    IF(I102&lt;&gt;"", """" &amp; VJDBCore!J$1 &amp; """", ""),
    IF(J102&lt;&gt;"", """" &amp; VJDBCore!K$1 &amp; """", ""),
    IF(K102&lt;&gt;"", """" &amp; VJDBCore!L$1 &amp; """", ""),
    IF(L102&lt;&gt;"", """" &amp; VJDBCore!M$1 &amp; """", ""),    IF(M102&lt;&gt;"", """" &amp; VJDBCore!N$1 &amp; """", ""),    IF(N102&lt;&gt;"", """" &amp; VJDBCore!O$1 &amp; """", ""),     IF(O102&lt;&gt;"", """" &amp; VJDBCore!P$1 &amp; """", ""),     IF(O102&lt;&gt;"", """" &amp; VJDBCore!P$1 &amp; """", ""),     IF(P102&lt;&gt;"", """" &amp; VJDBCore!Q$1 &amp; """", ""),
    IF(#REF!&lt;&gt;"", """" &amp;#REF! &amp; """", ""),
    IF(R102&lt;&gt;"", """" &amp; R102 &amp; """", ""),
    IF(S102&lt;&gt;"", """" &amp; S102 &amp; """", "")
) &amp; "]"</f>
        <v>#REF!</v>
      </c>
      <c r="V102" s="12" t="s">
        <v>347</v>
      </c>
      <c r="W102" s="1" t="s">
        <v>1527</v>
      </c>
      <c r="X102" s="13"/>
      <c r="Y102" s="13"/>
      <c r="Z102" s="13"/>
      <c r="AA102" s="13"/>
      <c r="AB102" s="13"/>
      <c r="AC102" s="1" t="s">
        <v>1027</v>
      </c>
      <c r="AD102" s="13"/>
      <c r="AE102" s="1" t="s">
        <v>1279</v>
      </c>
      <c r="AF102" s="1" t="s">
        <v>351</v>
      </c>
      <c r="AG102" s="13"/>
      <c r="AH102" s="14" t="s">
        <v>1527</v>
      </c>
      <c r="AI102" s="13"/>
      <c r="AJ102" s="13"/>
      <c r="AK102" s="13"/>
      <c r="AL102" s="13"/>
      <c r="AM102" s="13"/>
      <c r="AN102" s="13"/>
      <c r="AO102" s="28"/>
    </row>
    <row r="103" spans="1:41" s="10" customFormat="1" ht="23.25" customHeight="1">
      <c r="A103" s="4"/>
      <c r="B103" s="4"/>
      <c r="C103" s="4"/>
      <c r="D103" s="4"/>
      <c r="E103" s="11" t="s">
        <v>844</v>
      </c>
      <c r="F103" s="4"/>
      <c r="G103" s="4"/>
      <c r="H103" s="4"/>
      <c r="I103" s="4"/>
      <c r="J103" s="4"/>
      <c r="K103" s="4"/>
      <c r="L103" s="4"/>
      <c r="M103" s="4"/>
      <c r="N103" s="4" t="s">
        <v>1668</v>
      </c>
      <c r="O103" s="6"/>
      <c r="P103" s="6"/>
      <c r="Q103" s="4"/>
      <c r="R103" s="7"/>
      <c r="S103" s="4"/>
      <c r="T103" s="4"/>
      <c r="U103" s="3" t="str">
        <f>"[" &amp; _xlfn.TEXTJOIN(", ", TRUE,
    IF(H103&lt;&gt;"", """" &amp; VJDBCore!I$1 &amp; """", ""),
    IF(I103&lt;&gt;"", """" &amp; VJDBCore!J$1 &amp; """", ""),
    IF(J103&lt;&gt;"", """" &amp; VJDBCore!K$1 &amp; """", ""),
    IF(K103&lt;&gt;"", """" &amp; VJDBCore!L$1 &amp; """", ""),
    IF(L103&lt;&gt;"", """" &amp; VJDBCore!M$1 &amp; """", ""),    IF(M103&lt;&gt;"", """" &amp; VJDBCore!N$1 &amp; """", ""),    IF(N103&lt;&gt;"", """" &amp; VJDBCore!O$1 &amp; """", ""),     IF(O103&lt;&gt;"", """" &amp; VJDBCore!P$1 &amp; """", ""),     IF(O103&lt;&gt;"", """" &amp; VJDBCore!P$1 &amp; """", ""),     IF(P103&lt;&gt;"", """" &amp; VJDBCore!Q$1 &amp; """", ""),
    IF(Q107&lt;&gt;"", """" &amp; Q107 &amp; """", ""),
    IF(R103&lt;&gt;"", """" &amp; R103 &amp; """", ""),
    IF(S103&lt;&gt;"", """" &amp; S103 &amp; """", "")
) &amp; "]"</f>
        <v>["BV-BRC"]</v>
      </c>
      <c r="V103" s="12" t="s">
        <v>347</v>
      </c>
      <c r="W103" s="1" t="s">
        <v>1527</v>
      </c>
      <c r="X103" s="13"/>
      <c r="Y103" s="13"/>
      <c r="Z103" s="13"/>
      <c r="AA103" s="13"/>
      <c r="AB103" s="13"/>
      <c r="AC103" s="1" t="s">
        <v>1027</v>
      </c>
      <c r="AD103" s="13"/>
      <c r="AE103" s="1" t="s">
        <v>1669</v>
      </c>
      <c r="AF103" s="1" t="s">
        <v>372</v>
      </c>
      <c r="AG103" s="13"/>
      <c r="AH103" s="14" t="s">
        <v>1527</v>
      </c>
      <c r="AI103" s="13"/>
      <c r="AJ103" s="13"/>
      <c r="AK103" s="13"/>
      <c r="AL103" s="13"/>
      <c r="AM103" s="13"/>
      <c r="AN103" s="13"/>
      <c r="AO103" s="28"/>
    </row>
    <row r="104" spans="1:41" s="10" customFormat="1" ht="23.25" customHeight="1">
      <c r="A104" s="4"/>
      <c r="B104" s="4"/>
      <c r="C104" s="4"/>
      <c r="D104" s="4"/>
      <c r="E104" s="11" t="s">
        <v>844</v>
      </c>
      <c r="F104" s="4"/>
      <c r="G104" s="4"/>
      <c r="H104" s="4"/>
      <c r="I104" s="4"/>
      <c r="J104" s="4"/>
      <c r="K104" s="4"/>
      <c r="L104" s="4"/>
      <c r="M104" s="4"/>
      <c r="N104" s="4" t="s">
        <v>1670</v>
      </c>
      <c r="O104" s="6"/>
      <c r="P104" s="6"/>
      <c r="Q104" s="4"/>
      <c r="R104" s="7"/>
      <c r="S104" s="4"/>
      <c r="T104" s="4"/>
      <c r="U104" s="3" t="str">
        <f>"[" &amp; _xlfn.TEXTJOIN(", ", TRUE,
    IF(H104&lt;&gt;"", """" &amp; VJDBCore!I$1 &amp; """", ""),
    IF(I104&lt;&gt;"", """" &amp; VJDBCore!J$1 &amp; """", ""),
    IF(J104&lt;&gt;"", """" &amp; VJDBCore!K$1 &amp; """", ""),
    IF(K104&lt;&gt;"", """" &amp; VJDBCore!L$1 &amp; """", ""),
    IF(L104&lt;&gt;"", """" &amp; VJDBCore!M$1 &amp; """", ""),    IF(M104&lt;&gt;"", """" &amp; VJDBCore!N$1 &amp; """", ""),    IF(N104&lt;&gt;"", """" &amp; VJDBCore!O$1 &amp; """", ""),     IF(O104&lt;&gt;"", """" &amp; VJDBCore!P$1 &amp; """", ""),     IF(O104&lt;&gt;"", """" &amp; VJDBCore!P$1 &amp; """", ""),     IF(P104&lt;&gt;"", """" &amp; VJDBCore!Q$1 &amp; """", ""),
    IF(Q108&lt;&gt;"", """" &amp; Q108 &amp; """", ""),
    IF(R104&lt;&gt;"", """" &amp; R104 &amp; """", ""),
    IF(S104&lt;&gt;"", """" &amp; S104 &amp; """", "")
) &amp; "]"</f>
        <v>["BV-BRC"]</v>
      </c>
      <c r="V104" s="12" t="s">
        <v>347</v>
      </c>
      <c r="W104" s="1" t="s">
        <v>1527</v>
      </c>
      <c r="X104" s="13"/>
      <c r="Y104" s="13"/>
      <c r="Z104" s="13"/>
      <c r="AA104" s="13"/>
      <c r="AB104" s="13"/>
      <c r="AC104" s="1" t="s">
        <v>1027</v>
      </c>
      <c r="AD104" s="13"/>
      <c r="AE104" s="1" t="s">
        <v>1671</v>
      </c>
      <c r="AF104" s="1" t="s">
        <v>372</v>
      </c>
      <c r="AG104" s="13"/>
      <c r="AH104" s="14" t="s">
        <v>1527</v>
      </c>
      <c r="AI104" s="13"/>
      <c r="AJ104" s="13"/>
      <c r="AK104" s="13"/>
      <c r="AL104" s="13"/>
      <c r="AM104" s="13"/>
      <c r="AN104" s="13"/>
      <c r="AO104" s="28"/>
    </row>
    <row r="105" spans="1:41" s="10" customFormat="1" ht="23.25" customHeight="1">
      <c r="A105" s="4"/>
      <c r="B105" s="4"/>
      <c r="C105" s="4"/>
      <c r="D105" s="4"/>
      <c r="E105" s="11" t="s">
        <v>844</v>
      </c>
      <c r="F105" s="4"/>
      <c r="G105" s="4"/>
      <c r="H105" s="4"/>
      <c r="I105" s="4"/>
      <c r="J105" s="4"/>
      <c r="K105" s="4"/>
      <c r="L105" s="4"/>
      <c r="M105" s="4"/>
      <c r="N105" s="4" t="s">
        <v>1672</v>
      </c>
      <c r="O105" s="6"/>
      <c r="P105" s="6"/>
      <c r="Q105" s="4"/>
      <c r="R105" s="7"/>
      <c r="S105" s="4"/>
      <c r="T105" s="4"/>
      <c r="U105" s="3" t="str">
        <f>"[" &amp; _xlfn.TEXTJOIN(", ", TRUE,
    IF(H105&lt;&gt;"", """" &amp; VJDBCore!I$1 &amp; """", ""),
    IF(I105&lt;&gt;"", """" &amp; VJDBCore!J$1 &amp; """", ""),
    IF(J105&lt;&gt;"", """" &amp; VJDBCore!K$1 &amp; """", ""),
    IF(K105&lt;&gt;"", """" &amp; VJDBCore!L$1 &amp; """", ""),
    IF(L105&lt;&gt;"", """" &amp; VJDBCore!M$1 &amp; """", ""),    IF(M105&lt;&gt;"", """" &amp; VJDBCore!N$1 &amp; """", ""),    IF(N105&lt;&gt;"", """" &amp; VJDBCore!O$1 &amp; """", ""),     IF(O105&lt;&gt;"", """" &amp; VJDBCore!P$1 &amp; """", ""),     IF(O105&lt;&gt;"", """" &amp; VJDBCore!P$1 &amp; """", ""),     IF(P105&lt;&gt;"", """" &amp; VJDBCore!Q$1 &amp; """", ""),
    IF(Q109&lt;&gt;"", """" &amp; Q109 &amp; """", ""),
    IF(R105&lt;&gt;"", """" &amp; R105 &amp; """", ""),
    IF(S105&lt;&gt;"", """" &amp; S105 &amp; """", "")
) &amp; "]"</f>
        <v>["BV-BRC"]</v>
      </c>
      <c r="V105" s="12" t="s">
        <v>347</v>
      </c>
      <c r="W105" s="1" t="s">
        <v>1527</v>
      </c>
      <c r="X105" s="13"/>
      <c r="Y105" s="13"/>
      <c r="Z105" s="13"/>
      <c r="AA105" s="13"/>
      <c r="AB105" s="13"/>
      <c r="AC105" s="1" t="s">
        <v>1216</v>
      </c>
      <c r="AD105" s="1" t="s">
        <v>698</v>
      </c>
      <c r="AE105" s="1" t="s">
        <v>1673</v>
      </c>
      <c r="AF105" s="1" t="s">
        <v>351</v>
      </c>
      <c r="AG105" s="13"/>
      <c r="AH105" s="14" t="s">
        <v>1527</v>
      </c>
      <c r="AI105" s="13"/>
      <c r="AJ105" s="13"/>
      <c r="AK105" s="13"/>
      <c r="AL105" s="13"/>
      <c r="AM105" s="13"/>
      <c r="AN105" s="13"/>
      <c r="AO105" s="28"/>
    </row>
    <row r="106" spans="1:41" s="10" customFormat="1" ht="23.25" customHeight="1">
      <c r="A106" s="4"/>
      <c r="B106" s="4"/>
      <c r="C106" s="4"/>
      <c r="D106" s="4"/>
      <c r="E106" s="11" t="s">
        <v>844</v>
      </c>
      <c r="F106" s="4"/>
      <c r="G106" s="4"/>
      <c r="H106" s="4"/>
      <c r="I106" s="4"/>
      <c r="J106" s="4"/>
      <c r="K106" s="4"/>
      <c r="L106" s="4"/>
      <c r="M106" s="4"/>
      <c r="AG106" s="13"/>
      <c r="AH106" s="14" t="s">
        <v>1527</v>
      </c>
      <c r="AI106" s="13"/>
      <c r="AJ106" s="13"/>
      <c r="AK106" s="13"/>
      <c r="AL106" s="13"/>
      <c r="AM106" s="13"/>
      <c r="AN106" s="13"/>
      <c r="AO106" s="28"/>
    </row>
    <row r="107" spans="1:41" s="10" customFormat="1" ht="23.25" customHeight="1">
      <c r="A107" s="4"/>
      <c r="B107" s="4"/>
      <c r="C107" s="4"/>
      <c r="D107" s="4"/>
      <c r="E107" s="11" t="s">
        <v>844</v>
      </c>
      <c r="F107" s="4"/>
      <c r="G107" s="4"/>
      <c r="H107" s="4"/>
      <c r="I107" s="4"/>
      <c r="J107" s="4"/>
      <c r="K107" s="4"/>
      <c r="L107" s="4"/>
      <c r="M107" s="4"/>
      <c r="N107" s="4"/>
      <c r="O107" s="6"/>
      <c r="P107" s="6"/>
      <c r="Q107" s="4"/>
      <c r="R107" s="7"/>
      <c r="S107" s="4"/>
      <c r="T107" s="4"/>
      <c r="U107" s="3" t="str">
        <f>"[" &amp; _xlfn.TEXTJOIN(", ", TRUE,
    IF(H107&lt;&gt;"", """" &amp; VJDBCore!I$1 &amp; """", ""),
    IF(I107&lt;&gt;"", """" &amp; VJDBCore!J$1 &amp; """", ""),
    IF(J107&lt;&gt;"", """" &amp; VJDBCore!K$1 &amp; """", ""),
    IF(K107&lt;&gt;"", """" &amp; VJDBCore!L$1 &amp; """", ""),
    IF(L107&lt;&gt;"", """" &amp; VJDBCore!M$1 &amp; """", ""),    IF(M107&lt;&gt;"", """" &amp; VJDBCore!N$1 &amp; """", ""),    IF(N107&lt;&gt;"", """" &amp; VJDBCore!O$1 &amp; """", ""),     IF(O107&lt;&gt;"", """" &amp; VJDBCore!P$1 &amp; """", ""),     IF(O107&lt;&gt;"", """" &amp; VJDBCore!P$1 &amp; """", ""),     IF(P107&lt;&gt;"", """" &amp; VJDBCore!Q$1 &amp; """", ""),
    IF(Q111&lt;&gt;"", """" &amp; Q111 &amp; """", ""),
    IF(R107&lt;&gt;"", """" &amp; R107 &amp; """", ""),
    IF(S107&lt;&gt;"", """" &amp; S107 &amp; """", "")
) &amp; "]"</f>
        <v>[]</v>
      </c>
      <c r="V107" s="12" t="s">
        <v>347</v>
      </c>
      <c r="W107" s="1" t="s">
        <v>1527</v>
      </c>
      <c r="X107" s="13"/>
      <c r="Y107" s="13"/>
      <c r="Z107" s="13"/>
      <c r="AA107" s="13"/>
      <c r="AB107" s="13"/>
      <c r="AC107" s="13"/>
      <c r="AD107" s="13"/>
      <c r="AE107" s="1" t="s">
        <v>1674</v>
      </c>
      <c r="AF107" s="1" t="s">
        <v>351</v>
      </c>
      <c r="AG107" s="13"/>
      <c r="AH107" s="14" t="s">
        <v>1527</v>
      </c>
      <c r="AI107" s="13"/>
      <c r="AJ107" s="13"/>
      <c r="AK107" s="13"/>
      <c r="AL107" s="13"/>
      <c r="AM107" s="13"/>
      <c r="AN107" s="13"/>
      <c r="AO107" s="28"/>
    </row>
    <row r="108" spans="1:41" s="10" customFormat="1" ht="23.25" customHeight="1">
      <c r="A108" s="4"/>
      <c r="B108" s="4"/>
      <c r="C108" s="4"/>
      <c r="D108" s="4"/>
      <c r="E108" s="11" t="s">
        <v>844</v>
      </c>
      <c r="F108" s="4"/>
      <c r="G108" s="4"/>
      <c r="H108" s="4"/>
      <c r="I108" s="4"/>
      <c r="J108" s="4"/>
      <c r="K108" s="4"/>
      <c r="L108" s="4"/>
      <c r="M108" s="4"/>
      <c r="N108" s="4"/>
      <c r="O108" s="6"/>
      <c r="P108" s="6"/>
      <c r="Q108" s="4"/>
      <c r="R108" s="7"/>
      <c r="S108" s="4"/>
      <c r="T108" s="4"/>
      <c r="U108" s="3" t="str">
        <f>"[" &amp; _xlfn.TEXTJOIN(", ", TRUE,
    IF(H108&lt;&gt;"", """" &amp; VJDBCore!I$1 &amp; """", ""),
    IF(I108&lt;&gt;"", """" &amp; VJDBCore!J$1 &amp; """", ""),
    IF(J108&lt;&gt;"", """" &amp; VJDBCore!K$1 &amp; """", ""),
    IF(K108&lt;&gt;"", """" &amp; VJDBCore!L$1 &amp; """", ""),
    IF(L108&lt;&gt;"", """" &amp; VJDBCore!M$1 &amp; """", ""),    IF(M108&lt;&gt;"", """" &amp; VJDBCore!N$1 &amp; """", ""),    IF(N108&lt;&gt;"", """" &amp; VJDBCore!O$1 &amp; """", ""),     IF(O108&lt;&gt;"", """" &amp; VJDBCore!P$1 &amp; """", ""),     IF(O108&lt;&gt;"", """" &amp; VJDBCore!P$1 &amp; """", ""),     IF(P108&lt;&gt;"", """" &amp; VJDBCore!Q$1 &amp; """", ""),
    IF(Q112&lt;&gt;"", """" &amp; Q112 &amp; """", ""),
    IF(R108&lt;&gt;"", """" &amp; R108 &amp; """", ""),
    IF(S108&lt;&gt;"", """" &amp; S108 &amp; """", "")
) &amp; "]"</f>
        <v>[]</v>
      </c>
      <c r="V108" s="12" t="s">
        <v>347</v>
      </c>
      <c r="W108" s="1" t="s">
        <v>1527</v>
      </c>
      <c r="X108" s="13"/>
      <c r="Y108" s="13"/>
      <c r="Z108" s="13"/>
      <c r="AA108" s="13"/>
      <c r="AB108" s="13"/>
      <c r="AC108" s="13"/>
      <c r="AD108" s="13"/>
      <c r="AE108" s="1" t="s">
        <v>64</v>
      </c>
      <c r="AF108" s="1" t="s">
        <v>1675</v>
      </c>
      <c r="AG108" s="13"/>
      <c r="AH108" s="14" t="s">
        <v>1527</v>
      </c>
      <c r="AI108" s="13"/>
      <c r="AJ108" s="13"/>
      <c r="AK108" s="13"/>
      <c r="AL108" s="13"/>
      <c r="AM108" s="13"/>
      <c r="AN108" s="13"/>
      <c r="AO108" s="28"/>
    </row>
    <row r="109" spans="1:41" s="10" customFormat="1" ht="23.25" customHeight="1">
      <c r="A109" s="4"/>
      <c r="B109" s="4"/>
      <c r="C109" s="4"/>
      <c r="D109" s="4"/>
      <c r="E109" s="11" t="s">
        <v>844</v>
      </c>
      <c r="F109" s="4"/>
      <c r="G109" s="4"/>
      <c r="H109" s="4"/>
      <c r="I109" s="4"/>
      <c r="J109" s="4"/>
      <c r="K109" s="4"/>
      <c r="L109" s="4"/>
      <c r="M109" s="4"/>
      <c r="N109" s="4" t="s">
        <v>1676</v>
      </c>
      <c r="O109" s="6"/>
      <c r="P109" s="6"/>
      <c r="Q109" s="4"/>
      <c r="R109" s="7"/>
      <c r="S109" s="4"/>
      <c r="T109" s="4"/>
      <c r="U109" s="3" t="str">
        <f>"[" &amp; _xlfn.TEXTJOIN(", ", TRUE,
    IF(H109&lt;&gt;"", """" &amp; VJDBCore!I$1 &amp; """", ""),
    IF(I109&lt;&gt;"", """" &amp; VJDBCore!J$1 &amp; """", ""),
    IF(J109&lt;&gt;"", """" &amp; VJDBCore!K$1 &amp; """", ""),
    IF(K109&lt;&gt;"", """" &amp; VJDBCore!L$1 &amp; """", ""),
    IF(L109&lt;&gt;"", """" &amp; VJDBCore!M$1 &amp; """", ""),    IF(M109&lt;&gt;"", """" &amp; VJDBCore!N$1 &amp; """", ""),    IF(N109&lt;&gt;"", """" &amp; VJDBCore!O$1 &amp; """", ""),     IF(O109&lt;&gt;"", """" &amp; VJDBCore!P$1 &amp; """", ""),     IF(O109&lt;&gt;"", """" &amp; VJDBCore!P$1 &amp; """", ""),     IF(P109&lt;&gt;"", """" &amp; VJDBCore!Q$1 &amp; """", ""),
    IF(Q113&lt;&gt;"", """" &amp; Q113 &amp; """", ""),
    IF(R109&lt;&gt;"", """" &amp; R109 &amp; """", ""),
    IF(S109&lt;&gt;"", """" &amp; S109 &amp; """", "")
) &amp; "]"</f>
        <v>["BV-BRC"]</v>
      </c>
      <c r="V109" s="12" t="s">
        <v>347</v>
      </c>
      <c r="W109" s="1" t="s">
        <v>1527</v>
      </c>
      <c r="X109" s="13"/>
      <c r="Y109" s="13"/>
      <c r="Z109" s="13"/>
      <c r="AA109" s="13"/>
      <c r="AB109" s="13"/>
      <c r="AC109" s="1" t="s">
        <v>1542</v>
      </c>
      <c r="AD109" s="1" t="s">
        <v>1542</v>
      </c>
      <c r="AE109" s="1" t="s">
        <v>1677</v>
      </c>
      <c r="AF109" s="1" t="s">
        <v>1060</v>
      </c>
      <c r="AG109" s="13"/>
      <c r="AH109" s="14" t="s">
        <v>1527</v>
      </c>
      <c r="AI109" s="13"/>
      <c r="AJ109" s="13"/>
      <c r="AK109" s="13"/>
      <c r="AL109" s="13"/>
      <c r="AM109" s="13"/>
      <c r="AN109" s="13"/>
      <c r="AO109" s="28"/>
    </row>
    <row r="110" spans="1:41" s="10" customFormat="1" ht="23.25" customHeight="1">
      <c r="A110" s="4"/>
      <c r="B110" s="4"/>
      <c r="C110" s="4"/>
      <c r="D110" s="4"/>
      <c r="E110" s="11" t="s">
        <v>844</v>
      </c>
      <c r="F110" s="4"/>
      <c r="G110" s="4"/>
      <c r="H110" s="4"/>
      <c r="I110" s="4"/>
      <c r="J110" s="4"/>
      <c r="K110" s="4"/>
      <c r="L110" s="4"/>
      <c r="M110" s="4"/>
      <c r="N110" s="4" t="s">
        <v>1678</v>
      </c>
      <c r="O110" s="6"/>
      <c r="P110" s="6"/>
      <c r="Q110" s="4"/>
      <c r="R110" s="7"/>
      <c r="S110" s="4"/>
      <c r="T110" s="4"/>
      <c r="U110" s="3" t="str">
        <f>"[" &amp; _xlfn.TEXTJOIN(", ", TRUE,
    IF(H110&lt;&gt;"", """" &amp; VJDBCore!I$1 &amp; """", ""),
    IF(I110&lt;&gt;"", """" &amp; VJDBCore!J$1 &amp; """", ""),
    IF(J110&lt;&gt;"", """" &amp; VJDBCore!K$1 &amp; """", ""),
    IF(K110&lt;&gt;"", """" &amp; VJDBCore!L$1 &amp; """", ""),
    IF(L110&lt;&gt;"", """" &amp; VJDBCore!M$1 &amp; """", ""),    IF(M110&lt;&gt;"", """" &amp; VJDBCore!N$1 &amp; """", ""),    IF(N110&lt;&gt;"", """" &amp; VJDBCore!O$1 &amp; """", ""),     IF(O110&lt;&gt;"", """" &amp; VJDBCore!P$1 &amp; """", ""),     IF(O110&lt;&gt;"", """" &amp; VJDBCore!P$1 &amp; """", ""),     IF(P110&lt;&gt;"", """" &amp; VJDBCore!Q$1 &amp; """", ""),
    IF(Q114&lt;&gt;"", """" &amp; Q114 &amp; """", ""),
    IF(R110&lt;&gt;"", """" &amp; R110 &amp; """", ""),
    IF(S110&lt;&gt;"", """" &amp; S110 &amp; """", "")
) &amp; "]"</f>
        <v>["BV-BRC"]</v>
      </c>
      <c r="V110" s="12" t="s">
        <v>347</v>
      </c>
      <c r="W110" s="1" t="s">
        <v>1527</v>
      </c>
      <c r="X110" s="13"/>
      <c r="Y110" s="13"/>
      <c r="Z110" s="13"/>
      <c r="AA110" s="13"/>
      <c r="AB110" s="13"/>
      <c r="AC110" s="1" t="s">
        <v>1027</v>
      </c>
      <c r="AD110" s="13"/>
      <c r="AE110" s="1" t="s">
        <v>1679</v>
      </c>
      <c r="AF110" s="1" t="s">
        <v>351</v>
      </c>
      <c r="AG110" s="13"/>
      <c r="AH110" s="14" t="s">
        <v>1527</v>
      </c>
      <c r="AI110" s="13"/>
      <c r="AJ110" s="13"/>
      <c r="AK110" s="13"/>
      <c r="AL110" s="13"/>
      <c r="AM110" s="13"/>
      <c r="AN110" s="13"/>
      <c r="AO110" s="28"/>
    </row>
    <row r="111" spans="1:41" s="10" customFormat="1" ht="23.25" customHeight="1">
      <c r="A111" s="4"/>
      <c r="B111" s="4"/>
      <c r="C111" s="4"/>
      <c r="D111" s="4"/>
      <c r="E111" s="11" t="s">
        <v>844</v>
      </c>
      <c r="F111" s="4"/>
      <c r="G111" s="4"/>
      <c r="H111" s="4"/>
      <c r="I111" s="4"/>
      <c r="J111" s="4"/>
      <c r="K111" s="4"/>
      <c r="L111" s="4"/>
      <c r="M111" s="4"/>
      <c r="N111" s="4"/>
      <c r="O111" s="6"/>
      <c r="P111" s="6"/>
      <c r="Q111" s="4"/>
      <c r="R111" s="7"/>
      <c r="S111" s="4"/>
      <c r="T111" s="4"/>
      <c r="U111" s="3" t="e">
        <f>"[" &amp; _xlfn.TEXTJOIN(", ", TRUE,
    IF(H111&lt;&gt;"", """" &amp; VJDBCore!I$1 &amp; """", ""),
    IF(I111&lt;&gt;"", """" &amp; VJDBCore!J$1 &amp; """", ""),
    IF(J111&lt;&gt;"", """" &amp; VJDBCore!K$1 &amp; """", ""),
    IF(K111&lt;&gt;"", """" &amp; VJDBCore!L$1 &amp; """", ""),
    IF(L111&lt;&gt;"", """" &amp; VJDBCore!M$1 &amp; """", ""),    IF(M111&lt;&gt;"", """" &amp; VJDBCore!N$1 &amp; """", ""),    IF(N111&lt;&gt;"", """" &amp; VJDBCore!O$1 &amp; """", ""),     IF(O111&lt;&gt;"", """" &amp; VJDBCore!P$1 &amp; """", ""),     IF(O111&lt;&gt;"", """" &amp; VJDBCore!P$1 &amp; """", ""),     IF(P111&lt;&gt;"", """" &amp; VJDBCore!Q$1 &amp; """", ""),
    IF(#REF!&lt;&gt;"", """" &amp;#REF! &amp; """", ""),
    IF(R111&lt;&gt;"", """" &amp; R111 &amp; """", ""),
    IF(S111&lt;&gt;"", """" &amp; S111 &amp; """", "")
) &amp; "]"</f>
        <v>#REF!</v>
      </c>
      <c r="V111" s="12" t="s">
        <v>347</v>
      </c>
      <c r="W111" s="1" t="s">
        <v>1527</v>
      </c>
      <c r="X111" s="13"/>
      <c r="Y111" s="13"/>
      <c r="Z111" s="13"/>
      <c r="AA111" s="13"/>
      <c r="AB111" s="13"/>
      <c r="AC111" s="13"/>
      <c r="AD111" s="13"/>
      <c r="AE111" s="1" t="s">
        <v>1679</v>
      </c>
      <c r="AF111" s="1" t="s">
        <v>351</v>
      </c>
      <c r="AG111" s="13"/>
      <c r="AH111" s="14" t="s">
        <v>1527</v>
      </c>
      <c r="AI111" s="13"/>
      <c r="AJ111" s="13"/>
      <c r="AK111" s="13"/>
      <c r="AL111" s="13"/>
      <c r="AM111" s="13"/>
      <c r="AN111" s="13"/>
      <c r="AO111" s="28"/>
    </row>
    <row r="112" spans="1:41" s="10" customFormat="1" ht="23.25" customHeight="1">
      <c r="A112" s="4"/>
      <c r="B112" s="4"/>
      <c r="C112" s="4"/>
      <c r="D112" s="4"/>
      <c r="E112" s="11" t="s">
        <v>844</v>
      </c>
      <c r="F112" s="4"/>
      <c r="G112" s="4"/>
      <c r="H112" s="4"/>
      <c r="I112" s="4"/>
      <c r="J112" s="4"/>
      <c r="K112" s="4"/>
      <c r="L112" s="4"/>
      <c r="M112" s="4"/>
      <c r="N112" s="4"/>
      <c r="O112" s="6"/>
      <c r="P112" s="6"/>
      <c r="Q112" s="4"/>
      <c r="R112" s="7"/>
      <c r="S112" s="4"/>
      <c r="T112" s="4"/>
      <c r="U112" s="3" t="e">
        <f>"[" &amp; _xlfn.TEXTJOIN(", ", TRUE,
    IF(H112&lt;&gt;"", """" &amp; VJDBCore!I$1 &amp; """", ""),
    IF(I112&lt;&gt;"", """" &amp; VJDBCore!J$1 &amp; """", ""),
    IF(J112&lt;&gt;"", """" &amp; VJDBCore!K$1 &amp; """", ""),
    IF(K112&lt;&gt;"", """" &amp; VJDBCore!L$1 &amp; """", ""),
    IF(L112&lt;&gt;"", """" &amp; VJDBCore!M$1 &amp; """", ""),    IF(M112&lt;&gt;"", """" &amp; VJDBCore!N$1 &amp; """", ""),    IF(N112&lt;&gt;"", """" &amp; VJDBCore!O$1 &amp; """", ""),     IF(O112&lt;&gt;"", """" &amp; VJDBCore!P$1 &amp; """", ""),     IF(O112&lt;&gt;"", """" &amp; VJDBCore!P$1 &amp; """", ""),     IF(P112&lt;&gt;"", """" &amp; VJDBCore!Q$1 &amp; """", ""),
    IF(#REF!&lt;&gt;"", """" &amp;#REF! &amp; """", ""),
    IF(R112&lt;&gt;"", """" &amp; R112 &amp; """", ""),
    IF(S112&lt;&gt;"", """" &amp; S112 &amp; """", "")
) &amp; "]"</f>
        <v>#REF!</v>
      </c>
      <c r="V112" s="12" t="s">
        <v>347</v>
      </c>
      <c r="W112" s="1" t="s">
        <v>1527</v>
      </c>
      <c r="X112" s="13"/>
      <c r="Y112" s="13"/>
      <c r="Z112" s="13"/>
      <c r="AA112" s="13"/>
      <c r="AB112" s="13"/>
      <c r="AC112" s="13"/>
      <c r="AD112" s="1" t="s">
        <v>1632</v>
      </c>
      <c r="AE112" s="1" t="s">
        <v>1680</v>
      </c>
      <c r="AF112" s="1" t="s">
        <v>372</v>
      </c>
      <c r="AG112" s="13"/>
      <c r="AH112" s="14" t="s">
        <v>1527</v>
      </c>
      <c r="AI112" s="13"/>
      <c r="AJ112" s="13"/>
      <c r="AK112" s="13"/>
      <c r="AL112" s="13"/>
      <c r="AM112" s="13"/>
      <c r="AN112" s="13"/>
      <c r="AO112" s="28"/>
    </row>
    <row r="113" spans="1:173" s="10" customFormat="1" ht="23.25" customHeight="1">
      <c r="A113" s="4"/>
      <c r="B113" s="4"/>
      <c r="C113" s="4"/>
      <c r="D113" s="4"/>
      <c r="E113" s="11" t="s">
        <v>844</v>
      </c>
      <c r="F113" s="4"/>
      <c r="G113" s="4"/>
      <c r="H113" s="4"/>
      <c r="I113" s="4"/>
      <c r="J113" s="4"/>
      <c r="K113" s="4"/>
      <c r="L113" s="4"/>
      <c r="M113" s="4"/>
      <c r="N113" s="4"/>
      <c r="O113" s="6"/>
      <c r="P113" s="6"/>
      <c r="Q113" s="4"/>
      <c r="R113" s="7"/>
      <c r="S113" s="4"/>
      <c r="T113" s="4"/>
      <c r="U113" s="3" t="e">
        <f>"[" &amp; _xlfn.TEXTJOIN(", ", TRUE,
    IF(H113&lt;&gt;"", """" &amp; VJDBCore!I$1 &amp; """", ""),
    IF(I113&lt;&gt;"", """" &amp; VJDBCore!J$1 &amp; """", ""),
    IF(J113&lt;&gt;"", """" &amp; VJDBCore!K$1 &amp; """", ""),
    IF(K113&lt;&gt;"", """" &amp; VJDBCore!L$1 &amp; """", ""),
    IF(L113&lt;&gt;"", """" &amp; VJDBCore!M$1 &amp; """", ""),    IF(M113&lt;&gt;"", """" &amp; VJDBCore!N$1 &amp; """", ""),    IF(N113&lt;&gt;"", """" &amp; VJDBCore!O$1 &amp; """", ""),     IF(O113&lt;&gt;"", """" &amp; VJDBCore!P$1 &amp; """", ""),     IF(O113&lt;&gt;"", """" &amp; VJDBCore!P$1 &amp; """", ""),     IF(P113&lt;&gt;"", """" &amp; VJDBCore!Q$1 &amp; """", ""),
    IF(#REF!&lt;&gt;"", """" &amp;#REF! &amp; """", ""),
    IF(R113&lt;&gt;"", """" &amp; R113 &amp; """", ""),
    IF(S113&lt;&gt;"", """" &amp; S113 &amp; """", "")
) &amp; "]"</f>
        <v>#REF!</v>
      </c>
      <c r="V113" s="12" t="s">
        <v>347</v>
      </c>
      <c r="W113" s="1" t="s">
        <v>1527</v>
      </c>
      <c r="X113" s="13"/>
      <c r="Y113" s="13"/>
      <c r="Z113" s="13"/>
      <c r="AA113" s="13"/>
      <c r="AB113" s="13"/>
      <c r="AC113" s="13"/>
      <c r="AD113" s="1" t="s">
        <v>1632</v>
      </c>
      <c r="AE113" s="1" t="s">
        <v>1681</v>
      </c>
      <c r="AF113" s="1" t="s">
        <v>372</v>
      </c>
      <c r="AG113" s="13"/>
      <c r="AH113" s="14" t="s">
        <v>1527</v>
      </c>
      <c r="AI113" s="13"/>
      <c r="AJ113" s="13"/>
      <c r="AK113" s="13"/>
      <c r="AL113" s="13"/>
      <c r="AM113" s="13"/>
      <c r="AN113" s="13"/>
      <c r="AO113" s="28"/>
    </row>
    <row r="114" spans="1:173" s="10" customFormat="1" ht="23.25" customHeight="1">
      <c r="A114" s="4"/>
      <c r="B114" s="4"/>
      <c r="C114" s="4"/>
      <c r="D114" s="4"/>
      <c r="E114" s="11" t="s">
        <v>844</v>
      </c>
      <c r="F114" s="4"/>
      <c r="G114" s="4"/>
      <c r="H114" s="4"/>
      <c r="I114" s="4"/>
      <c r="J114" s="4"/>
      <c r="K114" s="4"/>
      <c r="L114" s="4"/>
      <c r="M114" s="4"/>
      <c r="N114" s="4" t="s">
        <v>1682</v>
      </c>
      <c r="O114" s="6"/>
      <c r="P114" s="6"/>
      <c r="Q114" s="4"/>
      <c r="R114" s="7"/>
      <c r="S114" s="4"/>
      <c r="T114" s="4"/>
      <c r="U114" s="3" t="e">
        <f>"[" &amp; _xlfn.TEXTJOIN(", ", TRUE,
    IF(H114&lt;&gt;"", """" &amp; VJDBCore!I$1 &amp; """", ""),
    IF(I114&lt;&gt;"", """" &amp; VJDBCore!J$1 &amp; """", ""),
    IF(J114&lt;&gt;"", """" &amp; VJDBCore!K$1 &amp; """", ""),
    IF(K114&lt;&gt;"", """" &amp; VJDBCore!L$1 &amp; """", ""),
    IF(L114&lt;&gt;"", """" &amp; VJDBCore!M$1 &amp; """", ""),    IF(M114&lt;&gt;"", """" &amp; VJDBCore!N$1 &amp; """", ""),    IF(N114&lt;&gt;"", """" &amp; VJDBCore!O$1 &amp; """", ""),     IF(O114&lt;&gt;"", """" &amp; VJDBCore!P$1 &amp; """", ""),     IF(O114&lt;&gt;"", """" &amp; VJDBCore!P$1 &amp; """", ""),     IF(P114&lt;&gt;"", """" &amp; VJDBCore!Q$1 &amp; """", ""),
    IF(#REF!&lt;&gt;"", """" &amp;#REF! &amp; """", ""),
    IF(R114&lt;&gt;"", """" &amp; R114 &amp; """", ""),
    IF(S114&lt;&gt;"", """" &amp; S114 &amp; """", "")
) &amp; "]"</f>
        <v>#REF!</v>
      </c>
      <c r="V114" s="12" t="s">
        <v>347</v>
      </c>
      <c r="W114" s="1" t="s">
        <v>1527</v>
      </c>
      <c r="X114" s="13"/>
      <c r="Y114" s="13"/>
      <c r="Z114" s="13"/>
      <c r="AA114" s="13"/>
      <c r="AB114" s="13"/>
      <c r="AC114" s="1" t="s">
        <v>381</v>
      </c>
      <c r="AD114" s="13"/>
      <c r="AE114" s="13"/>
      <c r="AF114" s="13"/>
      <c r="AG114" s="13"/>
      <c r="AH114" s="14" t="s">
        <v>1527</v>
      </c>
      <c r="AI114" s="13"/>
      <c r="AJ114" s="13"/>
      <c r="AK114" s="13"/>
      <c r="AL114" s="13"/>
      <c r="AM114" s="13"/>
      <c r="AN114" s="13"/>
      <c r="AO114" s="28"/>
    </row>
    <row r="115" spans="1:173" s="10" customFormat="1" ht="23.25" customHeight="1">
      <c r="A115" s="34"/>
      <c r="B115" s="34"/>
      <c r="C115" s="34"/>
      <c r="D115" s="34"/>
      <c r="E115" s="34" t="s">
        <v>844</v>
      </c>
      <c r="F115" s="34"/>
      <c r="G115" s="34"/>
      <c r="H115" s="34"/>
      <c r="I115" s="34"/>
      <c r="J115" s="34"/>
      <c r="K115" s="34"/>
      <c r="L115" s="34"/>
      <c r="M115" s="34"/>
      <c r="N115" s="34"/>
      <c r="O115" s="34"/>
      <c r="P115" s="34"/>
      <c r="Q115" s="35"/>
      <c r="R115" s="35"/>
      <c r="S115" s="34"/>
      <c r="T115" s="34"/>
      <c r="U115" s="34"/>
      <c r="V115" s="34" t="str">
        <f>"[" &amp; _xlfn.TEXTJOIN(", ", TRUE,
    IF(H115&lt;&gt;"", """" &amp;#REF! &amp; """", ""),
    IF(I115&lt;&gt;"", """" &amp;#REF! &amp; """", ""),
    IF(J115&lt;&gt;"", """" &amp;#REF! &amp; """", ""),
    IF(K115&lt;&gt;"", """" &amp;#REF! &amp; """", ""),
    IF(L115&lt;&gt;"", """" &amp;#REF! &amp; """", ""),    IF(M115&lt;&gt;"", """" &amp;#REF! &amp; """", ""),    IF(N115&lt;&gt;"", """" &amp;#REF! &amp; """", ""),     IF(O115&lt;&gt;"", """" &amp;#REF! &amp; """", ""),     IF(P115&lt;&gt;"", """" &amp;#REF! &amp; """", ""),
    IF(S115&lt;&gt;"", """" &amp; S115 &amp; """", ""), IF(Q115&lt;&gt;"", """" &amp; Q115 &amp; """", ""), IF(R115&lt;&gt;"", """" &amp; R115 &amp; """", ""),
    IF(T115&lt;&gt;"", """" &amp; T115 &amp; """", ""),
    IF(U115&lt;&gt;"", """" &amp; U115 &amp; """", "")
) &amp; "]"</f>
        <v>[]</v>
      </c>
      <c r="W115" s="34" t="s">
        <v>8</v>
      </c>
      <c r="X115" s="34"/>
      <c r="Y115" s="34"/>
      <c r="Z115" s="36" t="s">
        <v>1683</v>
      </c>
      <c r="AA115" s="36" t="s">
        <v>1684</v>
      </c>
      <c r="AB115" s="34"/>
      <c r="AC115" s="34" t="s">
        <v>1527</v>
      </c>
      <c r="AD115" s="34"/>
      <c r="AE115" s="34"/>
      <c r="AF115" s="34"/>
      <c r="AG115" s="34"/>
      <c r="AH115" s="34"/>
      <c r="AI115" s="34"/>
      <c r="AJ115" s="34"/>
      <c r="AK115" s="34"/>
      <c r="AL115" s="34"/>
      <c r="AM115" s="34"/>
      <c r="AN115" s="34"/>
      <c r="AO115" s="34"/>
      <c r="AP115" s="34"/>
      <c r="AQ115" s="34"/>
      <c r="AR115" s="37"/>
      <c r="AS115" s="37"/>
      <c r="AT115" s="34"/>
      <c r="AU115" s="34"/>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K115" s="37"/>
      <c r="DL115" s="37"/>
      <c r="DM115" s="37"/>
      <c r="DN115" s="37"/>
      <c r="DO115" s="37"/>
      <c r="DP115" s="37"/>
      <c r="DQ115" s="37"/>
      <c r="DR115" s="37"/>
      <c r="DS115" s="37"/>
      <c r="DT115" s="37"/>
      <c r="DU115" s="37"/>
      <c r="DV115" s="37"/>
      <c r="DW115" s="37"/>
      <c r="DX115" s="37"/>
      <c r="DY115" s="37"/>
      <c r="DZ115" s="37"/>
      <c r="EA115" s="37"/>
      <c r="EB115" s="37"/>
      <c r="EC115" s="37"/>
      <c r="ED115" s="37"/>
      <c r="EE115" s="37"/>
      <c r="EF115" s="37"/>
      <c r="EG115" s="37"/>
      <c r="EH115" s="37"/>
      <c r="EI115" s="37"/>
      <c r="EJ115" s="37"/>
      <c r="EK115" s="37"/>
      <c r="EL115" s="37"/>
      <c r="EM115" s="37"/>
      <c r="EN115" s="37"/>
      <c r="EO115" s="37"/>
      <c r="EP115" s="37"/>
      <c r="EQ115" s="37"/>
      <c r="ER115" s="37"/>
      <c r="ES115" s="37"/>
      <c r="ET115" s="37"/>
      <c r="EU115" s="37"/>
      <c r="EV115" s="37"/>
      <c r="EW115" s="37"/>
      <c r="EX115" s="37"/>
      <c r="EY115" s="37"/>
      <c r="EZ115" s="37"/>
      <c r="FA115" s="37"/>
      <c r="FB115" s="37"/>
      <c r="FC115" s="37"/>
      <c r="FD115" s="37"/>
      <c r="FE115" s="37"/>
      <c r="FF115" s="37"/>
      <c r="FG115" s="37"/>
      <c r="FH115" s="37"/>
      <c r="FI115" s="37"/>
      <c r="FJ115" s="37"/>
      <c r="FK115" s="37"/>
      <c r="FL115" s="37"/>
      <c r="FM115" s="37"/>
      <c r="FN115" s="37"/>
      <c r="FO115" s="37"/>
      <c r="FP115" s="37"/>
      <c r="FQ115" s="37"/>
    </row>
    <row r="116" spans="1:173" s="10" customFormat="1" ht="23.25" customHeight="1">
      <c r="A116" s="34"/>
      <c r="B116" s="34"/>
      <c r="C116" s="34"/>
      <c r="D116" s="34"/>
      <c r="E116" s="34" t="s">
        <v>844</v>
      </c>
      <c r="F116" s="34"/>
      <c r="G116" s="34"/>
      <c r="H116" s="34"/>
      <c r="I116" s="34"/>
      <c r="J116" s="34"/>
      <c r="K116" s="34"/>
      <c r="L116" s="34"/>
      <c r="M116" s="36" t="s">
        <v>1685</v>
      </c>
      <c r="N116" s="34"/>
      <c r="O116" s="34"/>
      <c r="P116" s="34"/>
      <c r="Q116" s="35"/>
      <c r="R116" s="35"/>
      <c r="S116" s="34" t="s">
        <v>116</v>
      </c>
      <c r="T116" s="34"/>
      <c r="U116" s="34"/>
      <c r="V116" s="34" t="e">
        <f>"[" &amp; _xlfn.TEXTJOIN(", ", TRUE,
    IF(H116&lt;&gt;"", """" &amp;#REF! &amp; """", ""),
    IF(I116&lt;&gt;"", """" &amp;#REF! &amp; """", ""),
    IF(J116&lt;&gt;"", """" &amp;#REF! &amp; """", ""),
    IF(K116&lt;&gt;"", """" &amp;#REF! &amp; """", ""),
    IF(L116&lt;&gt;"", """" &amp;#REF! &amp; """", ""),    IF(M116&lt;&gt;"", """" &amp;#REF! &amp; """", ""),    IF(N116&lt;&gt;"", """" &amp;#REF! &amp; """", ""),     IF(O116&lt;&gt;"", """" &amp;#REF! &amp; """", ""),     IF(P116&lt;&gt;"", """" &amp;#REF! &amp; """", ""),
    IF(S116&lt;&gt;"", """" &amp; S116 &amp; """", ""), IF(Q116&lt;&gt;"", """" &amp; Q116 &amp; """", ""), IF(R116&lt;&gt;"", """" &amp; R116 &amp; """", ""),
    IF(T116&lt;&gt;"", """" &amp; T116 &amp; """", ""),
    IF(U116&lt;&gt;"", """" &amp; U116 &amp; """", "")
) &amp; "]"</f>
        <v>#REF!</v>
      </c>
      <c r="W116" s="34" t="s">
        <v>8</v>
      </c>
      <c r="X116" s="34"/>
      <c r="Y116" s="34"/>
      <c r="Z116" s="36" t="s">
        <v>1685</v>
      </c>
      <c r="AA116" s="36" t="s">
        <v>1686</v>
      </c>
      <c r="AB116" s="34"/>
      <c r="AC116" s="34" t="s">
        <v>1687</v>
      </c>
      <c r="AD116" s="34"/>
      <c r="AE116" s="34"/>
      <c r="AF116" s="34"/>
      <c r="AG116" s="34"/>
      <c r="AH116" s="34"/>
      <c r="AI116" s="34"/>
      <c r="AJ116" s="34"/>
      <c r="AK116" s="34"/>
      <c r="AL116" s="34"/>
      <c r="AM116" s="34"/>
      <c r="AN116" s="34"/>
      <c r="AO116" s="34"/>
      <c r="AP116" s="34"/>
      <c r="AQ116" s="34"/>
      <c r="AR116" s="37"/>
      <c r="AS116" s="37"/>
      <c r="AT116" s="34"/>
      <c r="AU116" s="34"/>
      <c r="AV116" s="37"/>
      <c r="AW116" s="37" t="s">
        <v>1688</v>
      </c>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c r="DO116" s="37"/>
      <c r="DP116" s="37"/>
      <c r="DQ116" s="37"/>
      <c r="DR116" s="37"/>
      <c r="DS116" s="37"/>
      <c r="DT116" s="37"/>
      <c r="DU116" s="37"/>
      <c r="DV116" s="37"/>
      <c r="DW116" s="37"/>
      <c r="DX116" s="37"/>
      <c r="DY116" s="37"/>
      <c r="DZ116" s="37"/>
      <c r="EA116" s="37"/>
      <c r="EB116" s="37"/>
      <c r="EC116" s="37"/>
      <c r="ED116" s="37"/>
      <c r="EE116" s="37"/>
      <c r="EF116" s="37"/>
      <c r="EG116" s="37"/>
      <c r="EH116" s="37"/>
      <c r="EI116" s="37"/>
      <c r="EJ116" s="37"/>
      <c r="EK116" s="37"/>
      <c r="EL116" s="37"/>
      <c r="EM116" s="37"/>
      <c r="EN116" s="37"/>
      <c r="EO116" s="37"/>
      <c r="EP116" s="37"/>
      <c r="EQ116" s="37"/>
      <c r="ER116" s="37"/>
      <c r="ES116" s="37"/>
      <c r="ET116" s="37"/>
      <c r="EU116" s="37"/>
      <c r="EV116" s="37"/>
      <c r="EW116" s="37"/>
      <c r="EX116" s="37"/>
      <c r="EY116" s="37"/>
      <c r="EZ116" s="37"/>
      <c r="FA116" s="37"/>
      <c r="FB116" s="37"/>
      <c r="FC116" s="37"/>
      <c r="FD116" s="37"/>
      <c r="FE116" s="37"/>
      <c r="FF116" s="37"/>
      <c r="FG116" s="37"/>
      <c r="FH116" s="37"/>
      <c r="FI116" s="37"/>
      <c r="FJ116" s="37"/>
      <c r="FK116" s="37"/>
      <c r="FL116" s="37"/>
      <c r="FM116" s="37"/>
      <c r="FN116" s="37"/>
      <c r="FO116" s="37"/>
      <c r="FP116" s="37"/>
      <c r="FQ116" s="37"/>
    </row>
    <row r="117" spans="1:173" s="10" customFormat="1" ht="23.25" customHeight="1">
      <c r="A117" s="34"/>
      <c r="B117" s="34"/>
      <c r="C117" s="34"/>
      <c r="D117" s="34"/>
      <c r="E117" s="34" t="s">
        <v>844</v>
      </c>
      <c r="F117" s="34"/>
      <c r="G117" s="34"/>
      <c r="H117" s="34"/>
      <c r="I117" s="34"/>
      <c r="J117" s="34"/>
      <c r="K117" s="34"/>
      <c r="L117" s="34"/>
      <c r="M117" s="34"/>
      <c r="N117" s="34"/>
      <c r="O117" s="34"/>
      <c r="P117" s="34"/>
      <c r="Q117" s="35"/>
      <c r="R117" s="35"/>
      <c r="S117" s="34" t="s">
        <v>288</v>
      </c>
      <c r="T117" s="34"/>
      <c r="U117" s="34"/>
      <c r="V117" s="34" t="str">
        <f>"[" &amp; _xlfn.TEXTJOIN(", ", TRUE,
    IF(H117&lt;&gt;"", """" &amp;#REF! &amp; """", ""),
    IF(I117&lt;&gt;"", """" &amp;#REF! &amp; """", ""),
    IF(J117&lt;&gt;"", """" &amp;#REF! &amp; """", ""),
    IF(K117&lt;&gt;"", """" &amp;#REF! &amp; """", ""),
    IF(L117&lt;&gt;"", """" &amp;#REF! &amp; """", ""),    IF(M117&lt;&gt;"", """" &amp;#REF! &amp; """", ""),    IF(N117&lt;&gt;"", """" &amp;#REF! &amp; """", ""),     IF(O117&lt;&gt;"", """" &amp;#REF! &amp; """", ""),     IF(P117&lt;&gt;"", """" &amp;#REF! &amp; """", ""),
    IF(S117&lt;&gt;"", """" &amp; S117 &amp; """", ""), IF(Q117&lt;&gt;"", """" &amp; Q117 &amp; """", ""), IF(R117&lt;&gt;"", """" &amp; R117 &amp; """", ""),
    IF(T117&lt;&gt;"", """" &amp; T117 &amp; """", ""),
    IF(U117&lt;&gt;"", """" &amp; U117 &amp; """", "")
) &amp; "]"</f>
        <v>["Analysis"]</v>
      </c>
      <c r="W117" s="34" t="s">
        <v>8</v>
      </c>
      <c r="X117" s="34"/>
      <c r="Y117" s="34"/>
      <c r="Z117" s="36" t="s">
        <v>1689</v>
      </c>
      <c r="AA117" s="36" t="s">
        <v>1690</v>
      </c>
      <c r="AB117" s="34"/>
      <c r="AC117" s="34" t="s">
        <v>1527</v>
      </c>
      <c r="AD117" s="34"/>
      <c r="AE117" s="34"/>
      <c r="AF117" s="34"/>
      <c r="AG117" s="34"/>
      <c r="AH117" s="34"/>
      <c r="AI117" s="34"/>
      <c r="AJ117" s="34"/>
      <c r="AK117" s="34"/>
      <c r="AL117" s="34"/>
      <c r="AM117" s="34"/>
      <c r="AN117" s="34"/>
      <c r="AO117" s="34"/>
      <c r="AP117" s="34"/>
      <c r="AQ117" s="34"/>
      <c r="AR117" s="37"/>
      <c r="AS117" s="37"/>
      <c r="AT117" s="34"/>
      <c r="AU117" s="34"/>
      <c r="AV117" s="37"/>
      <c r="AW117" s="37" t="s">
        <v>1688</v>
      </c>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c r="DL117" s="37"/>
      <c r="DM117" s="37"/>
      <c r="DN117" s="37"/>
      <c r="DO117" s="37"/>
      <c r="DP117" s="37"/>
      <c r="DQ117" s="37"/>
      <c r="DR117" s="37"/>
      <c r="DS117" s="37"/>
      <c r="DT117" s="37"/>
      <c r="DU117" s="37"/>
      <c r="DV117" s="37"/>
      <c r="DW117" s="37"/>
      <c r="DX117" s="37"/>
      <c r="DY117" s="37"/>
      <c r="DZ117" s="37"/>
      <c r="EA117" s="37"/>
      <c r="EB117" s="37"/>
      <c r="EC117" s="37"/>
      <c r="ED117" s="37"/>
      <c r="EE117" s="37"/>
      <c r="EF117" s="37"/>
      <c r="EG117" s="37"/>
      <c r="EH117" s="37"/>
      <c r="EI117" s="37"/>
      <c r="EJ117" s="37"/>
      <c r="EK117" s="37"/>
      <c r="EL117" s="37"/>
      <c r="EM117" s="37"/>
      <c r="EN117" s="37"/>
      <c r="EO117" s="37"/>
      <c r="EP117" s="37"/>
      <c r="EQ117" s="37"/>
      <c r="ER117" s="37"/>
      <c r="ES117" s="37"/>
      <c r="ET117" s="37"/>
      <c r="EU117" s="37"/>
      <c r="EV117" s="37"/>
      <c r="EW117" s="37"/>
      <c r="EX117" s="37"/>
      <c r="EY117" s="37"/>
      <c r="EZ117" s="37"/>
      <c r="FA117" s="37"/>
      <c r="FB117" s="37"/>
      <c r="FC117" s="37"/>
      <c r="FD117" s="37"/>
      <c r="FE117" s="37"/>
      <c r="FF117" s="37"/>
      <c r="FG117" s="37"/>
      <c r="FH117" s="37"/>
      <c r="FI117" s="37"/>
      <c r="FJ117" s="37"/>
      <c r="FK117" s="37"/>
      <c r="FL117" s="37"/>
      <c r="FM117" s="37"/>
      <c r="FN117" s="37"/>
      <c r="FO117" s="37"/>
      <c r="FP117" s="37"/>
      <c r="FQ117" s="37"/>
    </row>
    <row r="118" spans="1:173" s="10" customFormat="1" ht="23.25" customHeight="1">
      <c r="A118" s="38" t="s">
        <v>1691</v>
      </c>
      <c r="B118" s="39" t="s">
        <v>1692</v>
      </c>
      <c r="C118" s="38" t="s">
        <v>1693</v>
      </c>
      <c r="D118" s="38"/>
      <c r="E118" s="38" t="s">
        <v>870</v>
      </c>
      <c r="F118" s="39"/>
      <c r="G118" s="39"/>
      <c r="H118" s="39"/>
      <c r="I118" s="39"/>
      <c r="J118" s="39"/>
      <c r="K118" s="39"/>
      <c r="L118" s="39"/>
      <c r="M118" s="39"/>
      <c r="N118" s="39"/>
      <c r="O118" s="38" t="s">
        <v>1694</v>
      </c>
      <c r="P118" s="38" t="s">
        <v>1694</v>
      </c>
      <c r="Q118" s="40" t="s">
        <v>618</v>
      </c>
      <c r="R118" s="40" t="s">
        <v>619</v>
      </c>
      <c r="S118" s="39"/>
      <c r="T118" s="39"/>
      <c r="U118" s="39"/>
      <c r="V118" s="38" t="e">
        <f>"[" &amp; _xlfn.TEXTJOIN(", ", TRUE,
    IF(H118&lt;&gt;"", """" &amp;#REF! &amp; """", ""),
    IF(I118&lt;&gt;"", """" &amp;#REF! &amp; """", ""),
    IF(J118&lt;&gt;"", """" &amp;#REF! &amp; """", ""),
    IF(K118&lt;&gt;"", """" &amp;#REF! &amp; """", ""),
    IF(L118&lt;&gt;"", """" &amp;#REF! &amp; """", ""),    IF(M118&lt;&gt;"", """" &amp;#REF! &amp; """", ""),    IF(N118&lt;&gt;"", """" &amp;#REF! &amp; """", ""),     IF(O118&lt;&gt;"", """" &amp;#REF! &amp; """", ""),     IF(P118&lt;&gt;"", """" &amp;#REF! &amp; """", ""),
    IF(S118&lt;&gt;"", """" &amp; S118 &amp; """", ""), IF(Q118&lt;&gt;"", """" &amp; Q118 &amp; """", ""), IF(R118&lt;&gt;"", """" &amp; R118 &amp; """", ""),
    IF(T118&lt;&gt;"", """" &amp; T118 &amp; """", ""),
    IF(U118&lt;&gt;"", """" &amp; U118 &amp; """", "")
) &amp; "]"</f>
        <v>#REF!</v>
      </c>
      <c r="W118" s="39"/>
      <c r="X118" s="39"/>
      <c r="Y118" s="39"/>
      <c r="Z118" s="39"/>
      <c r="AA118" s="39"/>
      <c r="AB118" s="39"/>
      <c r="AC118" s="39"/>
      <c r="AD118" s="39"/>
      <c r="AE118" s="39"/>
      <c r="AF118" s="39"/>
      <c r="AG118" s="39"/>
      <c r="AH118" s="39"/>
      <c r="AI118" s="39"/>
      <c r="AJ118" s="38" t="s">
        <v>1695</v>
      </c>
      <c r="AK118" s="38"/>
      <c r="AL118" s="38"/>
      <c r="AM118" s="38" t="s">
        <v>1695</v>
      </c>
      <c r="AN118" s="38"/>
      <c r="AO118" s="38" t="s">
        <v>151</v>
      </c>
      <c r="AP118" s="38" t="s">
        <v>130</v>
      </c>
      <c r="AQ118" s="38" t="s">
        <v>130</v>
      </c>
      <c r="AR118" s="41" t="s">
        <v>64</v>
      </c>
      <c r="AS118" s="41" t="s">
        <v>72</v>
      </c>
      <c r="AT118" s="38" t="s">
        <v>1691</v>
      </c>
      <c r="AU118" s="39" t="s">
        <v>1692</v>
      </c>
      <c r="AV118" s="39"/>
      <c r="AW118" s="39" t="s">
        <v>1696</v>
      </c>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c r="BV118" s="39"/>
      <c r="BW118" s="39"/>
      <c r="BX118" s="39"/>
      <c r="BY118" s="39"/>
      <c r="BZ118" s="39"/>
      <c r="CA118" s="39"/>
      <c r="CB118" s="39"/>
      <c r="CC118" s="39"/>
      <c r="CD118" s="39"/>
      <c r="CE118" s="39"/>
      <c r="CF118" s="39"/>
      <c r="CG118" s="39"/>
      <c r="CH118" s="39"/>
      <c r="CI118" s="39"/>
      <c r="CJ118" s="39"/>
      <c r="CK118" s="39"/>
      <c r="CL118" s="39"/>
      <c r="CM118" s="39"/>
      <c r="CN118" s="39"/>
      <c r="CO118" s="39"/>
      <c r="CP118" s="39"/>
      <c r="CQ118" s="39"/>
      <c r="CR118" s="39"/>
      <c r="CS118" s="39"/>
      <c r="CT118" s="39"/>
      <c r="CU118" s="39"/>
      <c r="CV118" s="39"/>
      <c r="CW118" s="39"/>
      <c r="CX118" s="39"/>
      <c r="CY118" s="39"/>
      <c r="CZ118" s="39"/>
      <c r="DA118" s="39"/>
      <c r="DB118" s="39"/>
      <c r="DC118" s="39"/>
      <c r="DD118" s="39"/>
      <c r="DE118" s="39"/>
      <c r="DF118" s="39"/>
      <c r="DG118" s="39"/>
      <c r="DH118" s="39"/>
      <c r="DI118" s="39"/>
      <c r="DJ118" s="39"/>
      <c r="DK118" s="39"/>
      <c r="DL118" s="39"/>
      <c r="DM118" s="39"/>
      <c r="DN118" s="39"/>
      <c r="DO118" s="39"/>
      <c r="DP118" s="39"/>
      <c r="DQ118" s="39"/>
      <c r="DR118" s="39"/>
      <c r="DS118" s="39"/>
      <c r="DT118" s="39"/>
      <c r="DU118" s="39"/>
      <c r="DV118" s="39"/>
      <c r="DW118" s="39"/>
      <c r="DX118" s="39"/>
      <c r="DY118" s="39"/>
      <c r="DZ118" s="39"/>
      <c r="EA118" s="39"/>
      <c r="EB118" s="39"/>
      <c r="EC118" s="39"/>
      <c r="ED118" s="39"/>
      <c r="EE118" s="39"/>
      <c r="EF118" s="39"/>
      <c r="EG118" s="39"/>
      <c r="EH118" s="39"/>
      <c r="EI118" s="39"/>
      <c r="EJ118" s="39"/>
      <c r="EK118" s="39"/>
      <c r="EL118" s="39"/>
      <c r="EM118" s="39"/>
      <c r="EN118" s="39"/>
      <c r="EO118" s="39"/>
      <c r="EP118" s="39"/>
      <c r="EQ118" s="39"/>
      <c r="ER118" s="39"/>
      <c r="ES118" s="39"/>
      <c r="ET118" s="39"/>
      <c r="EU118" s="39"/>
      <c r="EV118" s="39"/>
      <c r="EW118" s="39"/>
      <c r="EX118" s="39"/>
      <c r="EY118" s="39"/>
      <c r="EZ118" s="39"/>
      <c r="FA118" s="39"/>
      <c r="FB118" s="39"/>
      <c r="FC118" s="39"/>
      <c r="FD118" s="39"/>
      <c r="FE118" s="39"/>
      <c r="FF118" s="39"/>
      <c r="FG118" s="39"/>
      <c r="FH118" s="39"/>
      <c r="FI118" s="39"/>
      <c r="FJ118" s="39"/>
      <c r="FK118" s="39"/>
      <c r="FL118" s="39"/>
      <c r="FM118" s="39"/>
      <c r="FN118" s="39"/>
      <c r="FO118" s="39"/>
      <c r="FP118" s="39"/>
      <c r="FQ118" s="39"/>
    </row>
    <row r="119" spans="1:173" s="10" customFormat="1" ht="23.25" customHeight="1">
      <c r="A119" s="38" t="s">
        <v>1697</v>
      </c>
      <c r="B119" s="39" t="s">
        <v>1698</v>
      </c>
      <c r="C119" s="38" t="s">
        <v>1699</v>
      </c>
      <c r="D119" s="38"/>
      <c r="E119" s="38" t="s">
        <v>870</v>
      </c>
      <c r="F119" s="39"/>
      <c r="G119" s="39"/>
      <c r="H119" s="39"/>
      <c r="I119" s="39"/>
      <c r="J119" s="39"/>
      <c r="K119" s="39"/>
      <c r="L119" s="39"/>
      <c r="M119" s="39"/>
      <c r="N119" s="39"/>
      <c r="O119" s="38" t="s">
        <v>1694</v>
      </c>
      <c r="P119" s="38" t="s">
        <v>1694</v>
      </c>
      <c r="Q119" s="40" t="s">
        <v>390</v>
      </c>
      <c r="R119" s="40" t="s">
        <v>391</v>
      </c>
      <c r="S119" s="39"/>
      <c r="T119" s="39"/>
      <c r="U119" s="39"/>
      <c r="V119" s="38" t="e">
        <f>"[" &amp; _xlfn.TEXTJOIN(", ", TRUE,
    IF(H119&lt;&gt;"", """" &amp;#REF! &amp; """", ""),
    IF(I119&lt;&gt;"", """" &amp;#REF! &amp; """", ""),
    IF(J119&lt;&gt;"", """" &amp;#REF! &amp; """", ""),
    IF(K119&lt;&gt;"", """" &amp;#REF! &amp; """", ""),
    IF(L119&lt;&gt;"", """" &amp;#REF! &amp; """", ""),    IF(M119&lt;&gt;"", """" &amp;#REF! &amp; """", ""),    IF(N119&lt;&gt;"", """" &amp;#REF! &amp; """", ""),     IF(O119&lt;&gt;"", """" &amp;#REF! &amp; """", ""),     IF(P119&lt;&gt;"", """" &amp;#REF! &amp; """", ""),
    IF(S119&lt;&gt;"", """" &amp; S119 &amp; """", ""), IF(Q119&lt;&gt;"", """" &amp; Q119 &amp; """", ""), IF(R119&lt;&gt;"", """" &amp; R119 &amp; """", ""),
    IF(T119&lt;&gt;"", """" &amp; T119 &amp; """", ""),
    IF(U119&lt;&gt;"", """" &amp; U119 &amp; """", "")
) &amp; "]"</f>
        <v>#REF!</v>
      </c>
      <c r="W119" s="39"/>
      <c r="X119" s="39"/>
      <c r="Y119" s="39"/>
      <c r="Z119" s="39"/>
      <c r="AA119" s="39"/>
      <c r="AB119" s="39"/>
      <c r="AC119" s="39"/>
      <c r="AD119" s="39"/>
      <c r="AE119" s="39"/>
      <c r="AF119" s="39"/>
      <c r="AG119" s="39"/>
      <c r="AH119" s="39"/>
      <c r="AI119" s="39"/>
      <c r="AJ119" s="38" t="s">
        <v>1700</v>
      </c>
      <c r="AK119" s="38"/>
      <c r="AL119" s="38"/>
      <c r="AM119" s="38" t="s">
        <v>1700</v>
      </c>
      <c r="AN119" s="38"/>
      <c r="AO119" s="38" t="s">
        <v>151</v>
      </c>
      <c r="AP119" s="38" t="s">
        <v>130</v>
      </c>
      <c r="AQ119" s="38" t="s">
        <v>130</v>
      </c>
      <c r="AR119" s="41" t="s">
        <v>64</v>
      </c>
      <c r="AS119" s="41" t="s">
        <v>72</v>
      </c>
      <c r="AT119" s="38" t="s">
        <v>1697</v>
      </c>
      <c r="AU119" s="39" t="s">
        <v>1698</v>
      </c>
      <c r="AV119" s="39"/>
      <c r="AW119" s="39" t="s">
        <v>1696</v>
      </c>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c r="EM119" s="39"/>
      <c r="EN119" s="39"/>
      <c r="EO119" s="39"/>
      <c r="EP119" s="39"/>
      <c r="EQ119" s="39"/>
      <c r="ER119" s="39"/>
      <c r="ES119" s="39"/>
      <c r="ET119" s="39"/>
      <c r="EU119" s="39"/>
      <c r="EV119" s="39"/>
      <c r="EW119" s="39"/>
      <c r="EX119" s="39"/>
      <c r="EY119" s="39"/>
      <c r="EZ119" s="39"/>
      <c r="FA119" s="39"/>
      <c r="FB119" s="39"/>
      <c r="FC119" s="39"/>
      <c r="FD119" s="39"/>
      <c r="FE119" s="39"/>
      <c r="FF119" s="39"/>
      <c r="FG119" s="39"/>
      <c r="FH119" s="39"/>
      <c r="FI119" s="39"/>
      <c r="FJ119" s="39"/>
      <c r="FK119" s="39"/>
      <c r="FL119" s="39"/>
      <c r="FM119" s="39"/>
      <c r="FN119" s="39"/>
      <c r="FO119" s="39"/>
      <c r="FP119" s="39"/>
      <c r="FQ119" s="39"/>
    </row>
    <row r="120" spans="1:173" s="10" customFormat="1" ht="23.25" customHeight="1">
      <c r="A120" s="38" t="s">
        <v>1701</v>
      </c>
      <c r="B120" s="39" t="s">
        <v>1702</v>
      </c>
      <c r="C120" s="38" t="s">
        <v>1703</v>
      </c>
      <c r="D120" s="38"/>
      <c r="E120" s="38" t="s">
        <v>870</v>
      </c>
      <c r="F120" s="39"/>
      <c r="G120" s="39"/>
      <c r="H120" s="39"/>
      <c r="I120" s="39"/>
      <c r="J120" s="39"/>
      <c r="K120" s="39"/>
      <c r="L120" s="39"/>
      <c r="M120" s="39"/>
      <c r="N120" s="39"/>
      <c r="O120" s="38" t="s">
        <v>1694</v>
      </c>
      <c r="P120" s="38" t="s">
        <v>1694</v>
      </c>
      <c r="Q120" s="40" t="s">
        <v>920</v>
      </c>
      <c r="R120" s="40" t="s">
        <v>921</v>
      </c>
      <c r="S120" s="39"/>
      <c r="T120" s="39"/>
      <c r="U120" s="39"/>
      <c r="V120" s="38" t="e">
        <f>"[" &amp; _xlfn.TEXTJOIN(", ", TRUE,
    IF(H120&lt;&gt;"", """" &amp;#REF! &amp; """", ""),
    IF(I120&lt;&gt;"", """" &amp;#REF! &amp; """", ""),
    IF(J120&lt;&gt;"", """" &amp;#REF! &amp; """", ""),
    IF(K120&lt;&gt;"", """" &amp;#REF! &amp; """", ""),
    IF(L120&lt;&gt;"", """" &amp;#REF! &amp; """", ""),    IF(M120&lt;&gt;"", """" &amp;#REF! &amp; """", ""),    IF(N120&lt;&gt;"", """" &amp;#REF! &amp; """", ""),     IF(O120&lt;&gt;"", """" &amp;#REF! &amp; """", ""),     IF(P120&lt;&gt;"", """" &amp;#REF! &amp; """", ""),
    IF(S120&lt;&gt;"", """" &amp; S120 &amp; """", ""), IF(Q120&lt;&gt;"", """" &amp; Q120 &amp; """", ""), IF(R120&lt;&gt;"", """" &amp; R120 &amp; """", ""),
    IF(T120&lt;&gt;"", """" &amp; T120 &amp; """", ""),
    IF(U120&lt;&gt;"", """" &amp; U120 &amp; """", "")
) &amp; "]"</f>
        <v>#REF!</v>
      </c>
      <c r="W120" s="39"/>
      <c r="X120" s="39"/>
      <c r="Y120" s="39"/>
      <c r="Z120" s="39"/>
      <c r="AA120" s="39"/>
      <c r="AB120" s="39"/>
      <c r="AC120" s="39"/>
      <c r="AD120" s="39"/>
      <c r="AE120" s="39"/>
      <c r="AF120" s="39"/>
      <c r="AG120" s="39"/>
      <c r="AH120" s="39"/>
      <c r="AI120" s="39"/>
      <c r="AJ120" s="38" t="s">
        <v>1704</v>
      </c>
      <c r="AK120" s="38"/>
      <c r="AL120" s="38"/>
      <c r="AM120" s="38" t="s">
        <v>1704</v>
      </c>
      <c r="AN120" s="38"/>
      <c r="AO120" s="38" t="s">
        <v>151</v>
      </c>
      <c r="AP120" s="38" t="s">
        <v>130</v>
      </c>
      <c r="AQ120" s="38" t="s">
        <v>130</v>
      </c>
      <c r="AR120" s="41" t="s">
        <v>64</v>
      </c>
      <c r="AS120" s="41" t="s">
        <v>72</v>
      </c>
      <c r="AT120" s="38" t="s">
        <v>1701</v>
      </c>
      <c r="AU120" s="39" t="s">
        <v>1702</v>
      </c>
      <c r="AV120" s="39"/>
      <c r="AW120" s="39" t="s">
        <v>1705</v>
      </c>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c r="CW120" s="39"/>
      <c r="CX120" s="39"/>
      <c r="CY120" s="39"/>
      <c r="CZ120" s="39"/>
      <c r="DA120" s="39"/>
      <c r="DB120" s="39"/>
      <c r="DC120" s="39"/>
      <c r="DD120" s="39"/>
      <c r="DE120" s="39"/>
      <c r="DF120" s="39"/>
      <c r="DG120" s="39"/>
      <c r="DH120" s="39"/>
      <c r="DI120" s="39"/>
      <c r="DJ120" s="39"/>
      <c r="DK120" s="39"/>
      <c r="DL120" s="39"/>
      <c r="DM120" s="39"/>
      <c r="DN120" s="39"/>
      <c r="DO120" s="39"/>
      <c r="DP120" s="39"/>
      <c r="DQ120" s="39"/>
      <c r="DR120" s="39"/>
      <c r="DS120" s="39"/>
      <c r="DT120" s="39"/>
      <c r="DU120" s="39"/>
      <c r="DV120" s="39"/>
      <c r="DW120" s="39"/>
      <c r="DX120" s="39"/>
      <c r="DY120" s="39"/>
      <c r="DZ120" s="39"/>
      <c r="EA120" s="39"/>
      <c r="EB120" s="39"/>
      <c r="EC120" s="39"/>
      <c r="ED120" s="39"/>
      <c r="EE120" s="39"/>
      <c r="EF120" s="39"/>
      <c r="EG120" s="39"/>
      <c r="EH120" s="39"/>
      <c r="EI120" s="39"/>
      <c r="EJ120" s="39"/>
      <c r="EK120" s="39"/>
      <c r="EL120" s="39"/>
      <c r="EM120" s="39"/>
      <c r="EN120" s="39"/>
      <c r="EO120" s="39"/>
      <c r="EP120" s="39"/>
      <c r="EQ120" s="39"/>
      <c r="ER120" s="39"/>
      <c r="ES120" s="39"/>
      <c r="ET120" s="39"/>
      <c r="EU120" s="39"/>
      <c r="EV120" s="39"/>
      <c r="EW120" s="39"/>
      <c r="EX120" s="39"/>
      <c r="EY120" s="39"/>
      <c r="EZ120" s="39"/>
      <c r="FA120" s="39"/>
      <c r="FB120" s="39"/>
      <c r="FC120" s="39"/>
      <c r="FD120" s="39"/>
      <c r="FE120" s="39"/>
      <c r="FF120" s="39"/>
      <c r="FG120" s="39"/>
      <c r="FH120" s="39"/>
      <c r="FI120" s="39"/>
      <c r="FJ120" s="39"/>
      <c r="FK120" s="39"/>
      <c r="FL120" s="39"/>
      <c r="FM120" s="39"/>
      <c r="FN120" s="39"/>
      <c r="FO120" s="39"/>
      <c r="FP120" s="39"/>
      <c r="FQ120" s="39"/>
    </row>
    <row r="121" spans="1:173" s="10" customFormat="1" ht="23.25" customHeight="1">
      <c r="A121" s="38" t="s">
        <v>1706</v>
      </c>
      <c r="B121" s="39" t="s">
        <v>1707</v>
      </c>
      <c r="C121" s="38" t="s">
        <v>1708</v>
      </c>
      <c r="D121" s="38"/>
      <c r="E121" s="38" t="s">
        <v>870</v>
      </c>
      <c r="F121" s="39"/>
      <c r="G121" s="39"/>
      <c r="H121" s="39"/>
      <c r="I121" s="39"/>
      <c r="J121" s="39"/>
      <c r="K121" s="39"/>
      <c r="L121" s="39"/>
      <c r="M121" s="39"/>
      <c r="N121" s="39"/>
      <c r="O121" s="38" t="s">
        <v>1694</v>
      </c>
      <c r="P121" s="38" t="s">
        <v>1694</v>
      </c>
      <c r="Q121" s="40" t="s">
        <v>125</v>
      </c>
      <c r="R121" s="40" t="s">
        <v>126</v>
      </c>
      <c r="S121" s="39"/>
      <c r="T121" s="39"/>
      <c r="U121" s="39"/>
      <c r="V121" s="38" t="e">
        <f>"[" &amp; _xlfn.TEXTJOIN(", ", TRUE,
    IF(H121&lt;&gt;"", """" &amp;#REF! &amp; """", ""),
    IF(I121&lt;&gt;"", """" &amp;#REF! &amp; """", ""),
    IF(J121&lt;&gt;"", """" &amp;#REF! &amp; """", ""),
    IF(K121&lt;&gt;"", """" &amp;#REF! &amp; """", ""),
    IF(L121&lt;&gt;"", """" &amp;#REF! &amp; """", ""),    IF(M121&lt;&gt;"", """" &amp;#REF! &amp; """", ""),    IF(N121&lt;&gt;"", """" &amp;#REF! &amp; """", ""),     IF(O121&lt;&gt;"", """" &amp;#REF! &amp; """", ""),     IF(P121&lt;&gt;"", """" &amp;#REF! &amp; """", ""),
    IF(S121&lt;&gt;"", """" &amp; S121 &amp; """", ""), IF(Q121&lt;&gt;"", """" &amp; Q121 &amp; """", ""), IF(R121&lt;&gt;"", """" &amp; R121 &amp; """", ""),
    IF(T121&lt;&gt;"", """" &amp; T121 &amp; """", ""),
    IF(U121&lt;&gt;"", """" &amp; U121 &amp; """", "")
) &amp; "]"</f>
        <v>#REF!</v>
      </c>
      <c r="W121" s="39"/>
      <c r="X121" s="39"/>
      <c r="Y121" s="39"/>
      <c r="Z121" s="39"/>
      <c r="AA121" s="39"/>
      <c r="AB121" s="39"/>
      <c r="AC121" s="39"/>
      <c r="AD121" s="39"/>
      <c r="AE121" s="39"/>
      <c r="AF121" s="39"/>
      <c r="AG121" s="39"/>
      <c r="AH121" s="39"/>
      <c r="AI121" s="39"/>
      <c r="AJ121" s="38" t="s">
        <v>1709</v>
      </c>
      <c r="AK121" s="38"/>
      <c r="AL121" s="38"/>
      <c r="AM121" s="38" t="s">
        <v>1704</v>
      </c>
      <c r="AN121" s="38"/>
      <c r="AO121" s="38" t="s">
        <v>151</v>
      </c>
      <c r="AP121" s="38" t="s">
        <v>130</v>
      </c>
      <c r="AQ121" s="38" t="s">
        <v>130</v>
      </c>
      <c r="AR121" s="41" t="s">
        <v>64</v>
      </c>
      <c r="AS121" s="41" t="s">
        <v>72</v>
      </c>
      <c r="AT121" s="38" t="s">
        <v>1706</v>
      </c>
      <c r="AU121" s="39" t="s">
        <v>1707</v>
      </c>
      <c r="AV121" s="39"/>
      <c r="AW121" s="39" t="s">
        <v>1696</v>
      </c>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39"/>
      <c r="BY121" s="39"/>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39"/>
      <c r="DA121" s="39"/>
      <c r="DB121" s="39"/>
      <c r="DC121" s="39"/>
      <c r="DD121" s="39"/>
      <c r="DE121" s="39"/>
      <c r="DF121" s="39"/>
      <c r="DG121" s="39"/>
      <c r="DH121" s="39"/>
      <c r="DI121" s="39"/>
      <c r="DJ121" s="39"/>
      <c r="DK121" s="39"/>
      <c r="DL121" s="39"/>
      <c r="DM121" s="39"/>
      <c r="DN121" s="39"/>
      <c r="DO121" s="39"/>
      <c r="DP121" s="39"/>
      <c r="DQ121" s="39"/>
      <c r="DR121" s="39"/>
      <c r="DS121" s="39"/>
      <c r="DT121" s="39"/>
      <c r="DU121" s="39"/>
      <c r="DV121" s="39"/>
      <c r="DW121" s="39"/>
      <c r="DX121" s="39"/>
      <c r="DY121" s="39"/>
      <c r="DZ121" s="39"/>
      <c r="EA121" s="39"/>
      <c r="EB121" s="39"/>
      <c r="EC121" s="39"/>
      <c r="ED121" s="39"/>
      <c r="EE121" s="39"/>
      <c r="EF121" s="39"/>
      <c r="EG121" s="39"/>
      <c r="EH121" s="39"/>
      <c r="EI121" s="39"/>
      <c r="EJ121" s="39"/>
      <c r="EK121" s="39"/>
      <c r="EL121" s="39"/>
      <c r="EM121" s="39"/>
      <c r="EN121" s="39"/>
      <c r="EO121" s="39"/>
      <c r="EP121" s="39"/>
      <c r="EQ121" s="39"/>
      <c r="ER121" s="39"/>
      <c r="ES121" s="39"/>
      <c r="ET121" s="39"/>
      <c r="EU121" s="39"/>
      <c r="EV121" s="39"/>
      <c r="EW121" s="39"/>
      <c r="EX121" s="39"/>
      <c r="EY121" s="39"/>
      <c r="EZ121" s="39"/>
      <c r="FA121" s="39"/>
      <c r="FB121" s="39"/>
      <c r="FC121" s="39"/>
      <c r="FD121" s="39"/>
      <c r="FE121" s="39"/>
      <c r="FF121" s="39"/>
      <c r="FG121" s="39"/>
      <c r="FH121" s="39"/>
      <c r="FI121" s="39"/>
      <c r="FJ121" s="39"/>
      <c r="FK121" s="39"/>
      <c r="FL121" s="39"/>
      <c r="FM121" s="39"/>
      <c r="FN121" s="39"/>
      <c r="FO121" s="39"/>
      <c r="FP121" s="39"/>
      <c r="FQ121" s="39"/>
    </row>
    <row r="122" spans="1:173" s="10" customFormat="1" ht="23.25" customHeight="1">
      <c r="A122" s="38" t="s">
        <v>1697</v>
      </c>
      <c r="B122" s="39" t="s">
        <v>1698</v>
      </c>
      <c r="C122" s="38" t="s">
        <v>1710</v>
      </c>
      <c r="D122" s="38"/>
      <c r="E122" s="38" t="s">
        <v>65</v>
      </c>
      <c r="F122" s="39"/>
      <c r="G122" s="39"/>
      <c r="H122" s="39"/>
      <c r="I122" s="39"/>
      <c r="J122" s="39"/>
      <c r="K122" s="39"/>
      <c r="L122" s="39"/>
      <c r="M122" s="39"/>
      <c r="N122" s="39"/>
      <c r="O122" s="38" t="s">
        <v>1697</v>
      </c>
      <c r="P122" s="38" t="s">
        <v>1697</v>
      </c>
      <c r="Q122" s="40" t="s">
        <v>920</v>
      </c>
      <c r="R122" s="40" t="s">
        <v>921</v>
      </c>
      <c r="S122" s="39"/>
      <c r="T122" s="39"/>
      <c r="U122" s="39"/>
      <c r="V122" s="38" t="e">
        <f>"[" &amp; _xlfn.TEXTJOIN(", ", TRUE,
    IF(H122&lt;&gt;"", """" &amp;#REF! &amp; """", ""),
    IF(I122&lt;&gt;"", """" &amp;#REF! &amp; """", ""),
    IF(J122&lt;&gt;"", """" &amp;#REF! &amp; """", ""),
    IF(K122&lt;&gt;"", """" &amp;#REF! &amp; """", ""),
    IF(L122&lt;&gt;"", """" &amp;#REF! &amp; """", ""),    IF(M122&lt;&gt;"", """" &amp;#REF! &amp; """", ""),    IF(N122&lt;&gt;"", """" &amp;#REF! &amp; """", ""),     IF(O122&lt;&gt;"", """" &amp;#REF! &amp; """", ""),     IF(P122&lt;&gt;"", """" &amp;#REF! &amp; """", ""),
    IF(S122&lt;&gt;"", """" &amp; S122 &amp; """", ""), IF(Q122&lt;&gt;"", """" &amp; Q122 &amp; """", ""), IF(R122&lt;&gt;"", """" &amp; R122 &amp; """", ""),
    IF(T122&lt;&gt;"", """" &amp; T122 &amp; """", ""),
    IF(U122&lt;&gt;"", """" &amp; U122 &amp; """", "")
) &amp; "]"</f>
        <v>#REF!</v>
      </c>
      <c r="W122" s="39"/>
      <c r="X122" s="39"/>
      <c r="Y122" s="39"/>
      <c r="Z122" s="39"/>
      <c r="AA122" s="39"/>
      <c r="AB122" s="39"/>
      <c r="AC122" s="39"/>
      <c r="AD122" s="39"/>
      <c r="AE122" s="39"/>
      <c r="AF122" s="39"/>
      <c r="AG122" s="39"/>
      <c r="AH122" s="39"/>
      <c r="AI122" s="39"/>
      <c r="AJ122" s="38" t="s">
        <v>1710</v>
      </c>
      <c r="AK122" s="38"/>
      <c r="AL122" s="38"/>
      <c r="AM122" s="38" t="s">
        <v>1710</v>
      </c>
      <c r="AN122" s="38"/>
      <c r="AO122" s="38" t="s">
        <v>151</v>
      </c>
      <c r="AP122" s="38" t="s">
        <v>130</v>
      </c>
      <c r="AQ122" s="38" t="s">
        <v>130</v>
      </c>
      <c r="AR122" s="41" t="s">
        <v>64</v>
      </c>
      <c r="AS122" s="41" t="s">
        <v>72</v>
      </c>
      <c r="AT122" s="38" t="s">
        <v>1697</v>
      </c>
      <c r="AU122" s="39" t="s">
        <v>1698</v>
      </c>
      <c r="AV122" s="39"/>
      <c r="AW122" s="39" t="s">
        <v>1696</v>
      </c>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c r="BV122" s="39"/>
      <c r="BW122" s="39"/>
      <c r="BX122" s="39"/>
      <c r="BY122" s="39"/>
      <c r="BZ122" s="39"/>
      <c r="CA122" s="39"/>
      <c r="CB122" s="39"/>
      <c r="CC122" s="39"/>
      <c r="CD122" s="39"/>
      <c r="CE122" s="39"/>
      <c r="CF122" s="39"/>
      <c r="CG122" s="39"/>
      <c r="CH122" s="39"/>
      <c r="CI122" s="39"/>
      <c r="CJ122" s="39"/>
      <c r="CK122" s="39"/>
      <c r="CL122" s="39"/>
      <c r="CM122" s="39"/>
      <c r="CN122" s="39"/>
      <c r="CO122" s="39"/>
      <c r="CP122" s="39"/>
      <c r="CQ122" s="39"/>
      <c r="CR122" s="39"/>
      <c r="CS122" s="39"/>
      <c r="CT122" s="39"/>
      <c r="CU122" s="39"/>
      <c r="CV122" s="39"/>
      <c r="CW122" s="39"/>
      <c r="CX122" s="39"/>
      <c r="CY122" s="39"/>
      <c r="CZ122" s="39"/>
      <c r="DA122" s="39"/>
      <c r="DB122" s="39"/>
      <c r="DC122" s="39"/>
      <c r="DD122" s="39"/>
      <c r="DE122" s="39"/>
      <c r="DF122" s="39"/>
      <c r="DG122" s="39"/>
      <c r="DH122" s="39"/>
      <c r="DI122" s="39"/>
      <c r="DJ122" s="39"/>
      <c r="DK122" s="39"/>
      <c r="DL122" s="39"/>
      <c r="DM122" s="39"/>
      <c r="DN122" s="39"/>
      <c r="DO122" s="39"/>
      <c r="DP122" s="39"/>
      <c r="DQ122" s="39"/>
      <c r="DR122" s="39"/>
      <c r="DS122" s="39"/>
      <c r="DT122" s="39"/>
      <c r="DU122" s="39"/>
      <c r="DV122" s="39"/>
      <c r="DW122" s="39"/>
      <c r="DX122" s="39"/>
      <c r="DY122" s="39"/>
      <c r="DZ122" s="39"/>
      <c r="EA122" s="39"/>
      <c r="EB122" s="39"/>
      <c r="EC122" s="39"/>
      <c r="ED122" s="39"/>
      <c r="EE122" s="39"/>
      <c r="EF122" s="39"/>
      <c r="EG122" s="39"/>
      <c r="EH122" s="39"/>
      <c r="EI122" s="39"/>
      <c r="EJ122" s="39"/>
      <c r="EK122" s="39"/>
      <c r="EL122" s="39"/>
      <c r="EM122" s="39"/>
      <c r="EN122" s="39"/>
      <c r="EO122" s="39"/>
      <c r="EP122" s="39"/>
      <c r="EQ122" s="39"/>
      <c r="ER122" s="39"/>
      <c r="ES122" s="39"/>
      <c r="ET122" s="39"/>
      <c r="EU122" s="39"/>
      <c r="EV122" s="39"/>
      <c r="EW122" s="39"/>
      <c r="EX122" s="39"/>
      <c r="EY122" s="39"/>
      <c r="EZ122" s="39"/>
      <c r="FA122" s="39"/>
      <c r="FB122" s="39"/>
      <c r="FC122" s="39"/>
      <c r="FD122" s="39"/>
      <c r="FE122" s="39"/>
      <c r="FF122" s="39"/>
      <c r="FG122" s="39"/>
      <c r="FH122" s="39"/>
      <c r="FI122" s="39"/>
      <c r="FJ122" s="39"/>
      <c r="FK122" s="39"/>
      <c r="FL122" s="39"/>
      <c r="FM122" s="39"/>
      <c r="FN122" s="39"/>
      <c r="FO122" s="39"/>
      <c r="FP122" s="39"/>
      <c r="FQ122" s="39"/>
    </row>
    <row r="123" spans="1:173" s="10" customFormat="1" ht="23.25" customHeight="1">
      <c r="A123" s="32" t="s">
        <v>1711</v>
      </c>
      <c r="B123" s="42" t="s">
        <v>1712</v>
      </c>
      <c r="C123" s="32" t="s">
        <v>1713</v>
      </c>
      <c r="D123" s="32"/>
      <c r="E123" s="32" t="s">
        <v>870</v>
      </c>
      <c r="F123" s="42"/>
      <c r="G123" s="42"/>
      <c r="H123" s="42"/>
      <c r="I123" s="42"/>
      <c r="J123" s="42"/>
      <c r="K123" s="42"/>
      <c r="L123" s="42"/>
      <c r="M123" s="42"/>
      <c r="N123" s="42"/>
      <c r="O123" s="32" t="s">
        <v>1711</v>
      </c>
      <c r="P123" s="32" t="s">
        <v>1711</v>
      </c>
      <c r="Q123" s="43" t="s">
        <v>618</v>
      </c>
      <c r="R123" s="43" t="s">
        <v>619</v>
      </c>
      <c r="S123" s="42"/>
      <c r="T123" s="42"/>
      <c r="U123" s="42"/>
      <c r="V123" s="32" t="e">
        <f>"[" &amp; _xlfn.TEXTJOIN(", ", TRUE,
    IF(H123&lt;&gt;"", """" &amp;#REF! &amp; """", ""),
    IF(I123&lt;&gt;"", """" &amp;#REF! &amp; """", ""),
    IF(J123&lt;&gt;"", """" &amp;#REF! &amp; """", ""),
    IF(K123&lt;&gt;"", """" &amp;#REF! &amp; """", ""),
    IF(L123&lt;&gt;"", """" &amp;#REF! &amp; """", ""),    IF(M123&lt;&gt;"", """" &amp;#REF! &amp; """", ""),    IF(N123&lt;&gt;"", """" &amp;#REF! &amp; """", ""),     IF(O123&lt;&gt;"", """" &amp;#REF! &amp; """", ""),     IF(P123&lt;&gt;"", """" &amp;#REF! &amp; """", ""),
    IF(S123&lt;&gt;"", """" &amp; S123 &amp; """", ""), IF(Q123&lt;&gt;"", """" &amp; Q123 &amp; """", ""), IF(R123&lt;&gt;"", """" &amp; R123 &amp; """", ""),
    IF(T123&lt;&gt;"", """" &amp; T123 &amp; """", ""),
    IF(U123&lt;&gt;"", """" &amp; U123 &amp; """", "")
) &amp; "]"</f>
        <v>#REF!</v>
      </c>
      <c r="W123" s="42"/>
      <c r="X123" s="42"/>
      <c r="Y123" s="42"/>
      <c r="Z123" s="42"/>
      <c r="AA123" s="42"/>
      <c r="AB123" s="42"/>
      <c r="AC123" s="42"/>
      <c r="AD123" s="42"/>
      <c r="AE123" s="42"/>
      <c r="AF123" s="42"/>
      <c r="AG123" s="42"/>
      <c r="AH123" s="42"/>
      <c r="AI123" s="42"/>
      <c r="AJ123" s="32" t="s">
        <v>1713</v>
      </c>
      <c r="AK123" s="32"/>
      <c r="AL123" s="32"/>
      <c r="AM123" s="32" t="s">
        <v>1714</v>
      </c>
      <c r="AN123" s="32"/>
      <c r="AO123" s="32" t="s">
        <v>151</v>
      </c>
      <c r="AP123" s="32" t="s">
        <v>227</v>
      </c>
      <c r="AQ123" s="32" t="s">
        <v>227</v>
      </c>
      <c r="AR123" s="33" t="s">
        <v>64</v>
      </c>
      <c r="AS123" s="33" t="s">
        <v>72</v>
      </c>
      <c r="AT123" s="32" t="s">
        <v>1711</v>
      </c>
      <c r="AU123" s="42" t="s">
        <v>1712</v>
      </c>
      <c r="AV123" s="42"/>
      <c r="AW123" s="42" t="s">
        <v>1715</v>
      </c>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c r="DX123" s="42"/>
      <c r="DY123" s="42"/>
      <c r="DZ123" s="42"/>
      <c r="EA123" s="42"/>
      <c r="EB123" s="42"/>
      <c r="EC123" s="42"/>
      <c r="ED123" s="42"/>
      <c r="EE123" s="42"/>
      <c r="EF123" s="42"/>
      <c r="EG123" s="42"/>
      <c r="EH123" s="42"/>
      <c r="EI123" s="42"/>
      <c r="EJ123" s="42"/>
      <c r="EK123" s="42"/>
      <c r="EL123" s="42"/>
      <c r="EM123" s="42"/>
      <c r="EN123" s="42"/>
      <c r="EO123" s="42"/>
      <c r="EP123" s="42"/>
      <c r="EQ123" s="42"/>
      <c r="ER123" s="42"/>
      <c r="ES123" s="42"/>
      <c r="ET123" s="42"/>
      <c r="EU123" s="42"/>
      <c r="EV123" s="42"/>
      <c r="EW123" s="42"/>
      <c r="EX123" s="42"/>
      <c r="EY123" s="42"/>
      <c r="EZ123" s="42"/>
      <c r="FA123" s="42"/>
      <c r="FB123" s="42"/>
      <c r="FC123" s="42"/>
      <c r="FD123" s="42"/>
      <c r="FE123" s="42"/>
      <c r="FF123" s="42"/>
      <c r="FG123" s="42"/>
      <c r="FH123" s="42"/>
      <c r="FI123" s="42"/>
      <c r="FJ123" s="42"/>
      <c r="FK123" s="42"/>
      <c r="FL123" s="42"/>
      <c r="FM123" s="42"/>
      <c r="FN123" s="42"/>
      <c r="FO123" s="42"/>
      <c r="FP123" s="42"/>
      <c r="FQ123" s="42"/>
    </row>
    <row r="124" spans="1:173" s="10" customFormat="1" ht="23.25" customHeight="1">
      <c r="A124" s="32" t="s">
        <v>1716</v>
      </c>
      <c r="B124" s="42" t="s">
        <v>1717</v>
      </c>
      <c r="C124" s="32" t="s">
        <v>1718</v>
      </c>
      <c r="D124" s="32"/>
      <c r="E124" s="32" t="s">
        <v>870</v>
      </c>
      <c r="F124" s="42"/>
      <c r="G124" s="42"/>
      <c r="H124" s="42"/>
      <c r="I124" s="42"/>
      <c r="J124" s="42"/>
      <c r="K124" s="42"/>
      <c r="L124" s="42"/>
      <c r="M124" s="42"/>
      <c r="N124" s="42"/>
      <c r="O124" s="32" t="s">
        <v>1716</v>
      </c>
      <c r="P124" s="32" t="s">
        <v>1716</v>
      </c>
      <c r="Q124" s="43" t="s">
        <v>618</v>
      </c>
      <c r="R124" s="43" t="s">
        <v>619</v>
      </c>
      <c r="S124" s="42"/>
      <c r="T124" s="42"/>
      <c r="U124" s="42"/>
      <c r="V124" s="32" t="e">
        <f>"[" &amp; _xlfn.TEXTJOIN(", ", TRUE,
    IF(H124&lt;&gt;"", """" &amp;#REF! &amp; """", ""),
    IF(I124&lt;&gt;"", """" &amp;#REF! &amp; """", ""),
    IF(J124&lt;&gt;"", """" &amp;#REF! &amp; """", ""),
    IF(K124&lt;&gt;"", """" &amp;#REF! &amp; """", ""),
    IF(L124&lt;&gt;"", """" &amp;#REF! &amp; """", ""),    IF(M124&lt;&gt;"", """" &amp;#REF! &amp; """", ""),    IF(N124&lt;&gt;"", """" &amp;#REF! &amp; """", ""),     IF(O124&lt;&gt;"", """" &amp;#REF! &amp; """", ""),     IF(P124&lt;&gt;"", """" &amp;#REF! &amp; """", ""),
    IF(S124&lt;&gt;"", """" &amp; S124 &amp; """", ""), IF(Q124&lt;&gt;"", """" &amp; Q124 &amp; """", ""), IF(R124&lt;&gt;"", """" &amp; R124 &amp; """", ""),
    IF(T124&lt;&gt;"", """" &amp; T124 &amp; """", ""),
    IF(U124&lt;&gt;"", """" &amp; U124 &amp; """", "")
) &amp; "]"</f>
        <v>#REF!</v>
      </c>
      <c r="W124" s="42"/>
      <c r="X124" s="42"/>
      <c r="Y124" s="42"/>
      <c r="Z124" s="42"/>
      <c r="AA124" s="42"/>
      <c r="AB124" s="42"/>
      <c r="AC124" s="42"/>
      <c r="AD124" s="42"/>
      <c r="AE124" s="42"/>
      <c r="AF124" s="42"/>
      <c r="AG124" s="42"/>
      <c r="AH124" s="42"/>
      <c r="AI124" s="42"/>
      <c r="AJ124" s="32" t="s">
        <v>1718</v>
      </c>
      <c r="AK124" s="32"/>
      <c r="AL124" s="32"/>
      <c r="AM124" s="32" t="s">
        <v>1718</v>
      </c>
      <c r="AN124" s="32"/>
      <c r="AO124" s="32" t="s">
        <v>139</v>
      </c>
      <c r="AP124" s="32" t="s">
        <v>130</v>
      </c>
      <c r="AQ124" s="32" t="s">
        <v>130</v>
      </c>
      <c r="AR124" s="33" t="s">
        <v>106</v>
      </c>
      <c r="AS124" s="33" t="s">
        <v>107</v>
      </c>
      <c r="AT124" s="32" t="s">
        <v>1716</v>
      </c>
      <c r="AU124" s="42" t="s">
        <v>1717</v>
      </c>
      <c r="AV124" s="42"/>
      <c r="AW124" s="42" t="s">
        <v>1719</v>
      </c>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c r="CZ124" s="42"/>
      <c r="DA124" s="42"/>
      <c r="DB124" s="42"/>
      <c r="DC124" s="42"/>
      <c r="DD124" s="42"/>
      <c r="DE124" s="42"/>
      <c r="DF124" s="42"/>
      <c r="DG124" s="42"/>
      <c r="DH124" s="42"/>
      <c r="DI124" s="42"/>
      <c r="DJ124" s="42"/>
      <c r="DK124" s="42"/>
      <c r="DL124" s="42"/>
      <c r="DM124" s="42"/>
      <c r="DN124" s="42"/>
      <c r="DO124" s="42"/>
      <c r="DP124" s="42"/>
      <c r="DQ124" s="42"/>
      <c r="DR124" s="42"/>
      <c r="DS124" s="42"/>
      <c r="DT124" s="42"/>
      <c r="DU124" s="42"/>
      <c r="DV124" s="42"/>
      <c r="DW124" s="42"/>
      <c r="DX124" s="42"/>
      <c r="DY124" s="42"/>
      <c r="DZ124" s="42"/>
      <c r="EA124" s="42"/>
      <c r="EB124" s="42"/>
      <c r="EC124" s="42"/>
      <c r="ED124" s="42"/>
      <c r="EE124" s="42"/>
      <c r="EF124" s="42"/>
      <c r="EG124" s="42"/>
      <c r="EH124" s="42"/>
      <c r="EI124" s="42"/>
      <c r="EJ124" s="42"/>
      <c r="EK124" s="42"/>
      <c r="EL124" s="42"/>
      <c r="EM124" s="42"/>
      <c r="EN124" s="42"/>
      <c r="EO124" s="42"/>
      <c r="EP124" s="42"/>
      <c r="EQ124" s="42"/>
      <c r="ER124" s="42"/>
      <c r="ES124" s="42"/>
      <c r="ET124" s="42"/>
      <c r="EU124" s="42"/>
      <c r="EV124" s="42"/>
      <c r="EW124" s="42"/>
      <c r="EX124" s="42"/>
      <c r="EY124" s="42"/>
      <c r="EZ124" s="42"/>
      <c r="FA124" s="42"/>
      <c r="FB124" s="42"/>
      <c r="FC124" s="42"/>
      <c r="FD124" s="42"/>
      <c r="FE124" s="42"/>
      <c r="FF124" s="42"/>
      <c r="FG124" s="42"/>
      <c r="FH124" s="42"/>
      <c r="FI124" s="42"/>
      <c r="FJ124" s="42"/>
      <c r="FK124" s="42"/>
      <c r="FL124" s="42"/>
      <c r="FM124" s="42"/>
      <c r="FN124" s="42"/>
      <c r="FO124" s="42"/>
      <c r="FP124" s="42"/>
      <c r="FQ124" s="42"/>
    </row>
    <row r="125" spans="1:173" s="10" customFormat="1" ht="23.25" customHeight="1">
      <c r="A125" s="4"/>
      <c r="B125" s="4"/>
      <c r="C125" s="4"/>
      <c r="D125" s="4"/>
      <c r="E125" s="15"/>
      <c r="F125" s="4"/>
      <c r="G125" s="4"/>
      <c r="H125" s="4"/>
      <c r="I125" s="4"/>
      <c r="J125" s="4"/>
      <c r="K125" s="4"/>
      <c r="L125" s="4"/>
      <c r="M125" s="4"/>
      <c r="N125" s="4"/>
      <c r="O125" s="6"/>
      <c r="P125" s="6"/>
      <c r="Q125" s="4"/>
      <c r="R125" s="7"/>
      <c r="S125" s="4"/>
      <c r="T125" s="3" t="str">
        <f>"[" &amp; _xlfn.TEXTJOIN(", ", TRUE,
    IF(H125&lt;&gt;"", """" &amp; VJDBCore!I$1 &amp; """", ""),
    IF(I125&lt;&gt;"", """" &amp; VJDBCore!J$1 &amp; """", ""),
    IF(J125&lt;&gt;"", """" &amp; VJDBCore!K$1 &amp; """", ""),
    IF(K125&lt;&gt;"", """" &amp; VJDBCore!L$1 &amp; """", ""),
    IF(L125&lt;&gt;"", """" &amp; VJDBCore!M$1 &amp; """", ""),    IF(M125&lt;&gt;"", """" &amp; VJDBCore!N$1 &amp; """", ""),    IF(N125&lt;&gt;"", """" &amp; VJDBCore!O$1 &amp; """", ""),     IF(O125&lt;&gt;"", """" &amp; VJDBCore!P$1 &amp; """", ""),     IF(O125&lt;&gt;"", """" &amp; VJDBCore!P$1 &amp; """", ""),     IF(P125&lt;&gt;"", """" &amp; VJDBCore!Q$1 &amp; """", ""),
    IF(Q129&lt;&gt;"", """" &amp; Q129 &amp; """", ""),
    IF(R125&lt;&gt;"", """" &amp; R125 &amp; """", ""),
    IF(S125&lt;&gt;"", """" &amp; S125 &amp; """", "")
) &amp; "]"</f>
        <v>[]</v>
      </c>
      <c r="U125" s="13"/>
      <c r="V125" s="13"/>
      <c r="W125" s="13"/>
      <c r="X125" s="13"/>
      <c r="Y125" s="13"/>
      <c r="Z125" s="13"/>
      <c r="AA125" s="13"/>
      <c r="AB125" s="13"/>
      <c r="AC125" s="13"/>
      <c r="AD125" s="13"/>
      <c r="AE125" s="13"/>
      <c r="AF125" s="13"/>
      <c r="AG125" s="13"/>
      <c r="AH125" s="13"/>
      <c r="AI125" s="13"/>
      <c r="AJ125" s="13"/>
      <c r="AK125" s="13"/>
      <c r="AL125" s="13"/>
      <c r="AM125" s="13"/>
      <c r="AN125" s="28"/>
    </row>
    <row r="126" spans="1:173" s="10" customFormat="1" ht="23.25" customHeight="1" thickBot="1">
      <c r="A126" s="4"/>
      <c r="B126" s="4"/>
      <c r="C126" s="4"/>
      <c r="D126" s="4"/>
      <c r="E126" s="15"/>
      <c r="F126" s="4"/>
      <c r="G126" s="4"/>
      <c r="H126" s="4"/>
      <c r="I126" s="4"/>
      <c r="J126" s="4"/>
      <c r="K126" s="4"/>
      <c r="L126" s="4"/>
      <c r="M126" s="4"/>
      <c r="N126" s="4"/>
      <c r="O126" s="6"/>
      <c r="P126" s="6"/>
      <c r="Q126" s="4"/>
      <c r="R126" s="7"/>
      <c r="S126" s="4"/>
      <c r="T126" s="3" t="str">
        <f>"[" &amp; _xlfn.TEXTJOIN(", ", TRUE,
    IF(H126&lt;&gt;"", """" &amp; VJDBCore!I$1 &amp; """", ""),
    IF(I126&lt;&gt;"", """" &amp; VJDBCore!J$1 &amp; """", ""),
    IF(J126&lt;&gt;"", """" &amp; VJDBCore!K$1 &amp; """", ""),
    IF(K126&lt;&gt;"", """" &amp; VJDBCore!L$1 &amp; """", ""),
    IF(L126&lt;&gt;"", """" &amp; VJDBCore!M$1 &amp; """", ""),    IF(M126&lt;&gt;"", """" &amp; VJDBCore!N$1 &amp; """", ""),    IF(N126&lt;&gt;"", """" &amp; VJDBCore!O$1 &amp; """", ""),     IF(O126&lt;&gt;"", """" &amp; VJDBCore!P$1 &amp; """", ""),     IF(O126&lt;&gt;"", """" &amp; VJDBCore!P$1 &amp; """", ""),     IF(P126&lt;&gt;"", """" &amp; VJDBCore!Q$1 &amp; """", ""),
    IF(Q130&lt;&gt;"", """" &amp; Q130 &amp; """", ""),
    IF(R126&lt;&gt;"", """" &amp; R126 &amp; """", ""),
    IF(S126&lt;&gt;"", """" &amp; S126 &amp; """", "")
) &amp; "]"</f>
        <v>[]</v>
      </c>
      <c r="U126" s="13"/>
      <c r="V126" s="13"/>
      <c r="W126" s="13"/>
      <c r="X126" s="13"/>
      <c r="Y126" s="13"/>
      <c r="Z126" s="13"/>
      <c r="AA126" s="13"/>
      <c r="AB126" s="13"/>
      <c r="AC126" s="13"/>
      <c r="AD126" s="13"/>
      <c r="AE126" s="13"/>
      <c r="AF126" s="13"/>
      <c r="AG126" s="13"/>
      <c r="AH126" s="13"/>
      <c r="AI126" s="13"/>
      <c r="AJ126" s="13"/>
      <c r="AK126" s="13"/>
      <c r="AL126" s="13"/>
      <c r="AM126" s="13"/>
      <c r="AN126" s="28"/>
    </row>
    <row r="127" spans="1:173" s="10" customFormat="1" ht="23.25" customHeight="1" thickBot="1">
      <c r="A127" s="4"/>
      <c r="B127" s="4"/>
      <c r="C127" s="4"/>
      <c r="D127" s="4"/>
      <c r="E127" s="15"/>
      <c r="F127" s="4"/>
      <c r="G127" s="4"/>
      <c r="H127" s="4"/>
      <c r="I127" s="4"/>
      <c r="J127" s="4"/>
      <c r="K127" s="4"/>
      <c r="L127" s="4"/>
      <c r="M127" s="4"/>
      <c r="N127" s="4"/>
      <c r="O127" s="6"/>
      <c r="P127" s="6"/>
      <c r="Q127" s="4"/>
      <c r="R127" s="7"/>
      <c r="S127" s="4"/>
      <c r="T127" s="3" t="str">
        <f>"[" &amp; _xlfn.TEXTJOIN(", ", TRUE,
    IF(H127&lt;&gt;"", """" &amp; VJDBCore!I$1 &amp; """", ""),
    IF(I127&lt;&gt;"", """" &amp; VJDBCore!J$1 &amp; """", ""),
    IF(J127&lt;&gt;"", """" &amp; VJDBCore!K$1 &amp; """", ""),
    IF(K127&lt;&gt;"", """" &amp; VJDBCore!L$1 &amp; """", ""),
    IF(L127&lt;&gt;"", """" &amp; VJDBCore!M$1 &amp; """", ""),    IF(M127&lt;&gt;"", """" &amp; VJDBCore!N$1 &amp; """", ""),    IF(N127&lt;&gt;"", """" &amp; VJDBCore!O$1 &amp; """", ""),     IF(O127&lt;&gt;"", """" &amp; VJDBCore!P$1 &amp; """", ""),     IF(O127&lt;&gt;"", """" &amp; VJDBCore!P$1 &amp; """", ""),     IF(P127&lt;&gt;"", """" &amp; VJDBCore!Q$1 &amp; """", ""),
    IF(Q131&lt;&gt;"", """" &amp; Q131 &amp; """", ""),
    IF(R127&lt;&gt;"", """" &amp; R127 &amp; """", ""),
    IF(S127&lt;&gt;"", """" &amp; S127 &amp; """", "")
) &amp; "]"</f>
        <v>[]</v>
      </c>
      <c r="U127" s="13"/>
      <c r="V127" s="13"/>
      <c r="W127" s="13"/>
      <c r="X127" s="13"/>
      <c r="Y127" s="13"/>
      <c r="Z127" s="13"/>
      <c r="AA127" s="13"/>
      <c r="AB127" s="13"/>
      <c r="AC127" s="13"/>
      <c r="AD127" s="13"/>
      <c r="AE127" s="13"/>
      <c r="AF127" s="13"/>
      <c r="AG127" s="13"/>
      <c r="AH127" s="13"/>
      <c r="AI127" s="13"/>
      <c r="AJ127" s="13"/>
      <c r="AK127" s="13"/>
      <c r="AL127" s="13"/>
      <c r="AM127" s="13"/>
      <c r="AN127" s="28"/>
    </row>
    <row r="128" spans="1:173" s="10" customFormat="1" ht="23.25" customHeight="1" thickBot="1">
      <c r="A128" s="4"/>
      <c r="B128" s="4"/>
      <c r="C128" s="4"/>
      <c r="D128" s="4"/>
      <c r="E128" s="15"/>
      <c r="F128" s="4"/>
      <c r="G128" s="4"/>
      <c r="H128" s="4"/>
      <c r="I128" s="4"/>
      <c r="J128" s="4"/>
      <c r="K128" s="4"/>
      <c r="L128" s="4"/>
      <c r="M128" s="4"/>
      <c r="N128" s="4"/>
      <c r="O128" s="6"/>
      <c r="P128" s="6"/>
      <c r="Q128" s="4"/>
      <c r="R128" s="7"/>
      <c r="S128" s="4"/>
      <c r="T128" s="3" t="str">
        <f>"[" &amp; _xlfn.TEXTJOIN(", ", TRUE,
    IF(H128&lt;&gt;"", """" &amp; VJDBCore!I$1 &amp; """", ""),
    IF(I128&lt;&gt;"", """" &amp; VJDBCore!J$1 &amp; """", ""),
    IF(J128&lt;&gt;"", """" &amp; VJDBCore!K$1 &amp; """", ""),
    IF(K128&lt;&gt;"", """" &amp; VJDBCore!L$1 &amp; """", ""),
    IF(L128&lt;&gt;"", """" &amp; VJDBCore!M$1 &amp; """", ""),    IF(M128&lt;&gt;"", """" &amp; VJDBCore!N$1 &amp; """", ""),    IF(N128&lt;&gt;"", """" &amp; VJDBCore!O$1 &amp; """", ""),     IF(O128&lt;&gt;"", """" &amp; VJDBCore!P$1 &amp; """", ""),     IF(O128&lt;&gt;"", """" &amp; VJDBCore!P$1 &amp; """", ""),     IF(P128&lt;&gt;"", """" &amp; VJDBCore!Q$1 &amp; """", ""),
    IF(Q132&lt;&gt;"", """" &amp; Q132 &amp; """", ""),
    IF(R128&lt;&gt;"", """" &amp; R128 &amp; """", ""),
    IF(S128&lt;&gt;"", """" &amp; S128 &amp; """", "")
) &amp; "]"</f>
        <v>[]</v>
      </c>
      <c r="U128" s="13"/>
      <c r="V128" s="13"/>
      <c r="W128" s="13"/>
      <c r="X128" s="13"/>
      <c r="Y128" s="13"/>
      <c r="Z128" s="13"/>
      <c r="AA128" s="13"/>
      <c r="AB128" s="13"/>
      <c r="AC128" s="13"/>
      <c r="AD128" s="13"/>
      <c r="AE128" s="13"/>
      <c r="AF128" s="13"/>
      <c r="AG128" s="13"/>
      <c r="AH128" s="13"/>
      <c r="AI128" s="13"/>
      <c r="AJ128" s="13"/>
      <c r="AK128" s="13"/>
      <c r="AL128" s="13"/>
      <c r="AM128" s="13"/>
      <c r="AN128" s="28"/>
    </row>
    <row r="129" spans="1:40" s="10" customFormat="1" ht="23.25" customHeight="1" thickBot="1">
      <c r="A129" s="4"/>
      <c r="B129" s="4"/>
      <c r="C129" s="4"/>
      <c r="D129" s="4"/>
      <c r="E129" s="15"/>
      <c r="F129" s="4"/>
      <c r="G129" s="4"/>
      <c r="H129" s="4"/>
      <c r="I129" s="4"/>
      <c r="J129" s="4"/>
      <c r="K129" s="4"/>
      <c r="L129" s="4"/>
      <c r="M129" s="4"/>
      <c r="N129" s="4"/>
      <c r="O129" s="6"/>
      <c r="P129" s="6"/>
      <c r="Q129" s="4"/>
      <c r="R129" s="7"/>
      <c r="S129" s="4"/>
      <c r="T129" s="3" t="str">
        <f>"[" &amp; _xlfn.TEXTJOIN(", ", TRUE,
    IF(H129&lt;&gt;"", """" &amp; VJDBCore!I$1 &amp; """", ""),
    IF(I129&lt;&gt;"", """" &amp; VJDBCore!J$1 &amp; """", ""),
    IF(J129&lt;&gt;"", """" &amp; VJDBCore!K$1 &amp; """", ""),
    IF(K129&lt;&gt;"", """" &amp; VJDBCore!L$1 &amp; """", ""),
    IF(L129&lt;&gt;"", """" &amp; VJDBCore!M$1 &amp; """", ""),    IF(M129&lt;&gt;"", """" &amp; VJDBCore!N$1 &amp; """", ""),    IF(N129&lt;&gt;"", """" &amp; VJDBCore!O$1 &amp; """", ""),     IF(O129&lt;&gt;"", """" &amp; VJDBCore!P$1 &amp; """", ""),     IF(O129&lt;&gt;"", """" &amp; VJDBCore!P$1 &amp; """", ""),     IF(P129&lt;&gt;"", """" &amp; VJDBCore!Q$1 &amp; """", ""),
    IF(Q133&lt;&gt;"", """" &amp; Q133 &amp; """", ""),
    IF(R129&lt;&gt;"", """" &amp; R129 &amp; """", ""),
    IF(S129&lt;&gt;"", """" &amp; S129 &amp; """", "")
) &amp; "]"</f>
        <v>[]</v>
      </c>
      <c r="U129" s="13"/>
      <c r="V129" s="13"/>
      <c r="W129" s="13"/>
      <c r="X129" s="13"/>
      <c r="Y129" s="13"/>
      <c r="Z129" s="13"/>
      <c r="AA129" s="13"/>
      <c r="AB129" s="13"/>
      <c r="AC129" s="13"/>
      <c r="AD129" s="13"/>
      <c r="AE129" s="13"/>
      <c r="AF129" s="13"/>
      <c r="AG129" s="13"/>
      <c r="AH129" s="13"/>
      <c r="AI129" s="13"/>
      <c r="AJ129" s="13"/>
      <c r="AK129" s="13"/>
      <c r="AL129" s="13"/>
      <c r="AM129" s="13"/>
      <c r="AN129" s="28"/>
    </row>
    <row r="130" spans="1:40" s="10" customFormat="1" ht="23.25" customHeight="1" thickBot="1">
      <c r="A130" s="4"/>
      <c r="B130" s="4"/>
      <c r="C130" s="4"/>
      <c r="D130" s="4"/>
      <c r="E130" s="15"/>
      <c r="F130" s="4"/>
      <c r="G130" s="4"/>
      <c r="H130" s="4"/>
      <c r="I130" s="4"/>
      <c r="J130" s="4"/>
      <c r="K130" s="4"/>
      <c r="L130" s="4"/>
      <c r="M130" s="4"/>
      <c r="N130" s="4"/>
      <c r="O130" s="6"/>
      <c r="P130" s="6"/>
      <c r="Q130" s="4"/>
      <c r="R130" s="7"/>
      <c r="S130" s="4"/>
      <c r="T130" s="3" t="str">
        <f>"[" &amp; _xlfn.TEXTJOIN(", ", TRUE,
    IF(H130&lt;&gt;"", """" &amp; VJDBCore!I$1 &amp; """", ""),
    IF(I130&lt;&gt;"", """" &amp; VJDBCore!J$1 &amp; """", ""),
    IF(J130&lt;&gt;"", """" &amp; VJDBCore!K$1 &amp; """", ""),
    IF(K130&lt;&gt;"", """" &amp; VJDBCore!L$1 &amp; """", ""),
    IF(L130&lt;&gt;"", """" &amp; VJDBCore!M$1 &amp; """", ""),    IF(M130&lt;&gt;"", """" &amp; VJDBCore!N$1 &amp; """", ""),    IF(N130&lt;&gt;"", """" &amp; VJDBCore!O$1 &amp; """", ""),     IF(O130&lt;&gt;"", """" &amp; VJDBCore!P$1 &amp; """", ""),     IF(O130&lt;&gt;"", """" &amp; VJDBCore!P$1 &amp; """", ""),     IF(P130&lt;&gt;"", """" &amp; VJDBCore!Q$1 &amp; """", ""),
    IF(Q134&lt;&gt;"", """" &amp; Q134 &amp; """", ""),
    IF(R130&lt;&gt;"", """" &amp; R130 &amp; """", ""),
    IF(S130&lt;&gt;"", """" &amp; S130 &amp; """", "")
) &amp; "]"</f>
        <v>[]</v>
      </c>
      <c r="U130" s="13"/>
      <c r="V130" s="13"/>
      <c r="W130" s="13"/>
      <c r="X130" s="13"/>
      <c r="Y130" s="13"/>
      <c r="Z130" s="13"/>
      <c r="AA130" s="13"/>
      <c r="AB130" s="13"/>
      <c r="AC130" s="13"/>
      <c r="AD130" s="13"/>
      <c r="AE130" s="13"/>
      <c r="AF130" s="13"/>
      <c r="AG130" s="13"/>
      <c r="AH130" s="13"/>
      <c r="AI130" s="13"/>
      <c r="AJ130" s="13"/>
      <c r="AK130" s="13"/>
      <c r="AL130" s="13"/>
      <c r="AM130" s="13"/>
      <c r="AN130" s="28"/>
    </row>
    <row r="131" spans="1:40" s="10" customFormat="1" ht="23.25" customHeight="1" thickBot="1">
      <c r="A131" s="4"/>
      <c r="B131" s="4"/>
      <c r="C131" s="4"/>
      <c r="D131" s="4"/>
      <c r="E131" s="15"/>
      <c r="F131" s="4"/>
      <c r="G131" s="4"/>
      <c r="H131" s="4"/>
      <c r="I131" s="4"/>
      <c r="J131" s="4"/>
      <c r="K131" s="4"/>
      <c r="L131" s="4"/>
      <c r="M131" s="4"/>
      <c r="N131" s="4"/>
      <c r="O131" s="6"/>
      <c r="P131" s="6"/>
      <c r="Q131" s="4"/>
      <c r="R131" s="7"/>
      <c r="S131" s="4"/>
      <c r="T131" s="3" t="str">
        <f>"[" &amp; _xlfn.TEXTJOIN(", ", TRUE,
    IF(H131&lt;&gt;"", """" &amp; VJDBCore!I$1 &amp; """", ""),
    IF(I131&lt;&gt;"", """" &amp; VJDBCore!J$1 &amp; """", ""),
    IF(J131&lt;&gt;"", """" &amp; VJDBCore!K$1 &amp; """", ""),
    IF(K131&lt;&gt;"", """" &amp; VJDBCore!L$1 &amp; """", ""),
    IF(L131&lt;&gt;"", """" &amp; VJDBCore!M$1 &amp; """", ""),    IF(M131&lt;&gt;"", """" &amp; VJDBCore!N$1 &amp; """", ""),    IF(N131&lt;&gt;"", """" &amp; VJDBCore!O$1 &amp; """", ""),     IF(O131&lt;&gt;"", """" &amp; VJDBCore!P$1 &amp; """", ""),     IF(O131&lt;&gt;"", """" &amp; VJDBCore!P$1 &amp; """", ""),     IF(P131&lt;&gt;"", """" &amp; VJDBCore!Q$1 &amp; """", ""),
    IF(Q135&lt;&gt;"", """" &amp; Q135 &amp; """", ""),
    IF(R131&lt;&gt;"", """" &amp; R131 &amp; """", ""),
    IF(S131&lt;&gt;"", """" &amp; S131 &amp; """", "")
) &amp; "]"</f>
        <v>[]</v>
      </c>
      <c r="U131" s="13"/>
      <c r="V131" s="13"/>
      <c r="W131" s="13"/>
      <c r="X131" s="13"/>
      <c r="Y131" s="13"/>
      <c r="Z131" s="13"/>
      <c r="AA131" s="13"/>
      <c r="AB131" s="13"/>
      <c r="AC131" s="13"/>
      <c r="AD131" s="13"/>
      <c r="AE131" s="13"/>
      <c r="AF131" s="13"/>
      <c r="AG131" s="13"/>
      <c r="AH131" s="13"/>
      <c r="AI131" s="13"/>
      <c r="AJ131" s="13"/>
      <c r="AK131" s="13"/>
      <c r="AL131" s="13"/>
      <c r="AM131" s="13"/>
      <c r="AN131" s="28"/>
    </row>
    <row r="132" spans="1:40" s="10" customFormat="1" ht="23.25" customHeight="1" thickBot="1">
      <c r="A132" s="4"/>
      <c r="B132" s="4"/>
      <c r="C132" s="4"/>
      <c r="D132" s="4"/>
      <c r="E132" s="15"/>
      <c r="F132" s="4"/>
      <c r="G132" s="4"/>
      <c r="H132" s="4"/>
      <c r="I132" s="4"/>
      <c r="J132" s="4"/>
      <c r="K132" s="4"/>
      <c r="L132" s="4"/>
      <c r="M132" s="4"/>
      <c r="N132" s="4"/>
      <c r="O132" s="6"/>
      <c r="P132" s="6"/>
      <c r="Q132" s="4"/>
      <c r="R132" s="7"/>
      <c r="S132" s="4"/>
      <c r="T132" s="3" t="str">
        <f>"[" &amp; _xlfn.TEXTJOIN(", ", TRUE,
    IF(H132&lt;&gt;"", """" &amp; VJDBCore!I$1 &amp; """", ""),
    IF(I132&lt;&gt;"", """" &amp; VJDBCore!J$1 &amp; """", ""),
    IF(J132&lt;&gt;"", """" &amp; VJDBCore!K$1 &amp; """", ""),
    IF(K132&lt;&gt;"", """" &amp; VJDBCore!L$1 &amp; """", ""),
    IF(L132&lt;&gt;"", """" &amp; VJDBCore!M$1 &amp; """", ""),    IF(M132&lt;&gt;"", """" &amp; VJDBCore!N$1 &amp; """", ""),    IF(N132&lt;&gt;"", """" &amp; VJDBCore!O$1 &amp; """", ""),     IF(O132&lt;&gt;"", """" &amp; VJDBCore!P$1 &amp; """", ""),     IF(O132&lt;&gt;"", """" &amp; VJDBCore!P$1 &amp; """", ""),     IF(P132&lt;&gt;"", """" &amp; VJDBCore!Q$1 &amp; """", ""),
    IF(Q136&lt;&gt;"", """" &amp; Q136 &amp; """", ""),
    IF(R132&lt;&gt;"", """" &amp; R132 &amp; """", ""),
    IF(S132&lt;&gt;"", """" &amp; S132 &amp; """", "")
) &amp; "]"</f>
        <v>[]</v>
      </c>
      <c r="U132" s="13"/>
      <c r="V132" s="13"/>
      <c r="W132" s="13"/>
      <c r="X132" s="13"/>
      <c r="Y132" s="13"/>
      <c r="Z132" s="13"/>
      <c r="AA132" s="13"/>
      <c r="AB132" s="13"/>
      <c r="AC132" s="13"/>
      <c r="AD132" s="13"/>
      <c r="AE132" s="13"/>
      <c r="AF132" s="13"/>
      <c r="AG132" s="13"/>
      <c r="AH132" s="13"/>
      <c r="AI132" s="13"/>
      <c r="AJ132" s="13"/>
      <c r="AK132" s="13"/>
      <c r="AL132" s="13"/>
      <c r="AM132" s="13"/>
      <c r="AN132" s="28"/>
    </row>
    <row r="133" spans="1:40" s="10" customFormat="1" ht="23.25" customHeight="1" thickBot="1">
      <c r="A133" s="4"/>
      <c r="B133" s="4"/>
      <c r="C133" s="4"/>
      <c r="D133" s="4"/>
      <c r="E133" s="15"/>
      <c r="F133" s="4"/>
      <c r="G133" s="4"/>
      <c r="H133" s="4"/>
      <c r="I133" s="4"/>
      <c r="J133" s="4"/>
      <c r="K133" s="4"/>
      <c r="L133" s="4"/>
      <c r="M133" s="4"/>
      <c r="N133" s="4"/>
      <c r="O133" s="6"/>
      <c r="P133" s="6"/>
      <c r="Q133" s="4"/>
      <c r="R133" s="7"/>
      <c r="S133" s="4"/>
      <c r="T133" s="3" t="str">
        <f>"[" &amp; _xlfn.TEXTJOIN(", ", TRUE,
    IF(H133&lt;&gt;"", """" &amp; VJDBCore!I$1 &amp; """", ""),
    IF(I133&lt;&gt;"", """" &amp; VJDBCore!J$1 &amp; """", ""),
    IF(J133&lt;&gt;"", """" &amp; VJDBCore!K$1 &amp; """", ""),
    IF(K133&lt;&gt;"", """" &amp; VJDBCore!L$1 &amp; """", ""),
    IF(L133&lt;&gt;"", """" &amp; VJDBCore!M$1 &amp; """", ""),    IF(M133&lt;&gt;"", """" &amp; VJDBCore!N$1 &amp; """", ""),    IF(N133&lt;&gt;"", """" &amp; VJDBCore!O$1 &amp; """", ""),     IF(O133&lt;&gt;"", """" &amp; VJDBCore!P$1 &amp; """", ""),     IF(O133&lt;&gt;"", """" &amp; VJDBCore!P$1 &amp; """", ""),     IF(P133&lt;&gt;"", """" &amp; VJDBCore!Q$1 &amp; """", ""),
    IF(Q137&lt;&gt;"", """" &amp; Q137 &amp; """", ""),
    IF(R133&lt;&gt;"", """" &amp; R133 &amp; """", ""),
    IF(S133&lt;&gt;"", """" &amp; S133 &amp; """", "")
) &amp; "]"</f>
        <v>[]</v>
      </c>
      <c r="U133" s="13"/>
      <c r="V133" s="13"/>
      <c r="W133" s="13"/>
      <c r="X133" s="13"/>
      <c r="Y133" s="13"/>
      <c r="Z133" s="13"/>
      <c r="AA133" s="13"/>
      <c r="AB133" s="13"/>
      <c r="AC133" s="13"/>
      <c r="AD133" s="13"/>
      <c r="AE133" s="13"/>
      <c r="AF133" s="13"/>
      <c r="AG133" s="13"/>
      <c r="AH133" s="13"/>
      <c r="AI133" s="13"/>
      <c r="AJ133" s="13"/>
      <c r="AK133" s="13"/>
      <c r="AL133" s="13"/>
      <c r="AM133" s="13"/>
      <c r="AN133" s="28"/>
    </row>
    <row r="134" spans="1:40" s="10" customFormat="1" ht="23.25" customHeight="1" thickBot="1">
      <c r="A134" s="4"/>
      <c r="B134" s="4"/>
      <c r="C134" s="4"/>
      <c r="D134" s="4"/>
      <c r="E134" s="15"/>
      <c r="F134" s="4"/>
      <c r="G134" s="4"/>
      <c r="H134" s="4"/>
      <c r="I134" s="4"/>
      <c r="J134" s="4"/>
      <c r="K134" s="4"/>
      <c r="L134" s="4"/>
      <c r="M134" s="4"/>
      <c r="N134" s="4"/>
      <c r="O134" s="6"/>
      <c r="P134" s="6"/>
      <c r="Q134" s="4"/>
      <c r="R134" s="7"/>
      <c r="S134" s="4"/>
      <c r="T134" s="3" t="str">
        <f>"[" &amp; _xlfn.TEXTJOIN(", ", TRUE,
    IF(H134&lt;&gt;"", """" &amp; VJDBCore!I$1 &amp; """", ""),
    IF(I134&lt;&gt;"", """" &amp; VJDBCore!J$1 &amp; """", ""),
    IF(J134&lt;&gt;"", """" &amp; VJDBCore!K$1 &amp; """", ""),
    IF(K134&lt;&gt;"", """" &amp; VJDBCore!L$1 &amp; """", ""),
    IF(L134&lt;&gt;"", """" &amp; VJDBCore!M$1 &amp; """", ""),    IF(M134&lt;&gt;"", """" &amp; VJDBCore!N$1 &amp; """", ""),    IF(N134&lt;&gt;"", """" &amp; VJDBCore!O$1 &amp; """", ""),     IF(O134&lt;&gt;"", """" &amp; VJDBCore!P$1 &amp; """", ""),     IF(O134&lt;&gt;"", """" &amp; VJDBCore!P$1 &amp; """", ""),     IF(P134&lt;&gt;"", """" &amp; VJDBCore!Q$1 &amp; """", ""),
    IF(Q138&lt;&gt;"", """" &amp; Q138 &amp; """", ""),
    IF(R134&lt;&gt;"", """" &amp; R134 &amp; """", ""),
    IF(S134&lt;&gt;"", """" &amp; S134 &amp; """", "")
) &amp; "]"</f>
        <v>[]</v>
      </c>
      <c r="U134" s="13"/>
      <c r="V134" s="13"/>
      <c r="W134" s="13"/>
      <c r="X134" s="13"/>
      <c r="Y134" s="13"/>
      <c r="Z134" s="13"/>
      <c r="AA134" s="13"/>
      <c r="AB134" s="13"/>
      <c r="AC134" s="13"/>
      <c r="AD134" s="13"/>
      <c r="AE134" s="13"/>
      <c r="AF134" s="13"/>
      <c r="AG134" s="13"/>
      <c r="AH134" s="13"/>
      <c r="AI134" s="13"/>
      <c r="AJ134" s="13"/>
      <c r="AK134" s="13"/>
      <c r="AL134" s="13"/>
      <c r="AM134" s="13"/>
      <c r="AN134" s="28"/>
    </row>
    <row r="135" spans="1:40" s="10" customFormat="1" ht="23.25" customHeight="1" thickBot="1">
      <c r="A135" s="4"/>
      <c r="B135" s="4"/>
      <c r="C135" s="4"/>
      <c r="D135" s="4"/>
      <c r="E135" s="15"/>
      <c r="F135" s="4"/>
      <c r="G135" s="4"/>
      <c r="H135" s="4"/>
      <c r="I135" s="4"/>
      <c r="J135" s="4"/>
      <c r="K135" s="4"/>
      <c r="L135" s="4"/>
      <c r="M135" s="4"/>
      <c r="N135" s="4"/>
      <c r="O135" s="6"/>
      <c r="P135" s="6"/>
      <c r="Q135" s="4"/>
      <c r="R135" s="7"/>
      <c r="S135" s="4"/>
      <c r="T135" s="3" t="str">
        <f>"[" &amp; _xlfn.TEXTJOIN(", ", TRUE,
    IF(H135&lt;&gt;"", """" &amp; VJDBCore!I$1 &amp; """", ""),
    IF(I135&lt;&gt;"", """" &amp; VJDBCore!J$1 &amp; """", ""),
    IF(J135&lt;&gt;"", """" &amp; VJDBCore!K$1 &amp; """", ""),
    IF(K135&lt;&gt;"", """" &amp; VJDBCore!L$1 &amp; """", ""),
    IF(L135&lt;&gt;"", """" &amp; VJDBCore!M$1 &amp; """", ""),    IF(M135&lt;&gt;"", """" &amp; VJDBCore!N$1 &amp; """", ""),    IF(N135&lt;&gt;"", """" &amp; VJDBCore!O$1 &amp; """", ""),     IF(O135&lt;&gt;"", """" &amp; VJDBCore!P$1 &amp; """", ""),     IF(O135&lt;&gt;"", """" &amp; VJDBCore!P$1 &amp; """", ""),     IF(P135&lt;&gt;"", """" &amp; VJDBCore!Q$1 &amp; """", ""),
    IF(Q139&lt;&gt;"", """" &amp; Q139 &amp; """", ""),
    IF(R135&lt;&gt;"", """" &amp; R135 &amp; """", ""),
    IF(S135&lt;&gt;"", """" &amp; S135 &amp; """", "")
) &amp; "]"</f>
        <v>[]</v>
      </c>
      <c r="U135" s="13"/>
      <c r="V135" s="13"/>
      <c r="W135" s="13"/>
      <c r="X135" s="13"/>
      <c r="Y135" s="13"/>
      <c r="Z135" s="13"/>
      <c r="AA135" s="13"/>
      <c r="AB135" s="13"/>
      <c r="AC135" s="13"/>
      <c r="AD135" s="13"/>
      <c r="AE135" s="13"/>
      <c r="AF135" s="13"/>
      <c r="AG135" s="13"/>
      <c r="AH135" s="13"/>
      <c r="AI135" s="13"/>
      <c r="AJ135" s="13"/>
      <c r="AK135" s="13"/>
      <c r="AL135" s="13"/>
      <c r="AM135" s="13"/>
      <c r="AN135" s="28"/>
    </row>
    <row r="136" spans="1:40" s="10" customFormat="1" ht="23.25" customHeight="1" thickBot="1">
      <c r="A136" s="4"/>
      <c r="B136" s="4"/>
      <c r="C136" s="4"/>
      <c r="D136" s="4"/>
      <c r="E136" s="15"/>
      <c r="F136" s="4"/>
      <c r="G136" s="4"/>
      <c r="H136" s="4"/>
      <c r="I136" s="4"/>
      <c r="J136" s="4"/>
      <c r="K136" s="4"/>
      <c r="L136" s="4"/>
      <c r="M136" s="4"/>
      <c r="N136" s="4"/>
      <c r="O136" s="6"/>
      <c r="P136" s="6"/>
      <c r="Q136" s="4"/>
      <c r="R136" s="7"/>
      <c r="S136" s="4"/>
      <c r="T136" s="3" t="str">
        <f>"[" &amp; _xlfn.TEXTJOIN(", ", TRUE,
    IF(H136&lt;&gt;"", """" &amp; VJDBCore!I$1 &amp; """", ""),
    IF(I136&lt;&gt;"", """" &amp; VJDBCore!J$1 &amp; """", ""),
    IF(J136&lt;&gt;"", """" &amp; VJDBCore!K$1 &amp; """", ""),
    IF(K136&lt;&gt;"", """" &amp; VJDBCore!L$1 &amp; """", ""),
    IF(L136&lt;&gt;"", """" &amp; VJDBCore!M$1 &amp; """", ""),    IF(M136&lt;&gt;"", """" &amp; VJDBCore!N$1 &amp; """", ""),    IF(N136&lt;&gt;"", """" &amp; VJDBCore!O$1 &amp; """", ""),     IF(O136&lt;&gt;"", """" &amp; VJDBCore!P$1 &amp; """", ""),     IF(O136&lt;&gt;"", """" &amp; VJDBCore!P$1 &amp; """", ""),     IF(P136&lt;&gt;"", """" &amp; VJDBCore!Q$1 &amp; """", ""),
    IF(Q140&lt;&gt;"", """" &amp; Q140 &amp; """", ""),
    IF(R136&lt;&gt;"", """" &amp; R136 &amp; """", ""),
    IF(S136&lt;&gt;"", """" &amp; S136 &amp; """", "")
) &amp; "]"</f>
        <v>[]</v>
      </c>
      <c r="U136" s="13"/>
      <c r="V136" s="13"/>
      <c r="W136" s="13"/>
      <c r="X136" s="13"/>
      <c r="Y136" s="13"/>
      <c r="Z136" s="13"/>
      <c r="AA136" s="13"/>
      <c r="AB136" s="13"/>
      <c r="AC136" s="13"/>
      <c r="AD136" s="13"/>
      <c r="AE136" s="13"/>
      <c r="AF136" s="13"/>
      <c r="AG136" s="13"/>
      <c r="AH136" s="13"/>
      <c r="AI136" s="13"/>
      <c r="AJ136" s="13"/>
      <c r="AK136" s="13"/>
      <c r="AL136" s="13"/>
      <c r="AM136" s="13"/>
      <c r="AN136" s="28"/>
    </row>
    <row r="137" spans="1:40" s="10" customFormat="1" ht="23.25" customHeight="1" thickBot="1">
      <c r="A137" s="4"/>
      <c r="B137" s="4"/>
      <c r="C137" s="4"/>
      <c r="D137" s="4"/>
      <c r="E137" s="15"/>
      <c r="F137" s="4"/>
      <c r="G137" s="4"/>
      <c r="H137" s="4"/>
      <c r="I137" s="4"/>
      <c r="J137" s="4"/>
      <c r="K137" s="4"/>
      <c r="L137" s="4"/>
      <c r="M137" s="4"/>
      <c r="N137" s="4"/>
      <c r="O137" s="6"/>
      <c r="P137" s="6"/>
      <c r="Q137" s="4"/>
      <c r="R137" s="7"/>
      <c r="S137" s="4"/>
      <c r="T137" s="3" t="str">
        <f>"[" &amp; _xlfn.TEXTJOIN(", ", TRUE,
    IF(H137&lt;&gt;"", """" &amp; VJDBCore!I$1 &amp; """", ""),
    IF(I137&lt;&gt;"", """" &amp; VJDBCore!J$1 &amp; """", ""),
    IF(J137&lt;&gt;"", """" &amp; VJDBCore!K$1 &amp; """", ""),
    IF(K137&lt;&gt;"", """" &amp; VJDBCore!L$1 &amp; """", ""),
    IF(L137&lt;&gt;"", """" &amp; VJDBCore!M$1 &amp; """", ""),    IF(M137&lt;&gt;"", """" &amp; VJDBCore!N$1 &amp; """", ""),    IF(N137&lt;&gt;"", """" &amp; VJDBCore!O$1 &amp; """", ""),     IF(O137&lt;&gt;"", """" &amp; VJDBCore!P$1 &amp; """", ""),     IF(O137&lt;&gt;"", """" &amp; VJDBCore!P$1 &amp; """", ""),     IF(P137&lt;&gt;"", """" &amp; VJDBCore!Q$1 &amp; """", ""),
    IF(Q141&lt;&gt;"", """" &amp; Q141 &amp; """", ""),
    IF(R137&lt;&gt;"", """" &amp; R137 &amp; """", ""),
    IF(S137&lt;&gt;"", """" &amp; S137 &amp; """", "")
) &amp; "]"</f>
        <v>[]</v>
      </c>
      <c r="U137" s="13"/>
      <c r="V137" s="13"/>
      <c r="W137" s="13"/>
      <c r="X137" s="13"/>
      <c r="Y137" s="13"/>
      <c r="Z137" s="13"/>
      <c r="AA137" s="13"/>
      <c r="AB137" s="13"/>
      <c r="AC137" s="13"/>
      <c r="AD137" s="13"/>
      <c r="AE137" s="13"/>
      <c r="AF137" s="13"/>
      <c r="AG137" s="13"/>
      <c r="AH137" s="13"/>
      <c r="AI137" s="13"/>
      <c r="AJ137" s="13"/>
      <c r="AK137" s="13"/>
      <c r="AL137" s="13"/>
      <c r="AM137" s="13"/>
      <c r="AN137" s="28"/>
    </row>
    <row r="138" spans="1:40" s="10" customFormat="1" ht="23.25" customHeight="1" thickBot="1">
      <c r="A138" s="4"/>
      <c r="B138" s="4"/>
      <c r="C138" s="4"/>
      <c r="D138" s="4"/>
      <c r="E138" s="15"/>
      <c r="F138" s="4"/>
      <c r="G138" s="4"/>
      <c r="H138" s="4"/>
      <c r="I138" s="4"/>
      <c r="J138" s="4"/>
      <c r="K138" s="4"/>
      <c r="L138" s="4"/>
      <c r="M138" s="4"/>
      <c r="N138" s="4"/>
      <c r="O138" s="6"/>
      <c r="P138" s="6"/>
      <c r="Q138" s="4"/>
      <c r="R138" s="7"/>
      <c r="S138" s="4"/>
      <c r="T138" s="3" t="str">
        <f>"[" &amp; _xlfn.TEXTJOIN(", ", TRUE,
    IF(H138&lt;&gt;"", """" &amp; VJDBCore!I$1 &amp; """", ""),
    IF(I138&lt;&gt;"", """" &amp; VJDBCore!J$1 &amp; """", ""),
    IF(J138&lt;&gt;"", """" &amp; VJDBCore!K$1 &amp; """", ""),
    IF(K138&lt;&gt;"", """" &amp; VJDBCore!L$1 &amp; """", ""),
    IF(L138&lt;&gt;"", """" &amp; VJDBCore!M$1 &amp; """", ""),    IF(M138&lt;&gt;"", """" &amp; VJDBCore!N$1 &amp; """", ""),    IF(N138&lt;&gt;"", """" &amp; VJDBCore!O$1 &amp; """", ""),     IF(O138&lt;&gt;"", """" &amp; VJDBCore!P$1 &amp; """", ""),     IF(O138&lt;&gt;"", """" &amp; VJDBCore!P$1 &amp; """", ""),     IF(P138&lt;&gt;"", """" &amp; VJDBCore!Q$1 &amp; """", ""),
    IF(Q142&lt;&gt;"", """" &amp; Q142 &amp; """", ""),
    IF(R138&lt;&gt;"", """" &amp; R138 &amp; """", ""),
    IF(S138&lt;&gt;"", """" &amp; S138 &amp; """", "")
) &amp; "]"</f>
        <v>[]</v>
      </c>
      <c r="U138" s="13"/>
      <c r="V138" s="13"/>
      <c r="W138" s="13"/>
      <c r="X138" s="13"/>
      <c r="Y138" s="13"/>
      <c r="Z138" s="13"/>
      <c r="AA138" s="13"/>
      <c r="AB138" s="13"/>
      <c r="AC138" s="13"/>
      <c r="AD138" s="13"/>
      <c r="AE138" s="13"/>
      <c r="AF138" s="13"/>
      <c r="AG138" s="13"/>
      <c r="AH138" s="13"/>
      <c r="AI138" s="13"/>
      <c r="AJ138" s="13"/>
      <c r="AK138" s="13"/>
      <c r="AL138" s="13"/>
      <c r="AM138" s="13"/>
      <c r="AN138" s="28"/>
    </row>
    <row r="139" spans="1:40" s="10" customFormat="1" ht="23.25" customHeight="1" thickBot="1">
      <c r="A139" s="4"/>
      <c r="B139" s="4"/>
      <c r="C139" s="4"/>
      <c r="D139" s="4"/>
      <c r="E139" s="15"/>
      <c r="F139" s="4"/>
      <c r="G139" s="4"/>
      <c r="H139" s="4"/>
      <c r="I139" s="4"/>
      <c r="J139" s="4"/>
      <c r="K139" s="4"/>
      <c r="L139" s="4"/>
      <c r="M139" s="4"/>
      <c r="N139" s="4"/>
      <c r="O139" s="6"/>
      <c r="P139" s="6"/>
      <c r="Q139" s="4"/>
      <c r="R139" s="7"/>
      <c r="S139" s="4"/>
      <c r="T139" s="3" t="str">
        <f>"[" &amp; _xlfn.TEXTJOIN(", ", TRUE,
    IF(H139&lt;&gt;"", """" &amp; VJDBCore!I$1 &amp; """", ""),
    IF(I139&lt;&gt;"", """" &amp; VJDBCore!J$1 &amp; """", ""),
    IF(J139&lt;&gt;"", """" &amp; VJDBCore!K$1 &amp; """", ""),
    IF(K139&lt;&gt;"", """" &amp; VJDBCore!L$1 &amp; """", ""),
    IF(L139&lt;&gt;"", """" &amp; VJDBCore!M$1 &amp; """", ""),    IF(M139&lt;&gt;"", """" &amp; VJDBCore!N$1 &amp; """", ""),    IF(N139&lt;&gt;"", """" &amp; VJDBCore!O$1 &amp; """", ""),     IF(O139&lt;&gt;"", """" &amp; VJDBCore!P$1 &amp; """", ""),     IF(O139&lt;&gt;"", """" &amp; VJDBCore!P$1 &amp; """", ""),     IF(P139&lt;&gt;"", """" &amp; VJDBCore!Q$1 &amp; """", ""),
    IF(Q143&lt;&gt;"", """" &amp; Q143 &amp; """", ""),
    IF(R139&lt;&gt;"", """" &amp; R139 &amp; """", ""),
    IF(S139&lt;&gt;"", """" &amp; S139 &amp; """", "")
) &amp; "]"</f>
        <v>[]</v>
      </c>
      <c r="U139" s="13"/>
      <c r="V139" s="13"/>
      <c r="W139" s="13"/>
      <c r="X139" s="13"/>
      <c r="Y139" s="13"/>
      <c r="Z139" s="13"/>
      <c r="AA139" s="13"/>
      <c r="AB139" s="13"/>
      <c r="AC139" s="13"/>
      <c r="AD139" s="13"/>
      <c r="AE139" s="13"/>
      <c r="AF139" s="13"/>
      <c r="AG139" s="13"/>
      <c r="AH139" s="13"/>
      <c r="AI139" s="13"/>
      <c r="AJ139" s="13"/>
      <c r="AK139" s="13"/>
      <c r="AL139" s="13"/>
      <c r="AM139" s="13"/>
      <c r="AN139" s="28"/>
    </row>
    <row r="140" spans="1:40" s="10" customFormat="1" ht="23.25" customHeight="1" thickBot="1">
      <c r="A140" s="4"/>
      <c r="B140" s="4"/>
      <c r="C140" s="4"/>
      <c r="D140" s="4"/>
      <c r="E140" s="15"/>
      <c r="F140" s="4"/>
      <c r="G140" s="4"/>
      <c r="H140" s="4"/>
      <c r="I140" s="4"/>
      <c r="J140" s="4"/>
      <c r="K140" s="4"/>
      <c r="L140" s="4"/>
      <c r="M140" s="4"/>
      <c r="N140" s="4"/>
      <c r="O140" s="6"/>
      <c r="P140" s="6"/>
      <c r="Q140" s="4"/>
      <c r="R140" s="7"/>
      <c r="S140" s="4"/>
      <c r="T140" s="3" t="str">
        <f>"[" &amp; _xlfn.TEXTJOIN(", ", TRUE,
    IF(H140&lt;&gt;"", """" &amp; VJDBCore!I$1 &amp; """", ""),
    IF(I140&lt;&gt;"", """" &amp; VJDBCore!J$1 &amp; """", ""),
    IF(J140&lt;&gt;"", """" &amp; VJDBCore!K$1 &amp; """", ""),
    IF(K140&lt;&gt;"", """" &amp; VJDBCore!L$1 &amp; """", ""),
    IF(L140&lt;&gt;"", """" &amp; VJDBCore!M$1 &amp; """", ""),    IF(M140&lt;&gt;"", """" &amp; VJDBCore!N$1 &amp; """", ""),    IF(N140&lt;&gt;"", """" &amp; VJDBCore!O$1 &amp; """", ""),     IF(O140&lt;&gt;"", """" &amp; VJDBCore!P$1 &amp; """", ""),     IF(O140&lt;&gt;"", """" &amp; VJDBCore!P$1 &amp; """", ""),     IF(P140&lt;&gt;"", """" &amp; VJDBCore!Q$1 &amp; """", ""),
    IF(Q144&lt;&gt;"", """" &amp; Q144 &amp; """", ""),
    IF(R140&lt;&gt;"", """" &amp; R140 &amp; """", ""),
    IF(S140&lt;&gt;"", """" &amp; S140 &amp; """", "")
) &amp; "]"</f>
        <v>[]</v>
      </c>
      <c r="U140" s="13"/>
      <c r="V140" s="13"/>
      <c r="W140" s="13"/>
      <c r="X140" s="13"/>
      <c r="Y140" s="13"/>
      <c r="Z140" s="13"/>
      <c r="AA140" s="13"/>
      <c r="AB140" s="13"/>
      <c r="AC140" s="13"/>
      <c r="AD140" s="13"/>
      <c r="AE140" s="13"/>
      <c r="AF140" s="13"/>
      <c r="AG140" s="13"/>
      <c r="AH140" s="13"/>
      <c r="AI140" s="13"/>
      <c r="AJ140" s="13"/>
      <c r="AK140" s="13"/>
      <c r="AL140" s="13"/>
      <c r="AM140" s="13"/>
      <c r="AN140" s="28"/>
    </row>
    <row r="141" spans="1:40" s="10" customFormat="1" ht="23.25" customHeight="1" thickBot="1">
      <c r="A141" s="4"/>
      <c r="B141" s="4"/>
      <c r="C141" s="4"/>
      <c r="D141" s="4"/>
      <c r="E141" s="15"/>
      <c r="F141" s="4"/>
      <c r="G141" s="4"/>
      <c r="H141" s="4"/>
      <c r="I141" s="4"/>
      <c r="J141" s="4"/>
      <c r="K141" s="4"/>
      <c r="L141" s="4"/>
      <c r="M141" s="4"/>
      <c r="N141" s="4"/>
      <c r="O141" s="6"/>
      <c r="P141" s="6"/>
      <c r="Q141" s="4"/>
      <c r="R141" s="7"/>
      <c r="S141" s="4"/>
      <c r="T141" s="3" t="str">
        <f>"[" &amp; _xlfn.TEXTJOIN(", ", TRUE,
    IF(H141&lt;&gt;"", """" &amp; VJDBCore!I$1 &amp; """", ""),
    IF(I141&lt;&gt;"", """" &amp; VJDBCore!J$1 &amp; """", ""),
    IF(J141&lt;&gt;"", """" &amp; VJDBCore!K$1 &amp; """", ""),
    IF(K141&lt;&gt;"", """" &amp; VJDBCore!L$1 &amp; """", ""),
    IF(L141&lt;&gt;"", """" &amp; VJDBCore!M$1 &amp; """", ""),    IF(M141&lt;&gt;"", """" &amp; VJDBCore!N$1 &amp; """", ""),    IF(N141&lt;&gt;"", """" &amp; VJDBCore!O$1 &amp; """", ""),     IF(O141&lt;&gt;"", """" &amp; VJDBCore!P$1 &amp; """", ""),     IF(O141&lt;&gt;"", """" &amp; VJDBCore!P$1 &amp; """", ""),     IF(P141&lt;&gt;"", """" &amp; VJDBCore!Q$1 &amp; """", ""),
    IF(Q145&lt;&gt;"", """" &amp; Q145 &amp; """", ""),
    IF(R141&lt;&gt;"", """" &amp; R141 &amp; """", ""),
    IF(S141&lt;&gt;"", """" &amp; S141 &amp; """", "")
) &amp; "]"</f>
        <v>[]</v>
      </c>
      <c r="U141" s="13"/>
      <c r="V141" s="13"/>
      <c r="W141" s="13"/>
      <c r="X141" s="13"/>
      <c r="Y141" s="13"/>
      <c r="Z141" s="13"/>
      <c r="AA141" s="13"/>
      <c r="AB141" s="13"/>
      <c r="AC141" s="13"/>
      <c r="AD141" s="13"/>
      <c r="AE141" s="13"/>
      <c r="AF141" s="13"/>
      <c r="AG141" s="13"/>
      <c r="AH141" s="13"/>
      <c r="AI141" s="13"/>
      <c r="AJ141" s="13"/>
      <c r="AK141" s="13"/>
      <c r="AL141" s="13"/>
      <c r="AM141" s="13"/>
      <c r="AN141" s="28"/>
    </row>
    <row r="142" spans="1:40" s="10" customFormat="1" ht="23.25" customHeight="1" thickBot="1">
      <c r="A142" s="4"/>
      <c r="B142" s="4"/>
      <c r="C142" s="4"/>
      <c r="D142" s="4"/>
      <c r="E142" s="15"/>
      <c r="F142" s="4"/>
      <c r="G142" s="4"/>
      <c r="H142" s="4"/>
      <c r="I142" s="4"/>
      <c r="J142" s="4"/>
      <c r="K142" s="4"/>
      <c r="L142" s="4"/>
      <c r="M142" s="4"/>
      <c r="N142" s="4"/>
      <c r="O142" s="6"/>
      <c r="P142" s="6"/>
      <c r="Q142" s="4"/>
      <c r="R142" s="7"/>
      <c r="S142" s="4"/>
      <c r="T142" s="3" t="str">
        <f>"[" &amp; _xlfn.TEXTJOIN(", ", TRUE,
    IF(H142&lt;&gt;"", """" &amp; VJDBCore!I$1 &amp; """", ""),
    IF(I142&lt;&gt;"", """" &amp; VJDBCore!J$1 &amp; """", ""),
    IF(J142&lt;&gt;"", """" &amp; VJDBCore!K$1 &amp; """", ""),
    IF(K142&lt;&gt;"", """" &amp; VJDBCore!L$1 &amp; """", ""),
    IF(L142&lt;&gt;"", """" &amp; VJDBCore!M$1 &amp; """", ""),    IF(M142&lt;&gt;"", """" &amp; VJDBCore!N$1 &amp; """", ""),    IF(N142&lt;&gt;"", """" &amp; VJDBCore!O$1 &amp; """", ""),     IF(O142&lt;&gt;"", """" &amp; VJDBCore!P$1 &amp; """", ""),     IF(O142&lt;&gt;"", """" &amp; VJDBCore!P$1 &amp; """", ""),     IF(P142&lt;&gt;"", """" &amp; VJDBCore!Q$1 &amp; """", ""),
    IF(Q146&lt;&gt;"", """" &amp; Q146 &amp; """", ""),
    IF(R142&lt;&gt;"", """" &amp; R142 &amp; """", ""),
    IF(S142&lt;&gt;"", """" &amp; S142 &amp; """", "")
) &amp; "]"</f>
        <v>[]</v>
      </c>
      <c r="U142" s="13"/>
      <c r="V142" s="13"/>
      <c r="W142" s="13"/>
      <c r="X142" s="13"/>
      <c r="Y142" s="13"/>
      <c r="Z142" s="13"/>
      <c r="AA142" s="13"/>
      <c r="AB142" s="13"/>
      <c r="AC142" s="13"/>
      <c r="AD142" s="13"/>
      <c r="AE142" s="13"/>
      <c r="AF142" s="13"/>
      <c r="AG142" s="13"/>
      <c r="AH142" s="13"/>
      <c r="AI142" s="13"/>
      <c r="AJ142" s="13"/>
      <c r="AK142" s="13"/>
      <c r="AL142" s="13"/>
      <c r="AM142" s="13"/>
      <c r="AN142" s="28"/>
    </row>
    <row r="143" spans="1:40" s="10" customFormat="1" ht="23.25" customHeight="1" thickBot="1">
      <c r="A143" s="4"/>
      <c r="B143" s="4"/>
      <c r="C143" s="4"/>
      <c r="D143" s="4"/>
      <c r="E143" s="15"/>
      <c r="F143" s="4"/>
      <c r="G143" s="4"/>
      <c r="H143" s="4"/>
      <c r="I143" s="4"/>
      <c r="J143" s="4"/>
      <c r="K143" s="4"/>
      <c r="L143" s="4"/>
      <c r="M143" s="4"/>
      <c r="N143" s="4"/>
      <c r="O143" s="6"/>
      <c r="P143" s="6"/>
      <c r="Q143" s="4"/>
      <c r="R143" s="7"/>
      <c r="S143" s="4"/>
      <c r="T143" s="3" t="str">
        <f>"[" &amp; _xlfn.TEXTJOIN(", ", TRUE,
    IF(H143&lt;&gt;"", """" &amp; VJDBCore!I$1 &amp; """", ""),
    IF(I143&lt;&gt;"", """" &amp; VJDBCore!J$1 &amp; """", ""),
    IF(J143&lt;&gt;"", """" &amp; VJDBCore!K$1 &amp; """", ""),
    IF(K143&lt;&gt;"", """" &amp; VJDBCore!L$1 &amp; """", ""),
    IF(L143&lt;&gt;"", """" &amp; VJDBCore!M$1 &amp; """", ""),    IF(M143&lt;&gt;"", """" &amp; VJDBCore!N$1 &amp; """", ""),    IF(N143&lt;&gt;"", """" &amp; VJDBCore!O$1 &amp; """", ""),     IF(O143&lt;&gt;"", """" &amp; VJDBCore!P$1 &amp; """", ""),     IF(O143&lt;&gt;"", """" &amp; VJDBCore!P$1 &amp; """", ""),     IF(P143&lt;&gt;"", """" &amp; VJDBCore!Q$1 &amp; """", ""),
    IF(Q147&lt;&gt;"", """" &amp; Q147 &amp; """", ""),
    IF(R143&lt;&gt;"", """" &amp; R143 &amp; """", ""),
    IF(S143&lt;&gt;"", """" &amp; S143 &amp; """", "")
) &amp; "]"</f>
        <v>[]</v>
      </c>
      <c r="U143" s="13"/>
      <c r="V143" s="13"/>
      <c r="W143" s="13"/>
      <c r="X143" s="13"/>
      <c r="Y143" s="13"/>
      <c r="Z143" s="13"/>
      <c r="AA143" s="13"/>
      <c r="AB143" s="13"/>
      <c r="AC143" s="13"/>
      <c r="AD143" s="13"/>
      <c r="AE143" s="13"/>
      <c r="AF143" s="13"/>
      <c r="AG143" s="13"/>
      <c r="AH143" s="13"/>
      <c r="AI143" s="13"/>
      <c r="AJ143" s="13"/>
      <c r="AK143" s="13"/>
      <c r="AL143" s="13"/>
      <c r="AM143" s="13"/>
      <c r="AN143" s="28"/>
    </row>
    <row r="144" spans="1:40" s="10" customFormat="1" ht="23.25" customHeight="1" thickBot="1">
      <c r="A144" s="4"/>
      <c r="B144" s="4"/>
      <c r="C144" s="4"/>
      <c r="D144" s="4"/>
      <c r="E144" s="15"/>
      <c r="F144" s="4"/>
      <c r="G144" s="4"/>
      <c r="H144" s="4"/>
      <c r="I144" s="4"/>
      <c r="J144" s="4"/>
      <c r="K144" s="4"/>
      <c r="L144" s="4"/>
      <c r="M144" s="4"/>
      <c r="N144" s="4"/>
      <c r="O144" s="6"/>
      <c r="P144" s="6"/>
      <c r="Q144" s="4"/>
      <c r="R144" s="7"/>
      <c r="S144" s="4"/>
      <c r="T144" s="3" t="str">
        <f>"[" &amp; _xlfn.TEXTJOIN(", ", TRUE,
    IF(H144&lt;&gt;"", """" &amp; VJDBCore!I$1 &amp; """", ""),
    IF(I144&lt;&gt;"", """" &amp; VJDBCore!J$1 &amp; """", ""),
    IF(J144&lt;&gt;"", """" &amp; VJDBCore!K$1 &amp; """", ""),
    IF(K144&lt;&gt;"", """" &amp; VJDBCore!L$1 &amp; """", ""),
    IF(L144&lt;&gt;"", """" &amp; VJDBCore!M$1 &amp; """", ""),    IF(M144&lt;&gt;"", """" &amp; VJDBCore!N$1 &amp; """", ""),    IF(N144&lt;&gt;"", """" &amp; VJDBCore!O$1 &amp; """", ""),     IF(O144&lt;&gt;"", """" &amp; VJDBCore!P$1 &amp; """", ""),     IF(O144&lt;&gt;"", """" &amp; VJDBCore!P$1 &amp; """", ""),     IF(P144&lt;&gt;"", """" &amp; VJDBCore!Q$1 &amp; """", ""),
    IF(Q148&lt;&gt;"", """" &amp; Q148 &amp; """", ""),
    IF(R144&lt;&gt;"", """" &amp; R144 &amp; """", ""),
    IF(S144&lt;&gt;"", """" &amp; S144 &amp; """", "")
) &amp; "]"</f>
        <v>[]</v>
      </c>
      <c r="U144" s="13"/>
      <c r="V144" s="13"/>
      <c r="W144" s="13"/>
      <c r="X144" s="13"/>
      <c r="Y144" s="13"/>
      <c r="Z144" s="13"/>
      <c r="AA144" s="13"/>
      <c r="AB144" s="13"/>
      <c r="AC144" s="13"/>
      <c r="AD144" s="13"/>
      <c r="AE144" s="13"/>
      <c r="AF144" s="13"/>
      <c r="AG144" s="13"/>
      <c r="AH144" s="13"/>
      <c r="AI144" s="13"/>
      <c r="AJ144" s="13"/>
      <c r="AK144" s="13"/>
      <c r="AL144" s="13"/>
      <c r="AM144" s="13"/>
      <c r="AN144" s="28"/>
    </row>
    <row r="145" spans="1:40" s="10" customFormat="1" ht="23.25" customHeight="1" thickBot="1">
      <c r="A145" s="4"/>
      <c r="B145" s="4"/>
      <c r="C145" s="4"/>
      <c r="D145" s="4"/>
      <c r="E145" s="15"/>
      <c r="F145" s="4"/>
      <c r="G145" s="4"/>
      <c r="H145" s="4"/>
      <c r="I145" s="4"/>
      <c r="J145" s="4"/>
      <c r="K145" s="4"/>
      <c r="L145" s="4"/>
      <c r="M145" s="4"/>
      <c r="N145" s="4"/>
      <c r="O145" s="6"/>
      <c r="P145" s="6"/>
      <c r="Q145" s="4"/>
      <c r="R145" s="7"/>
      <c r="S145" s="4"/>
      <c r="T145" s="3" t="str">
        <f>"[" &amp; _xlfn.TEXTJOIN(", ", TRUE,
    IF(H145&lt;&gt;"", """" &amp; VJDBCore!I$1 &amp; """", ""),
    IF(I145&lt;&gt;"", """" &amp; VJDBCore!J$1 &amp; """", ""),
    IF(J145&lt;&gt;"", """" &amp; VJDBCore!K$1 &amp; """", ""),
    IF(K145&lt;&gt;"", """" &amp; VJDBCore!L$1 &amp; """", ""),
    IF(L145&lt;&gt;"", """" &amp; VJDBCore!M$1 &amp; """", ""),    IF(M145&lt;&gt;"", """" &amp; VJDBCore!N$1 &amp; """", ""),    IF(N145&lt;&gt;"", """" &amp; VJDBCore!O$1 &amp; """", ""),     IF(O145&lt;&gt;"", """" &amp; VJDBCore!P$1 &amp; """", ""),     IF(O145&lt;&gt;"", """" &amp; VJDBCore!P$1 &amp; """", ""),     IF(P145&lt;&gt;"", """" &amp; VJDBCore!Q$1 &amp; """", ""),
    IF(Q149&lt;&gt;"", """" &amp; Q149 &amp; """", ""),
    IF(R145&lt;&gt;"", """" &amp; R145 &amp; """", ""),
    IF(S145&lt;&gt;"", """" &amp; S145 &amp; """", "")
) &amp; "]"</f>
        <v>[]</v>
      </c>
      <c r="U145" s="13"/>
      <c r="V145" s="13"/>
      <c r="W145" s="13"/>
      <c r="X145" s="13"/>
      <c r="Y145" s="13"/>
      <c r="Z145" s="13"/>
      <c r="AA145" s="13"/>
      <c r="AB145" s="13"/>
      <c r="AC145" s="13"/>
      <c r="AD145" s="13"/>
      <c r="AE145" s="13"/>
      <c r="AF145" s="13"/>
      <c r="AG145" s="13"/>
      <c r="AH145" s="13"/>
      <c r="AI145" s="13"/>
      <c r="AJ145" s="13"/>
      <c r="AK145" s="13"/>
      <c r="AL145" s="13"/>
      <c r="AM145" s="13"/>
      <c r="AN145" s="28"/>
    </row>
    <row r="146" spans="1:40" s="10" customFormat="1" ht="23.25" customHeight="1" thickBot="1">
      <c r="A146" s="4"/>
      <c r="B146" s="4"/>
      <c r="C146" s="4"/>
      <c r="D146" s="4"/>
      <c r="E146" s="15"/>
      <c r="F146" s="4"/>
      <c r="G146" s="4"/>
      <c r="H146" s="4"/>
      <c r="I146" s="4"/>
      <c r="J146" s="4"/>
      <c r="K146" s="4"/>
      <c r="L146" s="4"/>
      <c r="M146" s="4"/>
      <c r="N146" s="4"/>
      <c r="O146" s="6"/>
      <c r="P146" s="6"/>
      <c r="Q146" s="4"/>
      <c r="R146" s="7"/>
      <c r="S146" s="4"/>
      <c r="T146" s="3" t="str">
        <f>"[" &amp; _xlfn.TEXTJOIN(", ", TRUE,
    IF(H146&lt;&gt;"", """" &amp; VJDBCore!I$1 &amp; """", ""),
    IF(I146&lt;&gt;"", """" &amp; VJDBCore!J$1 &amp; """", ""),
    IF(J146&lt;&gt;"", """" &amp; VJDBCore!K$1 &amp; """", ""),
    IF(K146&lt;&gt;"", """" &amp; VJDBCore!L$1 &amp; """", ""),
    IF(L146&lt;&gt;"", """" &amp; VJDBCore!M$1 &amp; """", ""),    IF(M146&lt;&gt;"", """" &amp; VJDBCore!N$1 &amp; """", ""),    IF(N146&lt;&gt;"", """" &amp; VJDBCore!O$1 &amp; """", ""),     IF(O146&lt;&gt;"", """" &amp; VJDBCore!P$1 &amp; """", ""),     IF(O146&lt;&gt;"", """" &amp; VJDBCore!P$1 &amp; """", ""),     IF(P146&lt;&gt;"", """" &amp; VJDBCore!Q$1 &amp; """", ""),
    IF(Q150&lt;&gt;"", """" &amp; Q150 &amp; """", ""),
    IF(R146&lt;&gt;"", """" &amp; R146 &amp; """", ""),
    IF(S146&lt;&gt;"", """" &amp; S146 &amp; """", "")
) &amp; "]"</f>
        <v>[]</v>
      </c>
      <c r="U146" s="13"/>
      <c r="V146" s="13"/>
      <c r="W146" s="13"/>
      <c r="X146" s="13"/>
      <c r="Y146" s="13"/>
      <c r="Z146" s="13"/>
      <c r="AA146" s="13"/>
      <c r="AB146" s="13"/>
      <c r="AC146" s="13"/>
      <c r="AD146" s="13"/>
      <c r="AE146" s="13"/>
      <c r="AF146" s="13"/>
      <c r="AG146" s="13"/>
      <c r="AH146" s="13"/>
      <c r="AI146" s="13"/>
      <c r="AJ146" s="13"/>
      <c r="AK146" s="13"/>
      <c r="AL146" s="13"/>
      <c r="AM146" s="13"/>
      <c r="AN146" s="28"/>
    </row>
    <row r="147" spans="1:40" s="10" customFormat="1" ht="23.25" customHeight="1" thickBot="1">
      <c r="A147" s="4"/>
      <c r="B147" s="4"/>
      <c r="C147" s="4"/>
      <c r="D147" s="4"/>
      <c r="E147" s="15"/>
      <c r="F147" s="4"/>
      <c r="G147" s="4"/>
      <c r="H147" s="4"/>
      <c r="I147" s="4"/>
      <c r="J147" s="4"/>
      <c r="K147" s="4"/>
      <c r="L147" s="4"/>
      <c r="M147" s="4"/>
      <c r="N147" s="4"/>
      <c r="O147" s="6"/>
      <c r="P147" s="6"/>
      <c r="Q147" s="4"/>
      <c r="R147" s="7"/>
      <c r="S147" s="4"/>
      <c r="T147" s="3" t="str">
        <f>"[" &amp; _xlfn.TEXTJOIN(", ", TRUE,
    IF(H147&lt;&gt;"", """" &amp; VJDBCore!I$1 &amp; """", ""),
    IF(I147&lt;&gt;"", """" &amp; VJDBCore!J$1 &amp; """", ""),
    IF(J147&lt;&gt;"", """" &amp; VJDBCore!K$1 &amp; """", ""),
    IF(K147&lt;&gt;"", """" &amp; VJDBCore!L$1 &amp; """", ""),
    IF(L147&lt;&gt;"", """" &amp; VJDBCore!M$1 &amp; """", ""),    IF(M147&lt;&gt;"", """" &amp; VJDBCore!N$1 &amp; """", ""),    IF(N147&lt;&gt;"", """" &amp; VJDBCore!O$1 &amp; """", ""),     IF(O147&lt;&gt;"", """" &amp; VJDBCore!P$1 &amp; """", ""),     IF(O147&lt;&gt;"", """" &amp; VJDBCore!P$1 &amp; """", ""),     IF(P147&lt;&gt;"", """" &amp; VJDBCore!Q$1 &amp; """", ""),
    IF(Q151&lt;&gt;"", """" &amp; Q151 &amp; """", ""),
    IF(R147&lt;&gt;"", """" &amp; R147 &amp; """", ""),
    IF(S147&lt;&gt;"", """" &amp; S147 &amp; """", "")
) &amp; "]"</f>
        <v>[]</v>
      </c>
      <c r="U147" s="13"/>
      <c r="V147" s="13"/>
      <c r="W147" s="13"/>
      <c r="X147" s="13"/>
      <c r="Y147" s="13"/>
      <c r="Z147" s="13"/>
      <c r="AA147" s="13"/>
      <c r="AB147" s="13"/>
      <c r="AC147" s="13"/>
      <c r="AD147" s="13"/>
      <c r="AE147" s="13"/>
      <c r="AF147" s="13"/>
      <c r="AG147" s="13"/>
      <c r="AH147" s="13"/>
      <c r="AI147" s="13"/>
      <c r="AJ147" s="13"/>
      <c r="AK147" s="13"/>
      <c r="AL147" s="13"/>
      <c r="AM147" s="13"/>
      <c r="AN147" s="28"/>
    </row>
    <row r="148" spans="1:40" s="10" customFormat="1" ht="23.25" customHeight="1" thickBot="1">
      <c r="A148" s="4"/>
      <c r="B148" s="4"/>
      <c r="C148" s="4"/>
      <c r="D148" s="4"/>
      <c r="E148" s="15"/>
      <c r="F148" s="4"/>
      <c r="G148" s="4"/>
      <c r="H148" s="4"/>
      <c r="I148" s="4"/>
      <c r="J148" s="4"/>
      <c r="K148" s="4"/>
      <c r="L148" s="4"/>
      <c r="M148" s="4"/>
      <c r="N148" s="4"/>
      <c r="O148" s="6"/>
      <c r="P148" s="6"/>
      <c r="Q148" s="4"/>
      <c r="R148" s="7"/>
      <c r="S148" s="4"/>
      <c r="T148" s="3" t="str">
        <f>"[" &amp; _xlfn.TEXTJOIN(", ", TRUE,
    IF(H148&lt;&gt;"", """" &amp; VJDBCore!I$1 &amp; """", ""),
    IF(I148&lt;&gt;"", """" &amp; VJDBCore!J$1 &amp; """", ""),
    IF(J148&lt;&gt;"", """" &amp; VJDBCore!K$1 &amp; """", ""),
    IF(K148&lt;&gt;"", """" &amp; VJDBCore!L$1 &amp; """", ""),
    IF(L148&lt;&gt;"", """" &amp; VJDBCore!M$1 &amp; """", ""),    IF(M148&lt;&gt;"", """" &amp; VJDBCore!N$1 &amp; """", ""),    IF(N148&lt;&gt;"", """" &amp; VJDBCore!O$1 &amp; """", ""),     IF(O148&lt;&gt;"", """" &amp; VJDBCore!P$1 &amp; """", ""),     IF(O148&lt;&gt;"", """" &amp; VJDBCore!P$1 &amp; """", ""),     IF(P148&lt;&gt;"", """" &amp; VJDBCore!Q$1 &amp; """", ""),
    IF(Q152&lt;&gt;"", """" &amp; Q152 &amp; """", ""),
    IF(R148&lt;&gt;"", """" &amp; R148 &amp; """", ""),
    IF(S148&lt;&gt;"", """" &amp; S148 &amp; """", "")
) &amp; "]"</f>
        <v>[]</v>
      </c>
      <c r="U148" s="13"/>
      <c r="V148" s="13"/>
      <c r="W148" s="13"/>
      <c r="X148" s="13"/>
      <c r="Y148" s="13"/>
      <c r="Z148" s="13"/>
      <c r="AA148" s="13"/>
      <c r="AB148" s="13"/>
      <c r="AC148" s="13"/>
      <c r="AD148" s="13"/>
      <c r="AE148" s="13"/>
      <c r="AF148" s="13"/>
      <c r="AG148" s="13"/>
      <c r="AH148" s="13"/>
      <c r="AI148" s="13"/>
      <c r="AJ148" s="13"/>
      <c r="AK148" s="13"/>
      <c r="AL148" s="13"/>
      <c r="AM148" s="13"/>
      <c r="AN148" s="28"/>
    </row>
    <row r="149" spans="1:40" s="10" customFormat="1" ht="23.25" customHeight="1" thickBot="1">
      <c r="A149" s="4"/>
      <c r="B149" s="4"/>
      <c r="C149" s="4"/>
      <c r="D149" s="4"/>
      <c r="E149" s="15"/>
      <c r="F149" s="4"/>
      <c r="G149" s="4"/>
      <c r="H149" s="4"/>
      <c r="I149" s="4"/>
      <c r="J149" s="4"/>
      <c r="K149" s="4"/>
      <c r="L149" s="4"/>
      <c r="M149" s="4"/>
      <c r="N149" s="4"/>
      <c r="O149" s="6"/>
      <c r="P149" s="6"/>
      <c r="Q149" s="4"/>
      <c r="R149" s="7"/>
      <c r="S149" s="4"/>
      <c r="T149" s="3" t="str">
        <f>"[" &amp; _xlfn.TEXTJOIN(", ", TRUE,
    IF(H149&lt;&gt;"", """" &amp; VJDBCore!I$1 &amp; """", ""),
    IF(I149&lt;&gt;"", """" &amp; VJDBCore!J$1 &amp; """", ""),
    IF(J149&lt;&gt;"", """" &amp; VJDBCore!K$1 &amp; """", ""),
    IF(K149&lt;&gt;"", """" &amp; VJDBCore!L$1 &amp; """", ""),
    IF(L149&lt;&gt;"", """" &amp; VJDBCore!M$1 &amp; """", ""),    IF(M149&lt;&gt;"", """" &amp; VJDBCore!N$1 &amp; """", ""),    IF(N149&lt;&gt;"", """" &amp; VJDBCore!O$1 &amp; """", ""),     IF(O149&lt;&gt;"", """" &amp; VJDBCore!P$1 &amp; """", ""),     IF(O149&lt;&gt;"", """" &amp; VJDBCore!P$1 &amp; """", ""),     IF(P149&lt;&gt;"", """" &amp; VJDBCore!Q$1 &amp; """", ""),
    IF(Q153&lt;&gt;"", """" &amp; Q153 &amp; """", ""),
    IF(R149&lt;&gt;"", """" &amp; R149 &amp; """", ""),
    IF(S149&lt;&gt;"", """" &amp; S149 &amp; """", "")
) &amp; "]"</f>
        <v>[]</v>
      </c>
      <c r="U149" s="13"/>
      <c r="V149" s="13"/>
      <c r="W149" s="13"/>
      <c r="X149" s="13"/>
      <c r="Y149" s="13"/>
      <c r="Z149" s="13"/>
      <c r="AA149" s="13"/>
      <c r="AB149" s="13"/>
      <c r="AC149" s="13"/>
      <c r="AD149" s="13"/>
      <c r="AE149" s="13"/>
      <c r="AF149" s="13"/>
      <c r="AG149" s="13"/>
      <c r="AH149" s="13"/>
      <c r="AI149" s="13"/>
      <c r="AJ149" s="13"/>
      <c r="AK149" s="13"/>
      <c r="AL149" s="13"/>
      <c r="AM149" s="13"/>
      <c r="AN149" s="28"/>
    </row>
    <row r="150" spans="1:40" s="10" customFormat="1" ht="23.25" customHeight="1" thickBot="1">
      <c r="A150" s="4"/>
      <c r="B150" s="4"/>
      <c r="C150" s="4"/>
      <c r="D150" s="4"/>
      <c r="E150" s="15"/>
      <c r="F150" s="4"/>
      <c r="G150" s="4"/>
      <c r="H150" s="4"/>
      <c r="I150" s="4"/>
      <c r="J150" s="4"/>
      <c r="K150" s="4"/>
      <c r="L150" s="4"/>
      <c r="M150" s="4"/>
      <c r="N150" s="4"/>
      <c r="O150" s="6"/>
      <c r="P150" s="6"/>
      <c r="Q150" s="4"/>
      <c r="R150" s="7"/>
      <c r="S150" s="4"/>
      <c r="T150" s="3" t="str">
        <f>"[" &amp; _xlfn.TEXTJOIN(", ", TRUE,
    IF(H150&lt;&gt;"", """" &amp; VJDBCore!I$1 &amp; """", ""),
    IF(I150&lt;&gt;"", """" &amp; VJDBCore!J$1 &amp; """", ""),
    IF(J150&lt;&gt;"", """" &amp; VJDBCore!K$1 &amp; """", ""),
    IF(K150&lt;&gt;"", """" &amp; VJDBCore!L$1 &amp; """", ""),
    IF(L150&lt;&gt;"", """" &amp; VJDBCore!M$1 &amp; """", ""),    IF(M150&lt;&gt;"", """" &amp; VJDBCore!N$1 &amp; """", ""),    IF(N150&lt;&gt;"", """" &amp; VJDBCore!O$1 &amp; """", ""),     IF(O150&lt;&gt;"", """" &amp; VJDBCore!P$1 &amp; """", ""),     IF(O150&lt;&gt;"", """" &amp; VJDBCore!P$1 &amp; """", ""),     IF(P150&lt;&gt;"", """" &amp; VJDBCore!Q$1 &amp; """", ""),
    IF(Q154&lt;&gt;"", """" &amp; Q154 &amp; """", ""),
    IF(R150&lt;&gt;"", """" &amp; R150 &amp; """", ""),
    IF(S150&lt;&gt;"", """" &amp; S150 &amp; """", "")
) &amp; "]"</f>
        <v>[]</v>
      </c>
      <c r="U150" s="13"/>
      <c r="V150" s="13"/>
      <c r="W150" s="13"/>
      <c r="X150" s="13"/>
      <c r="Y150" s="13"/>
      <c r="Z150" s="13"/>
      <c r="AA150" s="13"/>
      <c r="AB150" s="13"/>
      <c r="AC150" s="13"/>
      <c r="AD150" s="13"/>
      <c r="AE150" s="13"/>
      <c r="AF150" s="13"/>
      <c r="AG150" s="13"/>
      <c r="AH150" s="13"/>
      <c r="AI150" s="13"/>
      <c r="AJ150" s="13"/>
      <c r="AK150" s="13"/>
      <c r="AL150" s="13"/>
      <c r="AM150" s="13"/>
      <c r="AN150" s="28"/>
    </row>
    <row r="151" spans="1:40" s="10" customFormat="1" ht="23.25" customHeight="1" thickBot="1">
      <c r="A151" s="4"/>
      <c r="B151" s="4"/>
      <c r="C151" s="4"/>
      <c r="D151" s="4"/>
      <c r="E151" s="15"/>
      <c r="F151" s="4"/>
      <c r="G151" s="4"/>
      <c r="H151" s="4"/>
      <c r="I151" s="4"/>
      <c r="J151" s="4"/>
      <c r="K151" s="4"/>
      <c r="L151" s="4"/>
      <c r="M151" s="4"/>
      <c r="N151" s="4"/>
      <c r="O151" s="6"/>
      <c r="P151" s="6"/>
      <c r="Q151" s="4"/>
      <c r="R151" s="7"/>
      <c r="S151" s="4"/>
      <c r="T151" s="3" t="str">
        <f>"[" &amp; _xlfn.TEXTJOIN(", ", TRUE,
    IF(H151&lt;&gt;"", """" &amp; VJDBCore!I$1 &amp; """", ""),
    IF(I151&lt;&gt;"", """" &amp; VJDBCore!J$1 &amp; """", ""),
    IF(J151&lt;&gt;"", """" &amp; VJDBCore!K$1 &amp; """", ""),
    IF(K151&lt;&gt;"", """" &amp; VJDBCore!L$1 &amp; """", ""),
    IF(L151&lt;&gt;"", """" &amp; VJDBCore!M$1 &amp; """", ""),    IF(M151&lt;&gt;"", """" &amp; VJDBCore!N$1 &amp; """", ""),    IF(N151&lt;&gt;"", """" &amp; VJDBCore!O$1 &amp; """", ""),     IF(O151&lt;&gt;"", """" &amp; VJDBCore!P$1 &amp; """", ""),     IF(O151&lt;&gt;"", """" &amp; VJDBCore!P$1 &amp; """", ""),     IF(P151&lt;&gt;"", """" &amp; VJDBCore!Q$1 &amp; """", ""),
    IF(Q155&lt;&gt;"", """" &amp; Q155 &amp; """", ""),
    IF(R151&lt;&gt;"", """" &amp; R151 &amp; """", ""),
    IF(S151&lt;&gt;"", """" &amp; S151 &amp; """", "")
) &amp; "]"</f>
        <v>[]</v>
      </c>
      <c r="U151" s="13"/>
      <c r="V151" s="13"/>
      <c r="W151" s="13"/>
      <c r="X151" s="13"/>
      <c r="Y151" s="13"/>
      <c r="Z151" s="13"/>
      <c r="AA151" s="13"/>
      <c r="AB151" s="13"/>
      <c r="AC151" s="13"/>
      <c r="AD151" s="13"/>
      <c r="AE151" s="13"/>
      <c r="AF151" s="13"/>
      <c r="AG151" s="13"/>
      <c r="AH151" s="13"/>
      <c r="AI151" s="13"/>
      <c r="AJ151" s="13"/>
      <c r="AK151" s="13"/>
      <c r="AL151" s="13"/>
      <c r="AM151" s="13"/>
      <c r="AN151" s="28"/>
    </row>
    <row r="152" spans="1:40" s="10" customFormat="1" ht="23.25" customHeight="1" thickBot="1">
      <c r="A152" s="4"/>
      <c r="B152" s="4"/>
      <c r="C152" s="4"/>
      <c r="D152" s="4"/>
      <c r="E152" s="15"/>
      <c r="F152" s="4"/>
      <c r="G152" s="4"/>
      <c r="H152" s="4"/>
      <c r="I152" s="4"/>
      <c r="J152" s="4"/>
      <c r="K152" s="4"/>
      <c r="L152" s="4"/>
      <c r="M152" s="4"/>
      <c r="N152" s="4"/>
      <c r="O152" s="6"/>
      <c r="P152" s="6"/>
      <c r="Q152" s="4"/>
      <c r="R152" s="7"/>
      <c r="S152" s="4"/>
      <c r="T152" s="3" t="str">
        <f>"[" &amp; _xlfn.TEXTJOIN(", ", TRUE,
    IF(H152&lt;&gt;"", """" &amp; VJDBCore!I$1 &amp; """", ""),
    IF(I152&lt;&gt;"", """" &amp; VJDBCore!J$1 &amp; """", ""),
    IF(J152&lt;&gt;"", """" &amp; VJDBCore!K$1 &amp; """", ""),
    IF(K152&lt;&gt;"", """" &amp; VJDBCore!L$1 &amp; """", ""),
    IF(L152&lt;&gt;"", """" &amp; VJDBCore!M$1 &amp; """", ""),    IF(M152&lt;&gt;"", """" &amp; VJDBCore!N$1 &amp; """", ""),    IF(N152&lt;&gt;"", """" &amp; VJDBCore!O$1 &amp; """", ""),     IF(O152&lt;&gt;"", """" &amp; VJDBCore!P$1 &amp; """", ""),     IF(O152&lt;&gt;"", """" &amp; VJDBCore!P$1 &amp; """", ""),     IF(P152&lt;&gt;"", """" &amp; VJDBCore!Q$1 &amp; """", ""),
    IF(Q156&lt;&gt;"", """" &amp; Q156 &amp; """", ""),
    IF(R152&lt;&gt;"", """" &amp; R152 &amp; """", ""),
    IF(S152&lt;&gt;"", """" &amp; S152 &amp; """", "")
) &amp; "]"</f>
        <v>[]</v>
      </c>
      <c r="U152" s="13"/>
      <c r="V152" s="13"/>
      <c r="W152" s="13"/>
      <c r="X152" s="13"/>
      <c r="Y152" s="13"/>
      <c r="Z152" s="13"/>
      <c r="AA152" s="13"/>
      <c r="AB152" s="13"/>
      <c r="AC152" s="13"/>
      <c r="AD152" s="13"/>
      <c r="AE152" s="13"/>
      <c r="AF152" s="13"/>
      <c r="AG152" s="13"/>
      <c r="AH152" s="13"/>
      <c r="AI152" s="13"/>
      <c r="AJ152" s="13"/>
      <c r="AK152" s="13"/>
      <c r="AL152" s="13"/>
      <c r="AM152" s="13"/>
      <c r="AN152" s="28"/>
    </row>
    <row r="153" spans="1:40" s="10" customFormat="1" ht="23.25" customHeight="1" thickBot="1">
      <c r="A153" s="4"/>
      <c r="B153" s="4"/>
      <c r="C153" s="4"/>
      <c r="D153" s="4"/>
      <c r="E153" s="15"/>
      <c r="F153" s="4"/>
      <c r="G153" s="4"/>
      <c r="H153" s="4"/>
      <c r="I153" s="4"/>
      <c r="J153" s="4"/>
      <c r="K153" s="4"/>
      <c r="L153" s="4"/>
      <c r="M153" s="4"/>
      <c r="N153" s="4"/>
      <c r="O153" s="6"/>
      <c r="P153" s="6"/>
      <c r="Q153" s="4"/>
      <c r="R153" s="7"/>
      <c r="S153" s="4"/>
      <c r="T153" s="3" t="str">
        <f>"[" &amp; _xlfn.TEXTJOIN(", ", TRUE,
    IF(H153&lt;&gt;"", """" &amp; VJDBCore!I$1 &amp; """", ""),
    IF(I153&lt;&gt;"", """" &amp; VJDBCore!J$1 &amp; """", ""),
    IF(J153&lt;&gt;"", """" &amp; VJDBCore!K$1 &amp; """", ""),
    IF(K153&lt;&gt;"", """" &amp; VJDBCore!L$1 &amp; """", ""),
    IF(L153&lt;&gt;"", """" &amp; VJDBCore!M$1 &amp; """", ""),    IF(M153&lt;&gt;"", """" &amp; VJDBCore!N$1 &amp; """", ""),    IF(N153&lt;&gt;"", """" &amp; VJDBCore!O$1 &amp; """", ""),     IF(O153&lt;&gt;"", """" &amp; VJDBCore!P$1 &amp; """", ""),     IF(O153&lt;&gt;"", """" &amp; VJDBCore!P$1 &amp; """", ""),     IF(P153&lt;&gt;"", """" &amp; VJDBCore!Q$1 &amp; """", ""),
    IF(Q157&lt;&gt;"", """" &amp; Q157 &amp; """", ""),
    IF(R153&lt;&gt;"", """" &amp; R153 &amp; """", ""),
    IF(S153&lt;&gt;"", """" &amp; S153 &amp; """", "")
) &amp; "]"</f>
        <v>[]</v>
      </c>
      <c r="U153" s="13"/>
      <c r="V153" s="13"/>
      <c r="W153" s="13"/>
      <c r="X153" s="13"/>
      <c r="Y153" s="13"/>
      <c r="Z153" s="13"/>
      <c r="AA153" s="13"/>
      <c r="AB153" s="13"/>
      <c r="AC153" s="13"/>
      <c r="AD153" s="13"/>
      <c r="AE153" s="13"/>
      <c r="AF153" s="13"/>
      <c r="AG153" s="13"/>
      <c r="AH153" s="13"/>
      <c r="AI153" s="13"/>
      <c r="AJ153" s="13"/>
      <c r="AK153" s="13"/>
      <c r="AL153" s="13"/>
      <c r="AM153" s="13"/>
      <c r="AN153" s="28"/>
    </row>
    <row r="154" spans="1:40" s="10" customFormat="1" ht="23.25" customHeight="1" thickBot="1">
      <c r="A154" s="4"/>
      <c r="B154" s="4"/>
      <c r="C154" s="4"/>
      <c r="D154" s="4"/>
      <c r="E154" s="15"/>
      <c r="F154" s="4"/>
      <c r="G154" s="4"/>
      <c r="H154" s="4"/>
      <c r="I154" s="4"/>
      <c r="J154" s="4"/>
      <c r="K154" s="4"/>
      <c r="L154" s="4"/>
      <c r="M154" s="4"/>
      <c r="N154" s="4"/>
      <c r="O154" s="6"/>
      <c r="P154" s="6"/>
      <c r="Q154" s="4"/>
      <c r="R154" s="7"/>
      <c r="S154" s="4"/>
      <c r="T154" s="3" t="str">
        <f>"[" &amp; _xlfn.TEXTJOIN(", ", TRUE,
    IF(H154&lt;&gt;"", """" &amp; VJDBCore!I$1 &amp; """", ""),
    IF(I154&lt;&gt;"", """" &amp; VJDBCore!J$1 &amp; """", ""),
    IF(J154&lt;&gt;"", """" &amp; VJDBCore!K$1 &amp; """", ""),
    IF(K154&lt;&gt;"", """" &amp; VJDBCore!L$1 &amp; """", ""),
    IF(L154&lt;&gt;"", """" &amp; VJDBCore!M$1 &amp; """", ""),    IF(M154&lt;&gt;"", """" &amp; VJDBCore!N$1 &amp; """", ""),    IF(N154&lt;&gt;"", """" &amp; VJDBCore!O$1 &amp; """", ""),     IF(O154&lt;&gt;"", """" &amp; VJDBCore!P$1 &amp; """", ""),     IF(O154&lt;&gt;"", """" &amp; VJDBCore!P$1 &amp; """", ""),     IF(P154&lt;&gt;"", """" &amp; VJDBCore!Q$1 &amp; """", ""),
    IF(Q158&lt;&gt;"", """" &amp; Q158 &amp; """", ""),
    IF(R154&lt;&gt;"", """" &amp; R154 &amp; """", ""),
    IF(S154&lt;&gt;"", """" &amp; S154 &amp; """", "")
) &amp; "]"</f>
        <v>[]</v>
      </c>
      <c r="U154" s="13"/>
      <c r="V154" s="13"/>
      <c r="W154" s="13"/>
      <c r="X154" s="13"/>
      <c r="Y154" s="13"/>
      <c r="Z154" s="13"/>
      <c r="AA154" s="13"/>
      <c r="AB154" s="13"/>
      <c r="AC154" s="13"/>
      <c r="AD154" s="13"/>
      <c r="AE154" s="13"/>
      <c r="AF154" s="13"/>
      <c r="AG154" s="13"/>
      <c r="AH154" s="13"/>
      <c r="AI154" s="13"/>
      <c r="AJ154" s="13"/>
      <c r="AK154" s="13"/>
      <c r="AL154" s="13"/>
      <c r="AM154" s="13"/>
      <c r="AN154" s="28"/>
    </row>
    <row r="155" spans="1:40" s="10" customFormat="1" ht="23.25" customHeight="1" thickBot="1">
      <c r="A155" s="4"/>
      <c r="B155" s="4"/>
      <c r="C155" s="4"/>
      <c r="D155" s="4"/>
      <c r="E155" s="15"/>
      <c r="F155" s="4"/>
      <c r="G155" s="4"/>
      <c r="H155" s="4"/>
      <c r="I155" s="4"/>
      <c r="J155" s="4"/>
      <c r="K155" s="4"/>
      <c r="L155" s="4"/>
      <c r="M155" s="4"/>
      <c r="N155" s="4"/>
      <c r="O155" s="6"/>
      <c r="P155" s="6"/>
      <c r="Q155" s="4"/>
      <c r="R155" s="7"/>
      <c r="S155" s="4"/>
      <c r="T155" s="3" t="str">
        <f>"[" &amp; _xlfn.TEXTJOIN(", ", TRUE,
    IF(H155&lt;&gt;"", """" &amp; VJDBCore!I$1 &amp; """", ""),
    IF(I155&lt;&gt;"", """" &amp; VJDBCore!J$1 &amp; """", ""),
    IF(J155&lt;&gt;"", """" &amp; VJDBCore!K$1 &amp; """", ""),
    IF(K155&lt;&gt;"", """" &amp; VJDBCore!L$1 &amp; """", ""),
    IF(L155&lt;&gt;"", """" &amp; VJDBCore!M$1 &amp; """", ""),    IF(M155&lt;&gt;"", """" &amp; VJDBCore!N$1 &amp; """", ""),    IF(N155&lt;&gt;"", """" &amp; VJDBCore!O$1 &amp; """", ""),     IF(O155&lt;&gt;"", """" &amp; VJDBCore!P$1 &amp; """", ""),     IF(O155&lt;&gt;"", """" &amp; VJDBCore!P$1 &amp; """", ""),     IF(P155&lt;&gt;"", """" &amp; VJDBCore!Q$1 &amp; """", ""),
    IF(Q159&lt;&gt;"", """" &amp; Q159 &amp; """", ""),
    IF(R155&lt;&gt;"", """" &amp; R155 &amp; """", ""),
    IF(S155&lt;&gt;"", """" &amp; S155 &amp; """", "")
) &amp; "]"</f>
        <v>[]</v>
      </c>
      <c r="U155" s="13"/>
      <c r="V155" s="13"/>
      <c r="W155" s="13"/>
      <c r="X155" s="13"/>
      <c r="Y155" s="13"/>
      <c r="Z155" s="13"/>
      <c r="AA155" s="13"/>
      <c r="AB155" s="13"/>
      <c r="AC155" s="13"/>
      <c r="AD155" s="13"/>
      <c r="AE155" s="13"/>
      <c r="AF155" s="13"/>
      <c r="AG155" s="13"/>
      <c r="AH155" s="13"/>
      <c r="AI155" s="13"/>
      <c r="AJ155" s="13"/>
      <c r="AK155" s="13"/>
      <c r="AL155" s="13"/>
      <c r="AM155" s="13"/>
      <c r="AN155" s="28"/>
    </row>
    <row r="156" spans="1:40" s="10" customFormat="1" ht="23.25" customHeight="1" thickBot="1">
      <c r="A156" s="4"/>
      <c r="B156" s="4"/>
      <c r="C156" s="4"/>
      <c r="D156" s="4"/>
      <c r="E156" s="15"/>
      <c r="F156" s="4"/>
      <c r="G156" s="4"/>
      <c r="H156" s="4"/>
      <c r="I156" s="4"/>
      <c r="J156" s="4"/>
      <c r="K156" s="4"/>
      <c r="L156" s="4"/>
      <c r="M156" s="4"/>
      <c r="N156" s="4"/>
      <c r="O156" s="6"/>
      <c r="P156" s="6"/>
      <c r="Q156" s="4"/>
      <c r="R156" s="7"/>
      <c r="S156" s="4"/>
      <c r="T156" s="3" t="str">
        <f>"[" &amp; _xlfn.TEXTJOIN(", ", TRUE,
    IF(H156&lt;&gt;"", """" &amp; VJDBCore!I$1 &amp; """", ""),
    IF(I156&lt;&gt;"", """" &amp; VJDBCore!J$1 &amp; """", ""),
    IF(J156&lt;&gt;"", """" &amp; VJDBCore!K$1 &amp; """", ""),
    IF(K156&lt;&gt;"", """" &amp; VJDBCore!L$1 &amp; """", ""),
    IF(L156&lt;&gt;"", """" &amp; VJDBCore!M$1 &amp; """", ""),    IF(M156&lt;&gt;"", """" &amp; VJDBCore!N$1 &amp; """", ""),    IF(N156&lt;&gt;"", """" &amp; VJDBCore!O$1 &amp; """", ""),     IF(O156&lt;&gt;"", """" &amp; VJDBCore!P$1 &amp; """", ""),     IF(O156&lt;&gt;"", """" &amp; VJDBCore!P$1 &amp; """", ""),     IF(P156&lt;&gt;"", """" &amp; VJDBCore!Q$1 &amp; """", ""),
    IF(Q160&lt;&gt;"", """" &amp; Q160 &amp; """", ""),
    IF(R156&lt;&gt;"", """" &amp; R156 &amp; """", ""),
    IF(S156&lt;&gt;"", """" &amp; S156 &amp; """", "")
) &amp; "]"</f>
        <v>[]</v>
      </c>
      <c r="U156" s="13"/>
      <c r="V156" s="13"/>
      <c r="W156" s="13"/>
      <c r="X156" s="13"/>
      <c r="Y156" s="13"/>
      <c r="Z156" s="13"/>
      <c r="AA156" s="13"/>
      <c r="AB156" s="13"/>
      <c r="AC156" s="13"/>
      <c r="AD156" s="13"/>
      <c r="AE156" s="13"/>
      <c r="AF156" s="13"/>
      <c r="AG156" s="13"/>
      <c r="AH156" s="13"/>
      <c r="AI156" s="13"/>
      <c r="AJ156" s="13"/>
      <c r="AK156" s="13"/>
      <c r="AL156" s="13"/>
      <c r="AM156" s="13"/>
      <c r="AN156" s="28"/>
    </row>
    <row r="157" spans="1:40" s="10" customFormat="1" ht="23.25" customHeight="1" thickBot="1">
      <c r="A157" s="4"/>
      <c r="B157" s="4"/>
      <c r="C157" s="4"/>
      <c r="D157" s="4"/>
      <c r="E157" s="15"/>
      <c r="F157" s="4"/>
      <c r="G157" s="4"/>
      <c r="H157" s="4"/>
      <c r="I157" s="4"/>
      <c r="J157" s="4"/>
      <c r="K157" s="4"/>
      <c r="L157" s="4"/>
      <c r="M157" s="4"/>
      <c r="N157" s="4"/>
      <c r="O157" s="6"/>
      <c r="P157" s="6"/>
      <c r="Q157" s="4"/>
      <c r="R157" s="7"/>
      <c r="S157" s="4"/>
      <c r="T157" s="3" t="str">
        <f>"[" &amp; _xlfn.TEXTJOIN(", ", TRUE,
    IF(H157&lt;&gt;"", """" &amp; VJDBCore!I$1 &amp; """", ""),
    IF(I157&lt;&gt;"", """" &amp; VJDBCore!J$1 &amp; """", ""),
    IF(J157&lt;&gt;"", """" &amp; VJDBCore!K$1 &amp; """", ""),
    IF(K157&lt;&gt;"", """" &amp; VJDBCore!L$1 &amp; """", ""),
    IF(L157&lt;&gt;"", """" &amp; VJDBCore!M$1 &amp; """", ""),    IF(M157&lt;&gt;"", """" &amp; VJDBCore!N$1 &amp; """", ""),    IF(N157&lt;&gt;"", """" &amp; VJDBCore!O$1 &amp; """", ""),     IF(O157&lt;&gt;"", """" &amp; VJDBCore!P$1 &amp; """", ""),     IF(O157&lt;&gt;"", """" &amp; VJDBCore!P$1 &amp; """", ""),     IF(P157&lt;&gt;"", """" &amp; VJDBCore!Q$1 &amp; """", ""),
    IF(Q161&lt;&gt;"", """" &amp; Q161 &amp; """", ""),
    IF(R157&lt;&gt;"", """" &amp; R157 &amp; """", ""),
    IF(S157&lt;&gt;"", """" &amp; S157 &amp; """", "")
) &amp; "]"</f>
        <v>[]</v>
      </c>
      <c r="U157" s="13"/>
      <c r="V157" s="13"/>
      <c r="W157" s="13"/>
      <c r="X157" s="13"/>
      <c r="Y157" s="13"/>
      <c r="Z157" s="13"/>
      <c r="AA157" s="13"/>
      <c r="AB157" s="13"/>
      <c r="AC157" s="13"/>
      <c r="AD157" s="13"/>
      <c r="AE157" s="13"/>
      <c r="AF157" s="13"/>
      <c r="AG157" s="13"/>
      <c r="AH157" s="13"/>
      <c r="AI157" s="13"/>
      <c r="AJ157" s="13"/>
      <c r="AK157" s="13"/>
      <c r="AL157" s="13"/>
      <c r="AM157" s="13"/>
      <c r="AN157" s="28"/>
    </row>
    <row r="158" spans="1:40" s="10" customFormat="1" ht="23.25" customHeight="1" thickBot="1">
      <c r="A158" s="4"/>
      <c r="B158" s="4"/>
      <c r="C158" s="4"/>
      <c r="D158" s="4"/>
      <c r="E158" s="15"/>
      <c r="F158" s="4"/>
      <c r="G158" s="4"/>
      <c r="H158" s="4"/>
      <c r="I158" s="4"/>
      <c r="J158" s="4"/>
      <c r="K158" s="4"/>
      <c r="L158" s="4"/>
      <c r="M158" s="4"/>
      <c r="N158" s="4"/>
      <c r="O158" s="6"/>
      <c r="P158" s="6"/>
      <c r="Q158" s="4"/>
      <c r="R158" s="7"/>
      <c r="S158" s="4"/>
      <c r="T158" s="3" t="str">
        <f>"[" &amp; _xlfn.TEXTJOIN(", ", TRUE,
    IF(H158&lt;&gt;"", """" &amp; VJDBCore!I$1 &amp; """", ""),
    IF(I158&lt;&gt;"", """" &amp; VJDBCore!J$1 &amp; """", ""),
    IF(J158&lt;&gt;"", """" &amp; VJDBCore!K$1 &amp; """", ""),
    IF(K158&lt;&gt;"", """" &amp; VJDBCore!L$1 &amp; """", ""),
    IF(L158&lt;&gt;"", """" &amp; VJDBCore!M$1 &amp; """", ""),    IF(M158&lt;&gt;"", """" &amp; VJDBCore!N$1 &amp; """", ""),    IF(N158&lt;&gt;"", """" &amp; VJDBCore!O$1 &amp; """", ""),     IF(O158&lt;&gt;"", """" &amp; VJDBCore!P$1 &amp; """", ""),     IF(O158&lt;&gt;"", """" &amp; VJDBCore!P$1 &amp; """", ""),     IF(P158&lt;&gt;"", """" &amp; VJDBCore!Q$1 &amp; """", ""),
    IF(Q162&lt;&gt;"", """" &amp; Q162 &amp; """", ""),
    IF(R158&lt;&gt;"", """" &amp; R158 &amp; """", ""),
    IF(S158&lt;&gt;"", """" &amp; S158 &amp; """", "")
) &amp; "]"</f>
        <v>[]</v>
      </c>
      <c r="U158" s="13"/>
      <c r="V158" s="13"/>
      <c r="W158" s="13"/>
      <c r="X158" s="13"/>
      <c r="Y158" s="13"/>
      <c r="Z158" s="13"/>
      <c r="AA158" s="13"/>
      <c r="AB158" s="13"/>
      <c r="AC158" s="13"/>
      <c r="AD158" s="13"/>
      <c r="AE158" s="13"/>
      <c r="AF158" s="13"/>
      <c r="AG158" s="13"/>
      <c r="AH158" s="13"/>
      <c r="AI158" s="13"/>
      <c r="AJ158" s="13"/>
      <c r="AK158" s="13"/>
      <c r="AL158" s="13"/>
      <c r="AM158" s="13"/>
      <c r="AN158" s="28"/>
    </row>
    <row r="159" spans="1:40" s="10" customFormat="1" ht="23.25" customHeight="1" thickBot="1">
      <c r="A159" s="4"/>
      <c r="B159" s="4"/>
      <c r="C159" s="4"/>
      <c r="D159" s="4"/>
      <c r="E159" s="15"/>
      <c r="F159" s="4"/>
      <c r="G159" s="4"/>
      <c r="H159" s="4"/>
      <c r="I159" s="4"/>
      <c r="J159" s="4"/>
      <c r="K159" s="4"/>
      <c r="L159" s="4"/>
      <c r="M159" s="4"/>
      <c r="N159" s="4"/>
      <c r="O159" s="6"/>
      <c r="P159" s="6"/>
      <c r="Q159" s="4"/>
      <c r="R159" s="7"/>
      <c r="S159" s="4"/>
      <c r="T159" s="3" t="str">
        <f>"[" &amp; _xlfn.TEXTJOIN(", ", TRUE,
    IF(H159&lt;&gt;"", """" &amp; VJDBCore!I$1 &amp; """", ""),
    IF(I159&lt;&gt;"", """" &amp; VJDBCore!J$1 &amp; """", ""),
    IF(J159&lt;&gt;"", """" &amp; VJDBCore!K$1 &amp; """", ""),
    IF(K159&lt;&gt;"", """" &amp; VJDBCore!L$1 &amp; """", ""),
    IF(L159&lt;&gt;"", """" &amp; VJDBCore!M$1 &amp; """", ""),    IF(M159&lt;&gt;"", """" &amp; VJDBCore!N$1 &amp; """", ""),    IF(N159&lt;&gt;"", """" &amp; VJDBCore!O$1 &amp; """", ""),     IF(O159&lt;&gt;"", """" &amp; VJDBCore!P$1 &amp; """", ""),     IF(O159&lt;&gt;"", """" &amp; VJDBCore!P$1 &amp; """", ""),     IF(P159&lt;&gt;"", """" &amp; VJDBCore!Q$1 &amp; """", ""),
    IF(Q163&lt;&gt;"", """" &amp; Q163 &amp; """", ""),
    IF(R159&lt;&gt;"", """" &amp; R159 &amp; """", ""),
    IF(S159&lt;&gt;"", """" &amp; S159 &amp; """", "")
) &amp; "]"</f>
        <v>[]</v>
      </c>
      <c r="U159" s="13"/>
      <c r="V159" s="13"/>
      <c r="W159" s="13"/>
      <c r="X159" s="13"/>
      <c r="Y159" s="13"/>
      <c r="Z159" s="13"/>
      <c r="AA159" s="13"/>
      <c r="AB159" s="13"/>
      <c r="AC159" s="13"/>
      <c r="AD159" s="13"/>
      <c r="AE159" s="13"/>
      <c r="AF159" s="13"/>
      <c r="AG159" s="13"/>
      <c r="AH159" s="13"/>
      <c r="AI159" s="13"/>
      <c r="AJ159" s="13"/>
      <c r="AK159" s="13"/>
      <c r="AL159" s="13"/>
      <c r="AM159" s="13"/>
      <c r="AN159" s="28"/>
    </row>
    <row r="160" spans="1:40" s="10" customFormat="1" ht="23.25" customHeight="1" thickBot="1">
      <c r="A160" s="4"/>
      <c r="B160" s="4"/>
      <c r="C160" s="4"/>
      <c r="D160" s="4"/>
      <c r="E160" s="15"/>
      <c r="F160" s="4"/>
      <c r="G160" s="4"/>
      <c r="H160" s="4"/>
      <c r="I160" s="4"/>
      <c r="J160" s="4"/>
      <c r="K160" s="4"/>
      <c r="L160" s="4"/>
      <c r="M160" s="4"/>
      <c r="N160" s="4"/>
      <c r="O160" s="6"/>
      <c r="P160" s="6"/>
      <c r="Q160" s="4"/>
      <c r="R160" s="7"/>
      <c r="S160" s="4"/>
      <c r="T160" s="3" t="str">
        <f>"[" &amp; _xlfn.TEXTJOIN(", ", TRUE,
    IF(H160&lt;&gt;"", """" &amp; VJDBCore!I$1 &amp; """", ""),
    IF(I160&lt;&gt;"", """" &amp; VJDBCore!J$1 &amp; """", ""),
    IF(J160&lt;&gt;"", """" &amp; VJDBCore!K$1 &amp; """", ""),
    IF(K160&lt;&gt;"", """" &amp; VJDBCore!L$1 &amp; """", ""),
    IF(L160&lt;&gt;"", """" &amp; VJDBCore!M$1 &amp; """", ""),    IF(M160&lt;&gt;"", """" &amp; VJDBCore!N$1 &amp; """", ""),    IF(N160&lt;&gt;"", """" &amp; VJDBCore!O$1 &amp; """", ""),     IF(O160&lt;&gt;"", """" &amp; VJDBCore!P$1 &amp; """", ""),     IF(O160&lt;&gt;"", """" &amp; VJDBCore!P$1 &amp; """", ""),     IF(P160&lt;&gt;"", """" &amp; VJDBCore!Q$1 &amp; """", ""),
    IF(Q164&lt;&gt;"", """" &amp; Q164 &amp; """", ""),
    IF(R160&lt;&gt;"", """" &amp; R160 &amp; """", ""),
    IF(S160&lt;&gt;"", """" &amp; S160 &amp; """", "")
) &amp; "]"</f>
        <v>[]</v>
      </c>
      <c r="U160" s="13"/>
      <c r="V160" s="13"/>
      <c r="W160" s="13"/>
      <c r="X160" s="13"/>
      <c r="Y160" s="13"/>
      <c r="Z160" s="13"/>
      <c r="AA160" s="13"/>
      <c r="AB160" s="13"/>
      <c r="AC160" s="13"/>
      <c r="AD160" s="13"/>
      <c r="AE160" s="13"/>
      <c r="AF160" s="13"/>
      <c r="AG160" s="13"/>
      <c r="AH160" s="13"/>
      <c r="AI160" s="13"/>
      <c r="AJ160" s="13"/>
      <c r="AK160" s="13"/>
      <c r="AL160" s="13"/>
      <c r="AM160" s="13"/>
      <c r="AN160" s="28"/>
    </row>
    <row r="161" spans="1:40" s="10" customFormat="1" ht="23.25" customHeight="1" thickBot="1">
      <c r="A161" s="4"/>
      <c r="B161" s="4"/>
      <c r="C161" s="4"/>
      <c r="D161" s="4"/>
      <c r="E161" s="15"/>
      <c r="F161" s="4"/>
      <c r="G161" s="4"/>
      <c r="H161" s="4"/>
      <c r="I161" s="4"/>
      <c r="J161" s="4"/>
      <c r="K161" s="4"/>
      <c r="L161" s="4"/>
      <c r="M161" s="4"/>
      <c r="N161" s="4"/>
      <c r="O161" s="6"/>
      <c r="P161" s="6"/>
      <c r="Q161" s="4"/>
      <c r="R161" s="7"/>
      <c r="S161" s="4"/>
      <c r="T161" s="3" t="str">
        <f>"[" &amp; _xlfn.TEXTJOIN(", ", TRUE,
    IF(H161&lt;&gt;"", """" &amp; VJDBCore!I$1 &amp; """", ""),
    IF(I161&lt;&gt;"", """" &amp; VJDBCore!J$1 &amp; """", ""),
    IF(J161&lt;&gt;"", """" &amp; VJDBCore!K$1 &amp; """", ""),
    IF(K161&lt;&gt;"", """" &amp; VJDBCore!L$1 &amp; """", ""),
    IF(L161&lt;&gt;"", """" &amp; VJDBCore!M$1 &amp; """", ""),    IF(M161&lt;&gt;"", """" &amp; VJDBCore!N$1 &amp; """", ""),    IF(N161&lt;&gt;"", """" &amp; VJDBCore!O$1 &amp; """", ""),     IF(O161&lt;&gt;"", """" &amp; VJDBCore!P$1 &amp; """", ""),     IF(O161&lt;&gt;"", """" &amp; VJDBCore!P$1 &amp; """", ""),     IF(P161&lt;&gt;"", """" &amp; VJDBCore!Q$1 &amp; """", ""),
    IF(Q165&lt;&gt;"", """" &amp; Q165 &amp; """", ""),
    IF(R161&lt;&gt;"", """" &amp; R161 &amp; """", ""),
    IF(S161&lt;&gt;"", """" &amp; S161 &amp; """", "")
) &amp; "]"</f>
        <v>[]</v>
      </c>
      <c r="U161" s="13"/>
      <c r="V161" s="13"/>
      <c r="W161" s="13"/>
      <c r="X161" s="13"/>
      <c r="Y161" s="13"/>
      <c r="Z161" s="13"/>
      <c r="AA161" s="13"/>
      <c r="AB161" s="13"/>
      <c r="AC161" s="13"/>
      <c r="AD161" s="13"/>
      <c r="AE161" s="13"/>
      <c r="AF161" s="13"/>
      <c r="AG161" s="13"/>
      <c r="AH161" s="13"/>
      <c r="AI161" s="13"/>
      <c r="AJ161" s="13"/>
      <c r="AK161" s="13"/>
      <c r="AL161" s="13"/>
      <c r="AM161" s="13"/>
      <c r="AN161" s="28"/>
    </row>
    <row r="162" spans="1:40" s="10" customFormat="1" ht="23.25" customHeight="1" thickBot="1">
      <c r="A162" s="4"/>
      <c r="B162" s="4"/>
      <c r="C162" s="4"/>
      <c r="D162" s="4"/>
      <c r="E162" s="15"/>
      <c r="F162" s="4"/>
      <c r="G162" s="4"/>
      <c r="H162" s="4"/>
      <c r="I162" s="4"/>
      <c r="J162" s="4"/>
      <c r="K162" s="4"/>
      <c r="L162" s="4"/>
      <c r="M162" s="4"/>
      <c r="N162" s="4"/>
      <c r="O162" s="6"/>
      <c r="P162" s="6"/>
      <c r="Q162" s="4"/>
      <c r="R162" s="7"/>
      <c r="S162" s="4"/>
      <c r="T162" s="3" t="str">
        <f>"[" &amp; _xlfn.TEXTJOIN(", ", TRUE,
    IF(H162&lt;&gt;"", """" &amp; VJDBCore!I$1 &amp; """", ""),
    IF(I162&lt;&gt;"", """" &amp; VJDBCore!J$1 &amp; """", ""),
    IF(J162&lt;&gt;"", """" &amp; VJDBCore!K$1 &amp; """", ""),
    IF(K162&lt;&gt;"", """" &amp; VJDBCore!L$1 &amp; """", ""),
    IF(L162&lt;&gt;"", """" &amp; VJDBCore!M$1 &amp; """", ""),    IF(M162&lt;&gt;"", """" &amp; VJDBCore!N$1 &amp; """", ""),    IF(N162&lt;&gt;"", """" &amp; VJDBCore!O$1 &amp; """", ""),     IF(O162&lt;&gt;"", """" &amp; VJDBCore!P$1 &amp; """", ""),     IF(O162&lt;&gt;"", """" &amp; VJDBCore!P$1 &amp; """", ""),     IF(P162&lt;&gt;"", """" &amp; VJDBCore!Q$1 &amp; """", ""),
    IF(Q166&lt;&gt;"", """" &amp; Q166 &amp; """", ""),
    IF(R162&lt;&gt;"", """" &amp; R162 &amp; """", ""),
    IF(S162&lt;&gt;"", """" &amp; S162 &amp; """", "")
) &amp; "]"</f>
        <v>[]</v>
      </c>
      <c r="U162" s="13"/>
      <c r="V162" s="13"/>
      <c r="W162" s="13"/>
      <c r="X162" s="13"/>
      <c r="Y162" s="13"/>
      <c r="Z162" s="13"/>
      <c r="AA162" s="13"/>
      <c r="AB162" s="13"/>
      <c r="AC162" s="13"/>
      <c r="AD162" s="13"/>
      <c r="AE162" s="13"/>
      <c r="AF162" s="13"/>
      <c r="AG162" s="13"/>
      <c r="AH162" s="13"/>
      <c r="AI162" s="13"/>
      <c r="AJ162" s="13"/>
      <c r="AK162" s="13"/>
      <c r="AL162" s="13"/>
      <c r="AM162" s="13"/>
      <c r="AN162" s="28"/>
    </row>
    <row r="163" spans="1:40" s="10" customFormat="1" ht="23.25" customHeight="1" thickBot="1">
      <c r="A163" s="4"/>
      <c r="B163" s="4"/>
      <c r="C163" s="4"/>
      <c r="D163" s="4"/>
      <c r="E163" s="15"/>
      <c r="F163" s="4"/>
      <c r="G163" s="4"/>
      <c r="H163" s="4"/>
      <c r="I163" s="4"/>
      <c r="J163" s="4"/>
      <c r="K163" s="4"/>
      <c r="L163" s="4"/>
      <c r="M163" s="4"/>
      <c r="N163" s="4"/>
      <c r="O163" s="6"/>
      <c r="P163" s="6"/>
      <c r="Q163" s="4"/>
      <c r="R163" s="7"/>
      <c r="S163" s="4"/>
      <c r="T163" s="3" t="str">
        <f>"[" &amp; _xlfn.TEXTJOIN(", ", TRUE,
    IF(H163&lt;&gt;"", """" &amp; VJDBCore!I$1 &amp; """", ""),
    IF(I163&lt;&gt;"", """" &amp; VJDBCore!J$1 &amp; """", ""),
    IF(J163&lt;&gt;"", """" &amp; VJDBCore!K$1 &amp; """", ""),
    IF(K163&lt;&gt;"", """" &amp; VJDBCore!L$1 &amp; """", ""),
    IF(L163&lt;&gt;"", """" &amp; VJDBCore!M$1 &amp; """", ""),    IF(M163&lt;&gt;"", """" &amp; VJDBCore!N$1 &amp; """", ""),    IF(N163&lt;&gt;"", """" &amp; VJDBCore!O$1 &amp; """", ""),     IF(O163&lt;&gt;"", """" &amp; VJDBCore!P$1 &amp; """", ""),     IF(O163&lt;&gt;"", """" &amp; VJDBCore!P$1 &amp; """", ""),     IF(P163&lt;&gt;"", """" &amp; VJDBCore!Q$1 &amp; """", ""),
    IF(Q167&lt;&gt;"", """" &amp; Q167 &amp; """", ""),
    IF(R163&lt;&gt;"", """" &amp; R163 &amp; """", ""),
    IF(S163&lt;&gt;"", """" &amp; S163 &amp; """", "")
) &amp; "]"</f>
        <v>[]</v>
      </c>
      <c r="U163" s="13"/>
      <c r="V163" s="13"/>
      <c r="W163" s="13"/>
      <c r="X163" s="13"/>
      <c r="Y163" s="13"/>
      <c r="Z163" s="13"/>
      <c r="AA163" s="13"/>
      <c r="AB163" s="13"/>
      <c r="AC163" s="13"/>
      <c r="AD163" s="13"/>
      <c r="AE163" s="13"/>
      <c r="AF163" s="13"/>
      <c r="AG163" s="13"/>
      <c r="AH163" s="13"/>
      <c r="AI163" s="13"/>
      <c r="AJ163" s="13"/>
      <c r="AK163" s="13"/>
      <c r="AL163" s="13"/>
      <c r="AM163" s="13"/>
      <c r="AN163" s="28"/>
    </row>
    <row r="164" spans="1:40" s="10" customFormat="1" ht="23.25" customHeight="1" thickBot="1">
      <c r="A164" s="4"/>
      <c r="B164" s="4"/>
      <c r="C164" s="4"/>
      <c r="D164" s="4"/>
      <c r="E164" s="15"/>
      <c r="F164" s="4"/>
      <c r="G164" s="4"/>
      <c r="H164" s="4"/>
      <c r="I164" s="4"/>
      <c r="J164" s="4"/>
      <c r="K164" s="4"/>
      <c r="L164" s="4"/>
      <c r="M164" s="4"/>
      <c r="N164" s="4"/>
      <c r="O164" s="6"/>
      <c r="P164" s="6"/>
      <c r="Q164" s="4"/>
      <c r="R164" s="7"/>
      <c r="S164" s="4"/>
      <c r="T164" s="3" t="str">
        <f>"[" &amp; _xlfn.TEXTJOIN(", ", TRUE,
    IF(H164&lt;&gt;"", """" &amp; VJDBCore!I$1 &amp; """", ""),
    IF(I164&lt;&gt;"", """" &amp; VJDBCore!J$1 &amp; """", ""),
    IF(J164&lt;&gt;"", """" &amp; VJDBCore!K$1 &amp; """", ""),
    IF(K164&lt;&gt;"", """" &amp; VJDBCore!L$1 &amp; """", ""),
    IF(L164&lt;&gt;"", """" &amp; VJDBCore!M$1 &amp; """", ""),    IF(M164&lt;&gt;"", """" &amp; VJDBCore!N$1 &amp; """", ""),    IF(N164&lt;&gt;"", """" &amp; VJDBCore!O$1 &amp; """", ""),     IF(O164&lt;&gt;"", """" &amp; VJDBCore!P$1 &amp; """", ""),     IF(O164&lt;&gt;"", """" &amp; VJDBCore!P$1 &amp; """", ""),     IF(P164&lt;&gt;"", """" &amp; VJDBCore!Q$1 &amp; """", ""),
    IF(Q168&lt;&gt;"", """" &amp; Q168 &amp; """", ""),
    IF(R164&lt;&gt;"", """" &amp; R164 &amp; """", ""),
    IF(S164&lt;&gt;"", """" &amp; S164 &amp; """", "")
) &amp; "]"</f>
        <v>[]</v>
      </c>
      <c r="U164" s="13"/>
      <c r="V164" s="13"/>
      <c r="W164" s="13"/>
      <c r="X164" s="13"/>
      <c r="Y164" s="13"/>
      <c r="Z164" s="13"/>
      <c r="AA164" s="13"/>
      <c r="AB164" s="13"/>
      <c r="AC164" s="13"/>
      <c r="AD164" s="13"/>
      <c r="AE164" s="13"/>
      <c r="AF164" s="13"/>
      <c r="AG164" s="13"/>
      <c r="AH164" s="13"/>
      <c r="AI164" s="13"/>
      <c r="AJ164" s="13"/>
      <c r="AK164" s="13"/>
      <c r="AL164" s="13"/>
      <c r="AM164" s="13"/>
      <c r="AN164" s="28"/>
    </row>
    <row r="165" spans="1:40" s="10" customFormat="1" ht="23.25" customHeight="1" thickBot="1">
      <c r="A165" s="4"/>
      <c r="B165" s="4"/>
      <c r="C165" s="4"/>
      <c r="D165" s="4"/>
      <c r="E165" s="15"/>
      <c r="F165" s="4"/>
      <c r="G165" s="4"/>
      <c r="H165" s="4"/>
      <c r="I165" s="4"/>
      <c r="J165" s="4"/>
      <c r="K165" s="4"/>
      <c r="L165" s="4"/>
      <c r="M165" s="4"/>
      <c r="N165" s="4"/>
      <c r="O165" s="6"/>
      <c r="P165" s="6"/>
      <c r="Q165" s="4"/>
      <c r="R165" s="7"/>
      <c r="S165" s="4"/>
      <c r="T165" s="3" t="str">
        <f>"[" &amp; _xlfn.TEXTJOIN(", ", TRUE,
    IF(H165&lt;&gt;"", """" &amp; VJDBCore!I$1 &amp; """", ""),
    IF(I165&lt;&gt;"", """" &amp; VJDBCore!J$1 &amp; """", ""),
    IF(J165&lt;&gt;"", """" &amp; VJDBCore!K$1 &amp; """", ""),
    IF(K165&lt;&gt;"", """" &amp; VJDBCore!L$1 &amp; """", ""),
    IF(L165&lt;&gt;"", """" &amp; VJDBCore!M$1 &amp; """", ""),    IF(M165&lt;&gt;"", """" &amp; VJDBCore!N$1 &amp; """", ""),    IF(N165&lt;&gt;"", """" &amp; VJDBCore!O$1 &amp; """", ""),     IF(O165&lt;&gt;"", """" &amp; VJDBCore!P$1 &amp; """", ""),     IF(O165&lt;&gt;"", """" &amp; VJDBCore!P$1 &amp; """", ""),     IF(P165&lt;&gt;"", """" &amp; VJDBCore!Q$1 &amp; """", ""),
    IF(Q169&lt;&gt;"", """" &amp; Q169 &amp; """", ""),
    IF(R165&lt;&gt;"", """" &amp; R165 &amp; """", ""),
    IF(S165&lt;&gt;"", """" &amp; S165 &amp; """", "")
) &amp; "]"</f>
        <v>[]</v>
      </c>
      <c r="U165" s="13"/>
      <c r="V165" s="13"/>
      <c r="W165" s="13"/>
      <c r="X165" s="13"/>
      <c r="Y165" s="13"/>
      <c r="Z165" s="13"/>
      <c r="AA165" s="13"/>
      <c r="AB165" s="13"/>
      <c r="AC165" s="13"/>
      <c r="AD165" s="13"/>
      <c r="AE165" s="13"/>
      <c r="AF165" s="13"/>
      <c r="AG165" s="13"/>
      <c r="AH165" s="13"/>
      <c r="AI165" s="13"/>
      <c r="AJ165" s="13"/>
      <c r="AK165" s="13"/>
      <c r="AL165" s="13"/>
      <c r="AM165" s="13"/>
      <c r="AN165" s="28"/>
    </row>
    <row r="166" spans="1:40" s="10" customFormat="1" ht="23.25" customHeight="1" thickBot="1">
      <c r="A166" s="4"/>
      <c r="B166" s="4"/>
      <c r="C166" s="4"/>
      <c r="D166" s="4"/>
      <c r="E166" s="15"/>
      <c r="F166" s="4"/>
      <c r="G166" s="4"/>
      <c r="H166" s="4"/>
      <c r="I166" s="4"/>
      <c r="J166" s="4"/>
      <c r="K166" s="4"/>
      <c r="L166" s="4"/>
      <c r="M166" s="4"/>
      <c r="N166" s="4"/>
      <c r="O166" s="6"/>
      <c r="P166" s="6"/>
      <c r="Q166" s="4"/>
      <c r="R166" s="7"/>
      <c r="S166" s="4"/>
      <c r="T166" s="3" t="str">
        <f>"[" &amp; _xlfn.TEXTJOIN(", ", TRUE,
    IF(H166&lt;&gt;"", """" &amp; VJDBCore!I$1 &amp; """", ""),
    IF(I166&lt;&gt;"", """" &amp; VJDBCore!J$1 &amp; """", ""),
    IF(J166&lt;&gt;"", """" &amp; VJDBCore!K$1 &amp; """", ""),
    IF(K166&lt;&gt;"", """" &amp; VJDBCore!L$1 &amp; """", ""),
    IF(L166&lt;&gt;"", """" &amp; VJDBCore!M$1 &amp; """", ""),    IF(M166&lt;&gt;"", """" &amp; VJDBCore!N$1 &amp; """", ""),    IF(N166&lt;&gt;"", """" &amp; VJDBCore!O$1 &amp; """", ""),     IF(O166&lt;&gt;"", """" &amp; VJDBCore!P$1 &amp; """", ""),     IF(O166&lt;&gt;"", """" &amp; VJDBCore!P$1 &amp; """", ""),     IF(P166&lt;&gt;"", """" &amp; VJDBCore!Q$1 &amp; """", ""),
    IF(Q170&lt;&gt;"", """" &amp; Q170 &amp; """", ""),
    IF(R166&lt;&gt;"", """" &amp; R166 &amp; """", ""),
    IF(S166&lt;&gt;"", """" &amp; S166 &amp; """", "")
) &amp; "]"</f>
        <v>[]</v>
      </c>
      <c r="U166" s="13"/>
      <c r="V166" s="13"/>
      <c r="W166" s="13"/>
      <c r="X166" s="13"/>
      <c r="Y166" s="13"/>
      <c r="Z166" s="13"/>
      <c r="AA166" s="13"/>
      <c r="AB166" s="13"/>
      <c r="AC166" s="13"/>
      <c r="AD166" s="13"/>
      <c r="AE166" s="13"/>
      <c r="AF166" s="13"/>
      <c r="AG166" s="13"/>
      <c r="AH166" s="13"/>
      <c r="AI166" s="13"/>
      <c r="AJ166" s="13"/>
      <c r="AK166" s="13"/>
      <c r="AL166" s="13"/>
      <c r="AM166" s="13"/>
      <c r="AN166" s="28"/>
    </row>
    <row r="167" spans="1:40" s="10" customFormat="1" ht="23.25" customHeight="1" thickBot="1">
      <c r="A167" s="4"/>
      <c r="B167" s="4"/>
      <c r="C167" s="4"/>
      <c r="D167" s="4"/>
      <c r="E167" s="15"/>
      <c r="F167" s="4"/>
      <c r="G167" s="4"/>
      <c r="H167" s="4"/>
      <c r="I167" s="4"/>
      <c r="J167" s="4"/>
      <c r="K167" s="4"/>
      <c r="L167" s="4"/>
      <c r="M167" s="4"/>
      <c r="N167" s="4"/>
      <c r="O167" s="6"/>
      <c r="P167" s="6"/>
      <c r="Q167" s="4"/>
      <c r="R167" s="7"/>
      <c r="S167" s="4"/>
      <c r="T167" s="3" t="str">
        <f>"[" &amp; _xlfn.TEXTJOIN(", ", TRUE,
    IF(H167&lt;&gt;"", """" &amp; VJDBCore!I$1 &amp; """", ""),
    IF(I167&lt;&gt;"", """" &amp; VJDBCore!J$1 &amp; """", ""),
    IF(J167&lt;&gt;"", """" &amp; VJDBCore!K$1 &amp; """", ""),
    IF(K167&lt;&gt;"", """" &amp; VJDBCore!L$1 &amp; """", ""),
    IF(L167&lt;&gt;"", """" &amp; VJDBCore!M$1 &amp; """", ""),    IF(M167&lt;&gt;"", """" &amp; VJDBCore!N$1 &amp; """", ""),    IF(N167&lt;&gt;"", """" &amp; VJDBCore!O$1 &amp; """", ""),     IF(O167&lt;&gt;"", """" &amp; VJDBCore!P$1 &amp; """", ""),     IF(O167&lt;&gt;"", """" &amp; VJDBCore!P$1 &amp; """", ""),     IF(P167&lt;&gt;"", """" &amp; VJDBCore!Q$1 &amp; """", ""),
    IF(Q171&lt;&gt;"", """" &amp; Q171 &amp; """", ""),
    IF(R167&lt;&gt;"", """" &amp; R167 &amp; """", ""),
    IF(S167&lt;&gt;"", """" &amp; S167 &amp; """", "")
) &amp; "]"</f>
        <v>[]</v>
      </c>
      <c r="U167" s="13"/>
      <c r="V167" s="13"/>
      <c r="W167" s="13"/>
      <c r="X167" s="13"/>
      <c r="Y167" s="13"/>
      <c r="Z167" s="13"/>
      <c r="AA167" s="13"/>
      <c r="AB167" s="13"/>
      <c r="AC167" s="13"/>
      <c r="AD167" s="13"/>
      <c r="AE167" s="13"/>
      <c r="AF167" s="13"/>
      <c r="AG167" s="13"/>
      <c r="AH167" s="13"/>
      <c r="AI167" s="13"/>
      <c r="AJ167" s="13"/>
      <c r="AK167" s="13"/>
      <c r="AL167" s="13"/>
      <c r="AM167" s="13"/>
      <c r="AN167" s="28"/>
    </row>
    <row r="168" spans="1:40" s="10" customFormat="1" ht="23.25" customHeight="1" thickBot="1">
      <c r="A168" s="4"/>
      <c r="B168" s="4"/>
      <c r="C168" s="4"/>
      <c r="D168" s="4"/>
      <c r="E168" s="15"/>
      <c r="F168" s="4"/>
      <c r="G168" s="4"/>
      <c r="H168" s="4"/>
      <c r="I168" s="4"/>
      <c r="J168" s="4"/>
      <c r="K168" s="4"/>
      <c r="L168" s="4"/>
      <c r="M168" s="4"/>
      <c r="N168" s="4"/>
      <c r="O168" s="6"/>
      <c r="P168" s="6"/>
      <c r="Q168" s="4"/>
      <c r="R168" s="7"/>
      <c r="S168" s="4"/>
      <c r="T168" s="3" t="str">
        <f>"[" &amp; _xlfn.TEXTJOIN(", ", TRUE,
    IF(H168&lt;&gt;"", """" &amp; VJDBCore!I$1 &amp; """", ""),
    IF(I168&lt;&gt;"", """" &amp; VJDBCore!J$1 &amp; """", ""),
    IF(J168&lt;&gt;"", """" &amp; VJDBCore!K$1 &amp; """", ""),
    IF(K168&lt;&gt;"", """" &amp; VJDBCore!L$1 &amp; """", ""),
    IF(L168&lt;&gt;"", """" &amp; VJDBCore!M$1 &amp; """", ""),    IF(M168&lt;&gt;"", """" &amp; VJDBCore!N$1 &amp; """", ""),    IF(N168&lt;&gt;"", """" &amp; VJDBCore!O$1 &amp; """", ""),     IF(O168&lt;&gt;"", """" &amp; VJDBCore!P$1 &amp; """", ""),     IF(O168&lt;&gt;"", """" &amp; VJDBCore!P$1 &amp; """", ""),     IF(P168&lt;&gt;"", """" &amp; VJDBCore!Q$1 &amp; """", ""),
    IF(Q172&lt;&gt;"", """" &amp; Q172 &amp; """", ""),
    IF(R168&lt;&gt;"", """" &amp; R168 &amp; """", ""),
    IF(S168&lt;&gt;"", """" &amp; S168 &amp; """", "")
) &amp; "]"</f>
        <v>[]</v>
      </c>
      <c r="U168" s="13"/>
      <c r="V168" s="13"/>
      <c r="W168" s="13"/>
      <c r="X168" s="13"/>
      <c r="Y168" s="13"/>
      <c r="Z168" s="13"/>
      <c r="AA168" s="13"/>
      <c r="AB168" s="13"/>
      <c r="AC168" s="13"/>
      <c r="AD168" s="13"/>
      <c r="AE168" s="13"/>
      <c r="AF168" s="13"/>
      <c r="AG168" s="13"/>
      <c r="AH168" s="13"/>
      <c r="AI168" s="13"/>
      <c r="AJ168" s="13"/>
      <c r="AK168" s="13"/>
      <c r="AL168" s="13"/>
      <c r="AM168" s="13"/>
      <c r="AN168" s="28"/>
    </row>
    <row r="169" spans="1:40" s="10" customFormat="1" ht="23.25" customHeight="1" thickBot="1">
      <c r="A169" s="4"/>
      <c r="B169" s="4"/>
      <c r="C169" s="4"/>
      <c r="D169" s="4"/>
      <c r="E169" s="15"/>
      <c r="F169" s="4"/>
      <c r="G169" s="4"/>
      <c r="H169" s="4"/>
      <c r="I169" s="4"/>
      <c r="J169" s="4"/>
      <c r="K169" s="4"/>
      <c r="L169" s="4"/>
      <c r="M169" s="4"/>
      <c r="N169" s="4"/>
      <c r="O169" s="6"/>
      <c r="P169" s="6"/>
      <c r="Q169" s="4"/>
      <c r="R169" s="7"/>
      <c r="S169" s="4"/>
      <c r="T169" s="3" t="str">
        <f>"[" &amp; _xlfn.TEXTJOIN(", ", TRUE,
    IF(H169&lt;&gt;"", """" &amp; VJDBCore!I$1 &amp; """", ""),
    IF(I169&lt;&gt;"", """" &amp; VJDBCore!J$1 &amp; """", ""),
    IF(J169&lt;&gt;"", """" &amp; VJDBCore!K$1 &amp; """", ""),
    IF(K169&lt;&gt;"", """" &amp; VJDBCore!L$1 &amp; """", ""),
    IF(L169&lt;&gt;"", """" &amp; VJDBCore!M$1 &amp; """", ""),    IF(M169&lt;&gt;"", """" &amp; VJDBCore!N$1 &amp; """", ""),    IF(N169&lt;&gt;"", """" &amp; VJDBCore!O$1 &amp; """", ""),     IF(O169&lt;&gt;"", """" &amp; VJDBCore!P$1 &amp; """", ""),     IF(O169&lt;&gt;"", """" &amp; VJDBCore!P$1 &amp; """", ""),     IF(P169&lt;&gt;"", """" &amp; VJDBCore!Q$1 &amp; """", ""),
    IF(Q173&lt;&gt;"", """" &amp; Q173 &amp; """", ""),
    IF(R169&lt;&gt;"", """" &amp; R169 &amp; """", ""),
    IF(S169&lt;&gt;"", """" &amp; S169 &amp; """", "")
) &amp; "]"</f>
        <v>[]</v>
      </c>
      <c r="U169" s="13"/>
      <c r="V169" s="13"/>
      <c r="W169" s="13"/>
      <c r="X169" s="13"/>
      <c r="Y169" s="13"/>
      <c r="Z169" s="13"/>
      <c r="AA169" s="13"/>
      <c r="AB169" s="13"/>
      <c r="AC169" s="13"/>
      <c r="AD169" s="13"/>
      <c r="AE169" s="13"/>
      <c r="AF169" s="13"/>
      <c r="AG169" s="13"/>
      <c r="AH169" s="13"/>
      <c r="AI169" s="13"/>
      <c r="AJ169" s="13"/>
      <c r="AK169" s="13"/>
      <c r="AL169" s="13"/>
      <c r="AM169" s="13"/>
      <c r="AN169" s="28"/>
    </row>
    <row r="170" spans="1:40" s="10" customFormat="1" ht="23.25" customHeight="1" thickBot="1">
      <c r="A170" s="4"/>
      <c r="B170" s="4"/>
      <c r="C170" s="4"/>
      <c r="D170" s="4"/>
      <c r="E170" s="15"/>
      <c r="F170" s="4"/>
      <c r="G170" s="4"/>
      <c r="H170" s="4"/>
      <c r="I170" s="4"/>
      <c r="J170" s="4"/>
      <c r="K170" s="4"/>
      <c r="L170" s="4"/>
      <c r="M170" s="4"/>
      <c r="N170" s="4"/>
      <c r="O170" s="6"/>
      <c r="P170" s="6"/>
      <c r="Q170" s="4"/>
      <c r="R170" s="7"/>
      <c r="S170" s="4"/>
      <c r="T170" s="3" t="str">
        <f>"[" &amp; _xlfn.TEXTJOIN(", ", TRUE,
    IF(H170&lt;&gt;"", """" &amp; VJDBCore!I$1 &amp; """", ""),
    IF(I170&lt;&gt;"", """" &amp; VJDBCore!J$1 &amp; """", ""),
    IF(J170&lt;&gt;"", """" &amp; VJDBCore!K$1 &amp; """", ""),
    IF(K170&lt;&gt;"", """" &amp; VJDBCore!L$1 &amp; """", ""),
    IF(L170&lt;&gt;"", """" &amp; VJDBCore!M$1 &amp; """", ""),    IF(M170&lt;&gt;"", """" &amp; VJDBCore!N$1 &amp; """", ""),    IF(N170&lt;&gt;"", """" &amp; VJDBCore!O$1 &amp; """", ""),     IF(O170&lt;&gt;"", """" &amp; VJDBCore!P$1 &amp; """", ""),     IF(O170&lt;&gt;"", """" &amp; VJDBCore!P$1 &amp; """", ""),     IF(P170&lt;&gt;"", """" &amp; VJDBCore!Q$1 &amp; """", ""),
    IF(Q174&lt;&gt;"", """" &amp; Q174 &amp; """", ""),
    IF(R170&lt;&gt;"", """" &amp; R170 &amp; """", ""),
    IF(S170&lt;&gt;"", """" &amp; S170 &amp; """", "")
) &amp; "]"</f>
        <v>[]</v>
      </c>
      <c r="U170" s="13"/>
      <c r="V170" s="13"/>
      <c r="W170" s="13"/>
      <c r="X170" s="13"/>
      <c r="Y170" s="13"/>
      <c r="Z170" s="13"/>
      <c r="AA170" s="13"/>
      <c r="AB170" s="13"/>
      <c r="AC170" s="13"/>
      <c r="AD170" s="13"/>
      <c r="AE170" s="13"/>
      <c r="AF170" s="13"/>
      <c r="AG170" s="13"/>
      <c r="AH170" s="13"/>
      <c r="AI170" s="13"/>
      <c r="AJ170" s="13"/>
      <c r="AK170" s="13"/>
      <c r="AL170" s="13"/>
      <c r="AM170" s="13"/>
      <c r="AN170" s="28"/>
    </row>
    <row r="171" spans="1:40" s="10" customFormat="1" ht="23.25" customHeight="1" thickBot="1">
      <c r="A171" s="4"/>
      <c r="B171" s="4"/>
      <c r="C171" s="4"/>
      <c r="D171" s="4"/>
      <c r="E171" s="15"/>
      <c r="F171" s="4"/>
      <c r="G171" s="4"/>
      <c r="H171" s="4"/>
      <c r="I171" s="4"/>
      <c r="J171" s="4"/>
      <c r="K171" s="4"/>
      <c r="L171" s="4"/>
      <c r="M171" s="4"/>
      <c r="N171" s="4"/>
      <c r="O171" s="6"/>
      <c r="P171" s="6"/>
      <c r="Q171" s="4"/>
      <c r="R171" s="7"/>
      <c r="S171" s="4"/>
      <c r="T171" s="3" t="str">
        <f>"[" &amp; _xlfn.TEXTJOIN(", ", TRUE,
    IF(H171&lt;&gt;"", """" &amp; VJDBCore!I$1 &amp; """", ""),
    IF(I171&lt;&gt;"", """" &amp; VJDBCore!J$1 &amp; """", ""),
    IF(J171&lt;&gt;"", """" &amp; VJDBCore!K$1 &amp; """", ""),
    IF(K171&lt;&gt;"", """" &amp; VJDBCore!L$1 &amp; """", ""),
    IF(L171&lt;&gt;"", """" &amp; VJDBCore!M$1 &amp; """", ""),    IF(M171&lt;&gt;"", """" &amp; VJDBCore!N$1 &amp; """", ""),    IF(N171&lt;&gt;"", """" &amp; VJDBCore!O$1 &amp; """", ""),     IF(O171&lt;&gt;"", """" &amp; VJDBCore!P$1 &amp; """", ""),     IF(O171&lt;&gt;"", """" &amp; VJDBCore!P$1 &amp; """", ""),     IF(P171&lt;&gt;"", """" &amp; VJDBCore!Q$1 &amp; """", ""),
    IF(Q175&lt;&gt;"", """" &amp; Q175 &amp; """", ""),
    IF(R171&lt;&gt;"", """" &amp; R171 &amp; """", ""),
    IF(S171&lt;&gt;"", """" &amp; S171 &amp; """", "")
) &amp; "]"</f>
        <v>[]</v>
      </c>
      <c r="U171" s="13"/>
      <c r="V171" s="13"/>
      <c r="W171" s="13"/>
      <c r="X171" s="13"/>
      <c r="Y171" s="13"/>
      <c r="Z171" s="13"/>
      <c r="AA171" s="13"/>
      <c r="AB171" s="13"/>
      <c r="AC171" s="13"/>
      <c r="AD171" s="13"/>
      <c r="AE171" s="13"/>
      <c r="AF171" s="13"/>
      <c r="AG171" s="13"/>
      <c r="AH171" s="13"/>
      <c r="AI171" s="13"/>
      <c r="AJ171" s="13"/>
      <c r="AK171" s="13"/>
      <c r="AL171" s="13"/>
      <c r="AM171" s="13"/>
      <c r="AN171" s="28"/>
    </row>
    <row r="172" spans="1:40" s="10" customFormat="1" ht="23.25" customHeight="1" thickBot="1">
      <c r="A172" s="4"/>
      <c r="B172" s="4"/>
      <c r="C172" s="4"/>
      <c r="D172" s="4"/>
      <c r="E172" s="15"/>
      <c r="F172" s="4"/>
      <c r="G172" s="4"/>
      <c r="H172" s="4"/>
      <c r="I172" s="4"/>
      <c r="J172" s="4"/>
      <c r="K172" s="4"/>
      <c r="L172" s="4"/>
      <c r="M172" s="4"/>
      <c r="N172" s="4"/>
      <c r="O172" s="6"/>
      <c r="P172" s="6"/>
      <c r="Q172" s="4"/>
      <c r="R172" s="7"/>
      <c r="S172" s="4"/>
      <c r="T172" s="3" t="str">
        <f>"[" &amp; _xlfn.TEXTJOIN(", ", TRUE,
    IF(H172&lt;&gt;"", """" &amp; VJDBCore!I$1 &amp; """", ""),
    IF(I172&lt;&gt;"", """" &amp; VJDBCore!J$1 &amp; """", ""),
    IF(J172&lt;&gt;"", """" &amp; VJDBCore!K$1 &amp; """", ""),
    IF(K172&lt;&gt;"", """" &amp; VJDBCore!L$1 &amp; """", ""),
    IF(L172&lt;&gt;"", """" &amp; VJDBCore!M$1 &amp; """", ""),    IF(M172&lt;&gt;"", """" &amp; VJDBCore!N$1 &amp; """", ""),    IF(N172&lt;&gt;"", """" &amp; VJDBCore!O$1 &amp; """", ""),     IF(O172&lt;&gt;"", """" &amp; VJDBCore!P$1 &amp; """", ""),     IF(O172&lt;&gt;"", """" &amp; VJDBCore!P$1 &amp; """", ""),     IF(P172&lt;&gt;"", """" &amp; VJDBCore!Q$1 &amp; """", ""),
    IF(Q176&lt;&gt;"", """" &amp; Q176 &amp; """", ""),
    IF(R172&lt;&gt;"", """" &amp; R172 &amp; """", ""),
    IF(S172&lt;&gt;"", """" &amp; S172 &amp; """", "")
) &amp; "]"</f>
        <v>[]</v>
      </c>
      <c r="U172" s="13"/>
      <c r="V172" s="13"/>
      <c r="W172" s="13"/>
      <c r="X172" s="13"/>
      <c r="Y172" s="13"/>
      <c r="Z172" s="13"/>
      <c r="AA172" s="13"/>
      <c r="AB172" s="13"/>
      <c r="AC172" s="13"/>
      <c r="AD172" s="13"/>
      <c r="AE172" s="13"/>
      <c r="AF172" s="13"/>
      <c r="AG172" s="13"/>
      <c r="AH172" s="13"/>
      <c r="AI172" s="13"/>
      <c r="AJ172" s="13"/>
      <c r="AK172" s="13"/>
      <c r="AL172" s="13"/>
      <c r="AM172" s="13"/>
      <c r="AN172" s="28"/>
    </row>
    <row r="173" spans="1:40" s="10" customFormat="1" ht="23.25" customHeight="1" thickBot="1">
      <c r="A173" s="4"/>
      <c r="B173" s="4"/>
      <c r="C173" s="4"/>
      <c r="D173" s="4"/>
      <c r="E173" s="15"/>
      <c r="F173" s="4"/>
      <c r="G173" s="4"/>
      <c r="H173" s="4"/>
      <c r="I173" s="4"/>
      <c r="J173" s="4"/>
      <c r="K173" s="4"/>
      <c r="L173" s="4"/>
      <c r="M173" s="4"/>
      <c r="N173" s="4"/>
      <c r="O173" s="6"/>
      <c r="P173" s="6"/>
      <c r="Q173" s="4"/>
      <c r="R173" s="7"/>
      <c r="S173" s="4"/>
      <c r="T173" s="3" t="str">
        <f>"[" &amp; _xlfn.TEXTJOIN(", ", TRUE,
    IF(H173&lt;&gt;"", """" &amp; VJDBCore!I$1 &amp; """", ""),
    IF(I173&lt;&gt;"", """" &amp; VJDBCore!J$1 &amp; """", ""),
    IF(J173&lt;&gt;"", """" &amp; VJDBCore!K$1 &amp; """", ""),
    IF(K173&lt;&gt;"", """" &amp; VJDBCore!L$1 &amp; """", ""),
    IF(L173&lt;&gt;"", """" &amp; VJDBCore!M$1 &amp; """", ""),    IF(M173&lt;&gt;"", """" &amp; VJDBCore!N$1 &amp; """", ""),    IF(N173&lt;&gt;"", """" &amp; VJDBCore!O$1 &amp; """", ""),     IF(O173&lt;&gt;"", """" &amp; VJDBCore!P$1 &amp; """", ""),     IF(O173&lt;&gt;"", """" &amp; VJDBCore!P$1 &amp; """", ""),     IF(P173&lt;&gt;"", """" &amp; VJDBCore!Q$1 &amp; """", ""),
    IF(Q177&lt;&gt;"", """" &amp; Q177 &amp; """", ""),
    IF(R173&lt;&gt;"", """" &amp; R173 &amp; """", ""),
    IF(S173&lt;&gt;"", """" &amp; S173 &amp; """", "")
) &amp; "]"</f>
        <v>[]</v>
      </c>
      <c r="U173" s="13"/>
      <c r="V173" s="13"/>
      <c r="W173" s="13"/>
      <c r="X173" s="13"/>
      <c r="Y173" s="13"/>
      <c r="Z173" s="13"/>
      <c r="AA173" s="13"/>
      <c r="AB173" s="13"/>
      <c r="AC173" s="13"/>
      <c r="AD173" s="13"/>
      <c r="AE173" s="13"/>
      <c r="AF173" s="13"/>
      <c r="AG173" s="13"/>
      <c r="AH173" s="13"/>
      <c r="AI173" s="13"/>
      <c r="AJ173" s="13"/>
      <c r="AK173" s="13"/>
      <c r="AL173" s="13"/>
      <c r="AM173" s="13"/>
      <c r="AN173" s="28"/>
    </row>
    <row r="174" spans="1:40" s="10" customFormat="1" ht="23.25" customHeight="1" thickBot="1">
      <c r="A174" s="4"/>
      <c r="B174" s="4"/>
      <c r="C174" s="4"/>
      <c r="D174" s="4"/>
      <c r="E174" s="15"/>
      <c r="F174" s="4"/>
      <c r="G174" s="4"/>
      <c r="H174" s="4"/>
      <c r="I174" s="4"/>
      <c r="J174" s="4"/>
      <c r="K174" s="4"/>
      <c r="L174" s="4"/>
      <c r="M174" s="4"/>
      <c r="N174" s="4"/>
      <c r="O174" s="6"/>
      <c r="P174" s="6"/>
      <c r="Q174" s="4"/>
      <c r="R174" s="7"/>
      <c r="S174" s="4"/>
      <c r="T174" s="3" t="str">
        <f>"[" &amp; _xlfn.TEXTJOIN(", ", TRUE,
    IF(H174&lt;&gt;"", """" &amp; VJDBCore!I$1 &amp; """", ""),
    IF(I174&lt;&gt;"", """" &amp; VJDBCore!J$1 &amp; """", ""),
    IF(J174&lt;&gt;"", """" &amp; VJDBCore!K$1 &amp; """", ""),
    IF(K174&lt;&gt;"", """" &amp; VJDBCore!L$1 &amp; """", ""),
    IF(L174&lt;&gt;"", """" &amp; VJDBCore!M$1 &amp; """", ""),    IF(M174&lt;&gt;"", """" &amp; VJDBCore!N$1 &amp; """", ""),    IF(N174&lt;&gt;"", """" &amp; VJDBCore!O$1 &amp; """", ""),     IF(O174&lt;&gt;"", """" &amp; VJDBCore!P$1 &amp; """", ""),     IF(O174&lt;&gt;"", """" &amp; VJDBCore!P$1 &amp; """", ""),     IF(P174&lt;&gt;"", """" &amp; VJDBCore!Q$1 &amp; """", ""),
    IF(Q178&lt;&gt;"", """" &amp; Q178 &amp; """", ""),
    IF(R174&lt;&gt;"", """" &amp; R174 &amp; """", ""),
    IF(S174&lt;&gt;"", """" &amp; S174 &amp; """", "")
) &amp; "]"</f>
        <v>[]</v>
      </c>
      <c r="U174" s="13"/>
      <c r="V174" s="13"/>
      <c r="W174" s="13"/>
      <c r="X174" s="13"/>
      <c r="Y174" s="13"/>
      <c r="Z174" s="13"/>
      <c r="AA174" s="13"/>
      <c r="AB174" s="13"/>
      <c r="AC174" s="13"/>
      <c r="AD174" s="13"/>
      <c r="AE174" s="13"/>
      <c r="AF174" s="13"/>
      <c r="AG174" s="13"/>
      <c r="AH174" s="13"/>
      <c r="AI174" s="13"/>
      <c r="AJ174" s="13"/>
      <c r="AK174" s="13"/>
      <c r="AL174" s="13"/>
      <c r="AM174" s="13"/>
      <c r="AN174" s="28"/>
    </row>
    <row r="175" spans="1:40" s="10" customFormat="1" ht="23.25" customHeight="1" thickBot="1">
      <c r="A175" s="4"/>
      <c r="B175" s="4"/>
      <c r="C175" s="4"/>
      <c r="D175" s="4"/>
      <c r="E175" s="15"/>
      <c r="F175" s="4"/>
      <c r="G175" s="4"/>
      <c r="H175" s="4"/>
      <c r="I175" s="4"/>
      <c r="J175" s="4"/>
      <c r="K175" s="4"/>
      <c r="L175" s="4"/>
      <c r="M175" s="4"/>
      <c r="N175" s="4"/>
      <c r="O175" s="6"/>
      <c r="P175" s="6"/>
      <c r="Q175" s="4"/>
      <c r="R175" s="7"/>
      <c r="S175" s="4"/>
      <c r="T175" s="3" t="str">
        <f>"[" &amp; _xlfn.TEXTJOIN(", ", TRUE,
    IF(H175&lt;&gt;"", """" &amp; VJDBCore!I$1 &amp; """", ""),
    IF(I175&lt;&gt;"", """" &amp; VJDBCore!J$1 &amp; """", ""),
    IF(J175&lt;&gt;"", """" &amp; VJDBCore!K$1 &amp; """", ""),
    IF(K175&lt;&gt;"", """" &amp; VJDBCore!L$1 &amp; """", ""),
    IF(L175&lt;&gt;"", """" &amp; VJDBCore!M$1 &amp; """", ""),    IF(M175&lt;&gt;"", """" &amp; VJDBCore!N$1 &amp; """", ""),    IF(N175&lt;&gt;"", """" &amp; VJDBCore!O$1 &amp; """", ""),     IF(O175&lt;&gt;"", """" &amp; VJDBCore!P$1 &amp; """", ""),     IF(O175&lt;&gt;"", """" &amp; VJDBCore!P$1 &amp; """", ""),     IF(P175&lt;&gt;"", """" &amp; VJDBCore!Q$1 &amp; """", ""),
    IF(Q179&lt;&gt;"", """" &amp; Q179 &amp; """", ""),
    IF(R175&lt;&gt;"", """" &amp; R175 &amp; """", ""),
    IF(S175&lt;&gt;"", """" &amp; S175 &amp; """", "")
) &amp; "]"</f>
        <v>[]</v>
      </c>
      <c r="U175" s="13"/>
      <c r="V175" s="13"/>
      <c r="W175" s="13"/>
      <c r="X175" s="13"/>
      <c r="Y175" s="13"/>
      <c r="Z175" s="13"/>
      <c r="AA175" s="13"/>
      <c r="AB175" s="13"/>
      <c r="AC175" s="13"/>
      <c r="AD175" s="13"/>
      <c r="AE175" s="13"/>
      <c r="AF175" s="13"/>
      <c r="AG175" s="13"/>
      <c r="AH175" s="13"/>
      <c r="AI175" s="13"/>
      <c r="AJ175" s="13"/>
      <c r="AK175" s="13"/>
      <c r="AL175" s="13"/>
      <c r="AM175" s="13"/>
      <c r="AN175" s="28"/>
    </row>
    <row r="176" spans="1:40" s="10" customFormat="1" ht="23.25" customHeight="1" thickBot="1">
      <c r="A176" s="4"/>
      <c r="B176" s="4"/>
      <c r="C176" s="4"/>
      <c r="D176" s="4"/>
      <c r="E176" s="15"/>
      <c r="F176" s="4"/>
      <c r="G176" s="4"/>
      <c r="H176" s="4"/>
      <c r="I176" s="4"/>
      <c r="J176" s="4"/>
      <c r="K176" s="4"/>
      <c r="L176" s="4"/>
      <c r="M176" s="4"/>
      <c r="N176" s="4"/>
      <c r="O176" s="6"/>
      <c r="P176" s="6"/>
      <c r="Q176" s="4"/>
      <c r="R176" s="7"/>
      <c r="S176" s="4"/>
      <c r="T176" s="3" t="str">
        <f>"[" &amp; _xlfn.TEXTJOIN(", ", TRUE,
    IF(H176&lt;&gt;"", """" &amp; VJDBCore!I$1 &amp; """", ""),
    IF(I176&lt;&gt;"", """" &amp; VJDBCore!J$1 &amp; """", ""),
    IF(J176&lt;&gt;"", """" &amp; VJDBCore!K$1 &amp; """", ""),
    IF(K176&lt;&gt;"", """" &amp; VJDBCore!L$1 &amp; """", ""),
    IF(L176&lt;&gt;"", """" &amp; VJDBCore!M$1 &amp; """", ""),    IF(M176&lt;&gt;"", """" &amp; VJDBCore!N$1 &amp; """", ""),    IF(N176&lt;&gt;"", """" &amp; VJDBCore!O$1 &amp; """", ""),     IF(O176&lt;&gt;"", """" &amp; VJDBCore!P$1 &amp; """", ""),     IF(O176&lt;&gt;"", """" &amp; VJDBCore!P$1 &amp; """", ""),     IF(P176&lt;&gt;"", """" &amp; VJDBCore!Q$1 &amp; """", ""),
    IF(Q180&lt;&gt;"", """" &amp; Q180 &amp; """", ""),
    IF(R176&lt;&gt;"", """" &amp; R176 &amp; """", ""),
    IF(S176&lt;&gt;"", """" &amp; S176 &amp; """", "")
) &amp; "]"</f>
        <v>[]</v>
      </c>
      <c r="U176" s="13"/>
      <c r="V176" s="13"/>
      <c r="W176" s="13"/>
      <c r="X176" s="13"/>
      <c r="Y176" s="13"/>
      <c r="Z176" s="13"/>
      <c r="AA176" s="13"/>
      <c r="AB176" s="13"/>
      <c r="AC176" s="13"/>
      <c r="AD176" s="13"/>
      <c r="AE176" s="13"/>
      <c r="AF176" s="13"/>
      <c r="AG176" s="13"/>
      <c r="AH176" s="13"/>
      <c r="AI176" s="13"/>
      <c r="AJ176" s="13"/>
      <c r="AK176" s="13"/>
      <c r="AL176" s="13"/>
      <c r="AM176" s="13"/>
      <c r="AN176" s="28"/>
    </row>
    <row r="177" spans="1:40" s="10" customFormat="1" ht="23.25" customHeight="1" thickBot="1">
      <c r="A177" s="4"/>
      <c r="B177" s="4"/>
      <c r="C177" s="4"/>
      <c r="D177" s="4"/>
      <c r="E177" s="15"/>
      <c r="F177" s="4"/>
      <c r="G177" s="4"/>
      <c r="H177" s="4"/>
      <c r="I177" s="4"/>
      <c r="J177" s="4"/>
      <c r="K177" s="4"/>
      <c r="L177" s="4"/>
      <c r="M177" s="4"/>
      <c r="N177" s="4"/>
      <c r="O177" s="6"/>
      <c r="P177" s="6"/>
      <c r="Q177" s="4"/>
      <c r="R177" s="7"/>
      <c r="S177" s="4"/>
      <c r="T177" s="3" t="str">
        <f>"[" &amp; _xlfn.TEXTJOIN(", ", TRUE,
    IF(H177&lt;&gt;"", """" &amp; VJDBCore!I$1 &amp; """", ""),
    IF(I177&lt;&gt;"", """" &amp; VJDBCore!J$1 &amp; """", ""),
    IF(J177&lt;&gt;"", """" &amp; VJDBCore!K$1 &amp; """", ""),
    IF(K177&lt;&gt;"", """" &amp; VJDBCore!L$1 &amp; """", ""),
    IF(L177&lt;&gt;"", """" &amp; VJDBCore!M$1 &amp; """", ""),    IF(M177&lt;&gt;"", """" &amp; VJDBCore!N$1 &amp; """", ""),    IF(N177&lt;&gt;"", """" &amp; VJDBCore!O$1 &amp; """", ""),     IF(O177&lt;&gt;"", """" &amp; VJDBCore!P$1 &amp; """", ""),     IF(O177&lt;&gt;"", """" &amp; VJDBCore!P$1 &amp; """", ""),     IF(P177&lt;&gt;"", """" &amp; VJDBCore!Q$1 &amp; """", ""),
    IF(Q181&lt;&gt;"", """" &amp; Q181 &amp; """", ""),
    IF(R177&lt;&gt;"", """" &amp; R177 &amp; """", ""),
    IF(S177&lt;&gt;"", """" &amp; S177 &amp; """", "")
) &amp; "]"</f>
        <v>[]</v>
      </c>
      <c r="U177" s="13"/>
      <c r="V177" s="13"/>
      <c r="W177" s="13"/>
      <c r="X177" s="13"/>
      <c r="Y177" s="13"/>
      <c r="Z177" s="13"/>
      <c r="AA177" s="13"/>
      <c r="AB177" s="13"/>
      <c r="AC177" s="13"/>
      <c r="AD177" s="13"/>
      <c r="AE177" s="13"/>
      <c r="AF177" s="13"/>
      <c r="AG177" s="13"/>
      <c r="AH177" s="13"/>
      <c r="AI177" s="13"/>
      <c r="AJ177" s="13"/>
      <c r="AK177" s="13"/>
      <c r="AL177" s="13"/>
      <c r="AM177" s="13"/>
      <c r="AN177" s="28"/>
    </row>
    <row r="178" spans="1:40" s="10" customFormat="1" ht="23.25" customHeight="1" thickBot="1">
      <c r="A178" s="4"/>
      <c r="B178" s="4"/>
      <c r="C178" s="4"/>
      <c r="D178" s="4"/>
      <c r="E178" s="15"/>
      <c r="F178" s="4"/>
      <c r="G178" s="4"/>
      <c r="H178" s="4"/>
      <c r="I178" s="4"/>
      <c r="J178" s="4"/>
      <c r="K178" s="4"/>
      <c r="L178" s="4"/>
      <c r="M178" s="4"/>
      <c r="N178" s="4"/>
      <c r="O178" s="6"/>
      <c r="P178" s="6"/>
      <c r="Q178" s="4"/>
      <c r="R178" s="7"/>
      <c r="S178" s="4"/>
      <c r="T178" s="3" t="str">
        <f>"[" &amp; _xlfn.TEXTJOIN(", ", TRUE,
    IF(H178&lt;&gt;"", """" &amp; VJDBCore!I$1 &amp; """", ""),
    IF(I178&lt;&gt;"", """" &amp; VJDBCore!J$1 &amp; """", ""),
    IF(J178&lt;&gt;"", """" &amp; VJDBCore!K$1 &amp; """", ""),
    IF(K178&lt;&gt;"", """" &amp; VJDBCore!L$1 &amp; """", ""),
    IF(L178&lt;&gt;"", """" &amp; VJDBCore!M$1 &amp; """", ""),    IF(M178&lt;&gt;"", """" &amp; VJDBCore!N$1 &amp; """", ""),    IF(N178&lt;&gt;"", """" &amp; VJDBCore!O$1 &amp; """", ""),     IF(O178&lt;&gt;"", """" &amp; VJDBCore!P$1 &amp; """", ""),     IF(O178&lt;&gt;"", """" &amp; VJDBCore!P$1 &amp; """", ""),     IF(P178&lt;&gt;"", """" &amp; VJDBCore!Q$1 &amp; """", ""),
    IF(Q182&lt;&gt;"", """" &amp; Q182 &amp; """", ""),
    IF(R178&lt;&gt;"", """" &amp; R178 &amp; """", ""),
    IF(S178&lt;&gt;"", """" &amp; S178 &amp; """", "")
) &amp; "]"</f>
        <v>[]</v>
      </c>
      <c r="U178" s="13"/>
      <c r="V178" s="13"/>
      <c r="W178" s="13"/>
      <c r="X178" s="13"/>
      <c r="Y178" s="13"/>
      <c r="Z178" s="13"/>
      <c r="AA178" s="13"/>
      <c r="AB178" s="13"/>
      <c r="AC178" s="13"/>
      <c r="AD178" s="13"/>
      <c r="AE178" s="13"/>
      <c r="AF178" s="13"/>
      <c r="AG178" s="13"/>
      <c r="AH178" s="13"/>
      <c r="AI178" s="13"/>
      <c r="AJ178" s="13"/>
      <c r="AK178" s="13"/>
      <c r="AL178" s="13"/>
      <c r="AM178" s="13"/>
      <c r="AN178" s="28"/>
    </row>
    <row r="179" spans="1:40" s="10" customFormat="1" ht="23.25" customHeight="1" thickBot="1">
      <c r="A179" s="4"/>
      <c r="B179" s="4"/>
      <c r="C179" s="4"/>
      <c r="D179" s="4"/>
      <c r="E179" s="15"/>
      <c r="F179" s="4"/>
      <c r="G179" s="4"/>
      <c r="H179" s="4"/>
      <c r="I179" s="4"/>
      <c r="J179" s="4"/>
      <c r="K179" s="4"/>
      <c r="L179" s="4"/>
      <c r="M179" s="4"/>
      <c r="N179" s="4"/>
      <c r="O179" s="6"/>
      <c r="P179" s="6"/>
      <c r="Q179" s="4"/>
      <c r="R179" s="7"/>
      <c r="S179" s="4"/>
      <c r="T179" s="3" t="str">
        <f>"[" &amp; _xlfn.TEXTJOIN(", ", TRUE,
    IF(H179&lt;&gt;"", """" &amp; VJDBCore!I$1 &amp; """", ""),
    IF(I179&lt;&gt;"", """" &amp; VJDBCore!J$1 &amp; """", ""),
    IF(J179&lt;&gt;"", """" &amp; VJDBCore!K$1 &amp; """", ""),
    IF(K179&lt;&gt;"", """" &amp; VJDBCore!L$1 &amp; """", ""),
    IF(L179&lt;&gt;"", """" &amp; VJDBCore!M$1 &amp; """", ""),    IF(M179&lt;&gt;"", """" &amp; VJDBCore!N$1 &amp; """", ""),    IF(N179&lt;&gt;"", """" &amp; VJDBCore!O$1 &amp; """", ""),     IF(O179&lt;&gt;"", """" &amp; VJDBCore!P$1 &amp; """", ""),     IF(O179&lt;&gt;"", """" &amp; VJDBCore!P$1 &amp; """", ""),     IF(P179&lt;&gt;"", """" &amp; VJDBCore!Q$1 &amp; """", ""),
    IF(Q183&lt;&gt;"", """" &amp; Q183 &amp; """", ""),
    IF(R179&lt;&gt;"", """" &amp; R179 &amp; """", ""),
    IF(S179&lt;&gt;"", """" &amp; S179 &amp; """", "")
) &amp; "]"</f>
        <v>[]</v>
      </c>
      <c r="U179" s="13"/>
      <c r="V179" s="13"/>
      <c r="W179" s="13"/>
      <c r="X179" s="13"/>
      <c r="Y179" s="13"/>
      <c r="Z179" s="13"/>
      <c r="AA179" s="13"/>
      <c r="AB179" s="13"/>
      <c r="AC179" s="13"/>
      <c r="AD179" s="13"/>
      <c r="AE179" s="13"/>
      <c r="AF179" s="13"/>
      <c r="AG179" s="13"/>
      <c r="AH179" s="13"/>
      <c r="AI179" s="13"/>
      <c r="AJ179" s="13"/>
      <c r="AK179" s="13"/>
      <c r="AL179" s="13"/>
      <c r="AM179" s="13"/>
      <c r="AN179" s="28"/>
    </row>
    <row r="180" spans="1:40" s="10" customFormat="1" ht="23.25" customHeight="1" thickBot="1">
      <c r="A180" s="4"/>
      <c r="B180" s="4"/>
      <c r="C180" s="4"/>
      <c r="D180" s="4"/>
      <c r="E180" s="15"/>
      <c r="F180" s="4"/>
      <c r="G180" s="4"/>
      <c r="H180" s="4"/>
      <c r="I180" s="4"/>
      <c r="J180" s="4"/>
      <c r="K180" s="4"/>
      <c r="L180" s="4"/>
      <c r="M180" s="4"/>
      <c r="N180" s="4"/>
      <c r="O180" s="6"/>
      <c r="P180" s="6"/>
      <c r="Q180" s="4"/>
      <c r="R180" s="7"/>
      <c r="S180" s="4"/>
      <c r="T180" s="3" t="str">
        <f>"[" &amp; _xlfn.TEXTJOIN(", ", TRUE,
    IF(H180&lt;&gt;"", """" &amp; VJDBCore!I$1 &amp; """", ""),
    IF(I180&lt;&gt;"", """" &amp; VJDBCore!J$1 &amp; """", ""),
    IF(J180&lt;&gt;"", """" &amp; VJDBCore!K$1 &amp; """", ""),
    IF(K180&lt;&gt;"", """" &amp; VJDBCore!L$1 &amp; """", ""),
    IF(L180&lt;&gt;"", """" &amp; VJDBCore!M$1 &amp; """", ""),    IF(M180&lt;&gt;"", """" &amp; VJDBCore!N$1 &amp; """", ""),    IF(N180&lt;&gt;"", """" &amp; VJDBCore!O$1 &amp; """", ""),     IF(O180&lt;&gt;"", """" &amp; VJDBCore!P$1 &amp; """", ""),     IF(O180&lt;&gt;"", """" &amp; VJDBCore!P$1 &amp; """", ""),     IF(P180&lt;&gt;"", """" &amp; VJDBCore!Q$1 &amp; """", ""),
    IF(Q184&lt;&gt;"", """" &amp; Q184 &amp; """", ""),
    IF(R180&lt;&gt;"", """" &amp; R180 &amp; """", ""),
    IF(S180&lt;&gt;"", """" &amp; S180 &amp; """", "")
) &amp; "]"</f>
        <v>[]</v>
      </c>
      <c r="U180" s="13"/>
      <c r="V180" s="13"/>
      <c r="W180" s="13"/>
      <c r="X180" s="13"/>
      <c r="Y180" s="13"/>
      <c r="Z180" s="13"/>
      <c r="AA180" s="13"/>
      <c r="AB180" s="13"/>
      <c r="AC180" s="13"/>
      <c r="AD180" s="13"/>
      <c r="AE180" s="13"/>
      <c r="AF180" s="13"/>
      <c r="AG180" s="13"/>
      <c r="AH180" s="13"/>
      <c r="AI180" s="13"/>
      <c r="AJ180" s="13"/>
      <c r="AK180" s="13"/>
      <c r="AL180" s="13"/>
      <c r="AM180" s="13"/>
      <c r="AN180" s="28"/>
    </row>
    <row r="181" spans="1:40" s="10" customFormat="1" ht="23.25" customHeight="1" thickBot="1">
      <c r="A181" s="4"/>
      <c r="B181" s="4"/>
      <c r="C181" s="4"/>
      <c r="D181" s="4"/>
      <c r="E181" s="15"/>
      <c r="F181" s="4"/>
      <c r="G181" s="4"/>
      <c r="H181" s="4"/>
      <c r="I181" s="4"/>
      <c r="J181" s="4"/>
      <c r="K181" s="4"/>
      <c r="L181" s="4"/>
      <c r="M181" s="4"/>
      <c r="N181" s="4"/>
      <c r="O181" s="6"/>
      <c r="P181" s="6"/>
      <c r="Q181" s="4"/>
      <c r="R181" s="7"/>
      <c r="S181" s="4"/>
      <c r="T181" s="3" t="str">
        <f>"[" &amp; _xlfn.TEXTJOIN(", ", TRUE,
    IF(H181&lt;&gt;"", """" &amp; VJDBCore!I$1 &amp; """", ""),
    IF(I181&lt;&gt;"", """" &amp; VJDBCore!J$1 &amp; """", ""),
    IF(J181&lt;&gt;"", """" &amp; VJDBCore!K$1 &amp; """", ""),
    IF(K181&lt;&gt;"", """" &amp; VJDBCore!L$1 &amp; """", ""),
    IF(L181&lt;&gt;"", """" &amp; VJDBCore!M$1 &amp; """", ""),    IF(M181&lt;&gt;"", """" &amp; VJDBCore!N$1 &amp; """", ""),    IF(N181&lt;&gt;"", """" &amp; VJDBCore!O$1 &amp; """", ""),     IF(O181&lt;&gt;"", """" &amp; VJDBCore!P$1 &amp; """", ""),     IF(O181&lt;&gt;"", """" &amp; VJDBCore!P$1 &amp; """", ""),     IF(P181&lt;&gt;"", """" &amp; VJDBCore!Q$1 &amp; """", ""),
    IF(Q185&lt;&gt;"", """" &amp; Q185 &amp; """", ""),
    IF(R181&lt;&gt;"", """" &amp; R181 &amp; """", ""),
    IF(S181&lt;&gt;"", """" &amp; S181 &amp; """", "")
) &amp; "]"</f>
        <v>[]</v>
      </c>
      <c r="U181" s="13"/>
      <c r="V181" s="13"/>
      <c r="W181" s="13"/>
      <c r="X181" s="13"/>
      <c r="Y181" s="13"/>
      <c r="Z181" s="13"/>
      <c r="AA181" s="13"/>
      <c r="AB181" s="13"/>
      <c r="AC181" s="13"/>
      <c r="AD181" s="13"/>
      <c r="AE181" s="13"/>
      <c r="AF181" s="13"/>
      <c r="AG181" s="13"/>
      <c r="AH181" s="13"/>
      <c r="AI181" s="13"/>
      <c r="AJ181" s="13"/>
      <c r="AK181" s="13"/>
      <c r="AL181" s="13"/>
      <c r="AM181" s="13"/>
      <c r="AN181" s="28"/>
    </row>
    <row r="182" spans="1:40" s="10" customFormat="1" ht="23.25" customHeight="1" thickBot="1">
      <c r="A182" s="4"/>
      <c r="B182" s="4"/>
      <c r="C182" s="4"/>
      <c r="D182" s="4"/>
      <c r="E182" s="15"/>
      <c r="F182" s="4"/>
      <c r="G182" s="4"/>
      <c r="H182" s="4"/>
      <c r="I182" s="4"/>
      <c r="J182" s="4"/>
      <c r="K182" s="4"/>
      <c r="L182" s="4"/>
      <c r="M182" s="4"/>
      <c r="N182" s="4"/>
      <c r="O182" s="6"/>
      <c r="P182" s="6"/>
      <c r="Q182" s="4"/>
      <c r="R182" s="7"/>
      <c r="S182" s="4"/>
      <c r="T182" s="3" t="str">
        <f>"[" &amp; _xlfn.TEXTJOIN(", ", TRUE,
    IF(H182&lt;&gt;"", """" &amp; VJDBCore!I$1 &amp; """", ""),
    IF(I182&lt;&gt;"", """" &amp; VJDBCore!J$1 &amp; """", ""),
    IF(J182&lt;&gt;"", """" &amp; VJDBCore!K$1 &amp; """", ""),
    IF(K182&lt;&gt;"", """" &amp; VJDBCore!L$1 &amp; """", ""),
    IF(L182&lt;&gt;"", """" &amp; VJDBCore!M$1 &amp; """", ""),    IF(M182&lt;&gt;"", """" &amp; VJDBCore!N$1 &amp; """", ""),    IF(N182&lt;&gt;"", """" &amp; VJDBCore!O$1 &amp; """", ""),     IF(O182&lt;&gt;"", """" &amp; VJDBCore!P$1 &amp; """", ""),     IF(O182&lt;&gt;"", """" &amp; VJDBCore!P$1 &amp; """", ""),     IF(P182&lt;&gt;"", """" &amp; VJDBCore!Q$1 &amp; """", ""),
    IF(Q186&lt;&gt;"", """" &amp; Q186 &amp; """", ""),
    IF(R182&lt;&gt;"", """" &amp; R182 &amp; """", ""),
    IF(S182&lt;&gt;"", """" &amp; S182 &amp; """", "")
) &amp; "]"</f>
        <v>[]</v>
      </c>
      <c r="U182" s="13"/>
      <c r="V182" s="13"/>
      <c r="W182" s="13"/>
      <c r="X182" s="13"/>
      <c r="Y182" s="13"/>
      <c r="Z182" s="13"/>
      <c r="AA182" s="13"/>
      <c r="AB182" s="13"/>
      <c r="AC182" s="13"/>
      <c r="AD182" s="13"/>
      <c r="AE182" s="13"/>
      <c r="AF182" s="13"/>
      <c r="AG182" s="13"/>
      <c r="AH182" s="13"/>
      <c r="AI182" s="13"/>
      <c r="AJ182" s="13"/>
      <c r="AK182" s="13"/>
      <c r="AL182" s="13"/>
      <c r="AM182" s="13"/>
      <c r="AN182" s="28"/>
    </row>
    <row r="183" spans="1:40" s="10" customFormat="1" ht="23.25" customHeight="1" thickBot="1">
      <c r="A183" s="4"/>
      <c r="B183" s="4"/>
      <c r="C183" s="4"/>
      <c r="D183" s="4"/>
      <c r="E183" s="15"/>
      <c r="F183" s="4"/>
      <c r="G183" s="4"/>
      <c r="H183" s="4"/>
      <c r="I183" s="4"/>
      <c r="J183" s="4"/>
      <c r="K183" s="4"/>
      <c r="L183" s="4"/>
      <c r="M183" s="4"/>
      <c r="N183" s="4"/>
      <c r="O183" s="6"/>
      <c r="P183" s="6"/>
      <c r="Q183" s="4"/>
      <c r="R183" s="7"/>
      <c r="S183" s="4"/>
      <c r="T183" s="3" t="str">
        <f>"[" &amp; _xlfn.TEXTJOIN(", ", TRUE,
    IF(H183&lt;&gt;"", """" &amp; VJDBCore!I$1 &amp; """", ""),
    IF(I183&lt;&gt;"", """" &amp; VJDBCore!J$1 &amp; """", ""),
    IF(J183&lt;&gt;"", """" &amp; VJDBCore!K$1 &amp; """", ""),
    IF(K183&lt;&gt;"", """" &amp; VJDBCore!L$1 &amp; """", ""),
    IF(L183&lt;&gt;"", """" &amp; VJDBCore!M$1 &amp; """", ""),    IF(M183&lt;&gt;"", """" &amp; VJDBCore!N$1 &amp; """", ""),    IF(N183&lt;&gt;"", """" &amp; VJDBCore!O$1 &amp; """", ""),     IF(O183&lt;&gt;"", """" &amp; VJDBCore!P$1 &amp; """", ""),     IF(O183&lt;&gt;"", """" &amp; VJDBCore!P$1 &amp; """", ""),     IF(P183&lt;&gt;"", """" &amp; VJDBCore!Q$1 &amp; """", ""),
    IF(Q187&lt;&gt;"", """" &amp; Q187 &amp; """", ""),
    IF(R183&lt;&gt;"", """" &amp; R183 &amp; """", ""),
    IF(S183&lt;&gt;"", """" &amp; S183 &amp; """", "")
) &amp; "]"</f>
        <v>[]</v>
      </c>
      <c r="U183" s="13"/>
      <c r="V183" s="13"/>
      <c r="W183" s="13"/>
      <c r="X183" s="13"/>
      <c r="Y183" s="13"/>
      <c r="Z183" s="13"/>
      <c r="AA183" s="13"/>
      <c r="AB183" s="13"/>
      <c r="AC183" s="13"/>
      <c r="AD183" s="13"/>
      <c r="AE183" s="13"/>
      <c r="AF183" s="13"/>
      <c r="AG183" s="13"/>
      <c r="AH183" s="13"/>
      <c r="AI183" s="13"/>
      <c r="AJ183" s="13"/>
      <c r="AK183" s="13"/>
      <c r="AL183" s="13"/>
      <c r="AM183" s="13"/>
      <c r="AN183" s="28"/>
    </row>
    <row r="184" spans="1:40" s="10" customFormat="1" ht="23.25" customHeight="1" thickBot="1">
      <c r="A184" s="4"/>
      <c r="B184" s="4"/>
      <c r="C184" s="4"/>
      <c r="D184" s="4"/>
      <c r="E184" s="15"/>
      <c r="F184" s="4"/>
      <c r="G184" s="4"/>
      <c r="H184" s="4"/>
      <c r="I184" s="4"/>
      <c r="J184" s="4"/>
      <c r="K184" s="4"/>
      <c r="L184" s="4"/>
      <c r="M184" s="4"/>
      <c r="N184" s="4"/>
      <c r="O184" s="6"/>
      <c r="P184" s="6"/>
      <c r="Q184" s="4"/>
      <c r="R184" s="7"/>
      <c r="S184" s="4"/>
      <c r="T184" s="3" t="str">
        <f>"[" &amp; _xlfn.TEXTJOIN(", ", TRUE,
    IF(H184&lt;&gt;"", """" &amp; VJDBCore!I$1 &amp; """", ""),
    IF(I184&lt;&gt;"", """" &amp; VJDBCore!J$1 &amp; """", ""),
    IF(J184&lt;&gt;"", """" &amp; VJDBCore!K$1 &amp; """", ""),
    IF(K184&lt;&gt;"", """" &amp; VJDBCore!L$1 &amp; """", ""),
    IF(L184&lt;&gt;"", """" &amp; VJDBCore!M$1 &amp; """", ""),    IF(M184&lt;&gt;"", """" &amp; VJDBCore!N$1 &amp; """", ""),    IF(N184&lt;&gt;"", """" &amp; VJDBCore!O$1 &amp; """", ""),     IF(O184&lt;&gt;"", """" &amp; VJDBCore!P$1 &amp; """", ""),     IF(O184&lt;&gt;"", """" &amp; VJDBCore!P$1 &amp; """", ""),     IF(P184&lt;&gt;"", """" &amp; VJDBCore!Q$1 &amp; """", ""),
    IF(Q188&lt;&gt;"", """" &amp; Q188 &amp; """", ""),
    IF(R184&lt;&gt;"", """" &amp; R184 &amp; """", ""),
    IF(S184&lt;&gt;"", """" &amp; S184 &amp; """", "")
) &amp; "]"</f>
        <v>[]</v>
      </c>
      <c r="U184" s="13"/>
      <c r="V184" s="13"/>
      <c r="W184" s="13"/>
      <c r="X184" s="13"/>
      <c r="Y184" s="13"/>
      <c r="Z184" s="13"/>
      <c r="AA184" s="13"/>
      <c r="AB184" s="13"/>
      <c r="AC184" s="13"/>
      <c r="AD184" s="13"/>
      <c r="AE184" s="13"/>
      <c r="AF184" s="13"/>
      <c r="AG184" s="13"/>
      <c r="AH184" s="13"/>
      <c r="AI184" s="13"/>
      <c r="AJ184" s="13"/>
      <c r="AK184" s="13"/>
      <c r="AL184" s="13"/>
      <c r="AM184" s="13"/>
      <c r="AN184" s="28"/>
    </row>
    <row r="185" spans="1:40" s="10" customFormat="1" ht="23.25" customHeight="1" thickBot="1">
      <c r="A185" s="4"/>
      <c r="B185" s="4"/>
      <c r="C185" s="4"/>
      <c r="D185" s="4"/>
      <c r="E185" s="15"/>
      <c r="F185" s="4"/>
      <c r="G185" s="4"/>
      <c r="H185" s="4"/>
      <c r="I185" s="4"/>
      <c r="J185" s="4"/>
      <c r="K185" s="4"/>
      <c r="L185" s="4"/>
      <c r="M185" s="4"/>
      <c r="N185" s="4"/>
      <c r="O185" s="6"/>
      <c r="P185" s="6"/>
      <c r="Q185" s="4"/>
      <c r="R185" s="7"/>
      <c r="S185" s="4"/>
      <c r="T185" s="3" t="str">
        <f>"[" &amp; _xlfn.TEXTJOIN(", ", TRUE,
    IF(H185&lt;&gt;"", """" &amp; VJDBCore!I$1 &amp; """", ""),
    IF(I185&lt;&gt;"", """" &amp; VJDBCore!J$1 &amp; """", ""),
    IF(J185&lt;&gt;"", """" &amp; VJDBCore!K$1 &amp; """", ""),
    IF(K185&lt;&gt;"", """" &amp; VJDBCore!L$1 &amp; """", ""),
    IF(L185&lt;&gt;"", """" &amp; VJDBCore!M$1 &amp; """", ""),    IF(M185&lt;&gt;"", """" &amp; VJDBCore!N$1 &amp; """", ""),    IF(N185&lt;&gt;"", """" &amp; VJDBCore!O$1 &amp; """", ""),     IF(O185&lt;&gt;"", """" &amp; VJDBCore!P$1 &amp; """", ""),     IF(O185&lt;&gt;"", """" &amp; VJDBCore!P$1 &amp; """", ""),     IF(P185&lt;&gt;"", """" &amp; VJDBCore!Q$1 &amp; """", ""),
    IF(Q189&lt;&gt;"", """" &amp; Q189 &amp; """", ""),
    IF(R185&lt;&gt;"", """" &amp; R185 &amp; """", ""),
    IF(S185&lt;&gt;"", """" &amp; S185 &amp; """", "")
) &amp; "]"</f>
        <v>[]</v>
      </c>
      <c r="U185" s="13"/>
      <c r="V185" s="13"/>
      <c r="W185" s="13"/>
      <c r="X185" s="13"/>
      <c r="Y185" s="13"/>
      <c r="Z185" s="13"/>
      <c r="AA185" s="13"/>
      <c r="AB185" s="13"/>
      <c r="AC185" s="13"/>
      <c r="AD185" s="13"/>
      <c r="AE185" s="13"/>
      <c r="AF185" s="13"/>
      <c r="AG185" s="13"/>
      <c r="AH185" s="13"/>
      <c r="AI185" s="13"/>
      <c r="AJ185" s="13"/>
      <c r="AK185" s="13"/>
      <c r="AL185" s="13"/>
      <c r="AM185" s="13"/>
      <c r="AN185" s="28"/>
    </row>
    <row r="186" spans="1:40" s="10" customFormat="1" ht="23.25" customHeight="1" thickBot="1">
      <c r="A186" s="4"/>
      <c r="B186" s="4"/>
      <c r="C186" s="4"/>
      <c r="D186" s="4"/>
      <c r="E186" s="15"/>
      <c r="F186" s="4"/>
      <c r="G186" s="4"/>
      <c r="H186" s="4"/>
      <c r="I186" s="4"/>
      <c r="J186" s="4"/>
      <c r="K186" s="4"/>
      <c r="L186" s="4"/>
      <c r="M186" s="4"/>
      <c r="N186" s="4"/>
      <c r="O186" s="6"/>
      <c r="P186" s="6"/>
      <c r="Q186" s="4"/>
      <c r="R186" s="7"/>
      <c r="S186" s="4"/>
      <c r="T186" s="3" t="str">
        <f>"[" &amp; _xlfn.TEXTJOIN(", ", TRUE,
    IF(H186&lt;&gt;"", """" &amp; VJDBCore!I$1 &amp; """", ""),
    IF(I186&lt;&gt;"", """" &amp; VJDBCore!J$1 &amp; """", ""),
    IF(J186&lt;&gt;"", """" &amp; VJDBCore!K$1 &amp; """", ""),
    IF(K186&lt;&gt;"", """" &amp; VJDBCore!L$1 &amp; """", ""),
    IF(L186&lt;&gt;"", """" &amp; VJDBCore!M$1 &amp; """", ""),    IF(M186&lt;&gt;"", """" &amp; VJDBCore!N$1 &amp; """", ""),    IF(N186&lt;&gt;"", """" &amp; VJDBCore!O$1 &amp; """", ""),     IF(O186&lt;&gt;"", """" &amp; VJDBCore!P$1 &amp; """", ""),     IF(O186&lt;&gt;"", """" &amp; VJDBCore!P$1 &amp; """", ""),     IF(P186&lt;&gt;"", """" &amp; VJDBCore!Q$1 &amp; """", ""),
    IF(Q190&lt;&gt;"", """" &amp; Q190 &amp; """", ""),
    IF(R186&lt;&gt;"", """" &amp; R186 &amp; """", ""),
    IF(S186&lt;&gt;"", """" &amp; S186 &amp; """", "")
) &amp; "]"</f>
        <v>[]</v>
      </c>
      <c r="U186" s="13"/>
      <c r="V186" s="13"/>
      <c r="W186" s="13"/>
      <c r="X186" s="13"/>
      <c r="Y186" s="13"/>
      <c r="Z186" s="13"/>
      <c r="AA186" s="13"/>
      <c r="AB186" s="13"/>
      <c r="AC186" s="13"/>
      <c r="AD186" s="13"/>
      <c r="AE186" s="13"/>
      <c r="AF186" s="13"/>
      <c r="AG186" s="13"/>
      <c r="AH186" s="13"/>
      <c r="AI186" s="13"/>
      <c r="AJ186" s="13"/>
      <c r="AK186" s="13"/>
      <c r="AL186" s="13"/>
      <c r="AM186" s="13"/>
      <c r="AN186" s="28"/>
    </row>
    <row r="187" spans="1:40" s="10" customFormat="1" ht="23.25" customHeight="1" thickBot="1">
      <c r="A187" s="4"/>
      <c r="B187" s="4"/>
      <c r="C187" s="4"/>
      <c r="D187" s="4"/>
      <c r="E187" s="15"/>
      <c r="F187" s="4"/>
      <c r="G187" s="4"/>
      <c r="H187" s="4"/>
      <c r="I187" s="4"/>
      <c r="J187" s="4"/>
      <c r="K187" s="4"/>
      <c r="L187" s="4"/>
      <c r="M187" s="4"/>
      <c r="N187" s="4"/>
      <c r="O187" s="6"/>
      <c r="P187" s="6"/>
      <c r="Q187" s="4"/>
      <c r="R187" s="7"/>
      <c r="S187" s="4"/>
      <c r="T187" s="3" t="str">
        <f>"[" &amp; _xlfn.TEXTJOIN(", ", TRUE,
    IF(H187&lt;&gt;"", """" &amp; VJDBCore!I$1 &amp; """", ""),
    IF(I187&lt;&gt;"", """" &amp; VJDBCore!J$1 &amp; """", ""),
    IF(J187&lt;&gt;"", """" &amp; VJDBCore!K$1 &amp; """", ""),
    IF(K187&lt;&gt;"", """" &amp; VJDBCore!L$1 &amp; """", ""),
    IF(L187&lt;&gt;"", """" &amp; VJDBCore!M$1 &amp; """", ""),    IF(M187&lt;&gt;"", """" &amp; VJDBCore!N$1 &amp; """", ""),    IF(N187&lt;&gt;"", """" &amp; VJDBCore!O$1 &amp; """", ""),     IF(O187&lt;&gt;"", """" &amp; VJDBCore!P$1 &amp; """", ""),     IF(O187&lt;&gt;"", """" &amp; VJDBCore!P$1 &amp; """", ""),     IF(P187&lt;&gt;"", """" &amp; VJDBCore!Q$1 &amp; """", ""),
    IF(Q191&lt;&gt;"", """" &amp; Q191 &amp; """", ""),
    IF(R187&lt;&gt;"", """" &amp; R187 &amp; """", ""),
    IF(S187&lt;&gt;"", """" &amp; S187 &amp; """", "")
) &amp; "]"</f>
        <v>[]</v>
      </c>
      <c r="U187" s="13"/>
      <c r="V187" s="13"/>
      <c r="W187" s="13"/>
      <c r="X187" s="13"/>
      <c r="Y187" s="13"/>
      <c r="Z187" s="13"/>
      <c r="AA187" s="13"/>
      <c r="AB187" s="13"/>
      <c r="AC187" s="13"/>
      <c r="AD187" s="13"/>
      <c r="AE187" s="13"/>
      <c r="AF187" s="13"/>
      <c r="AG187" s="13"/>
      <c r="AH187" s="13"/>
      <c r="AI187" s="13"/>
      <c r="AJ187" s="13"/>
      <c r="AK187" s="13"/>
      <c r="AL187" s="13"/>
      <c r="AM187" s="13"/>
      <c r="AN187" s="28"/>
    </row>
    <row r="188" spans="1:40" s="10" customFormat="1" ht="23.25" customHeight="1" thickBot="1">
      <c r="A188" s="4"/>
      <c r="B188" s="4"/>
      <c r="C188" s="4"/>
      <c r="D188" s="4"/>
      <c r="E188" s="15"/>
      <c r="F188" s="4"/>
      <c r="G188" s="4"/>
      <c r="H188" s="4"/>
      <c r="I188" s="4"/>
      <c r="J188" s="4"/>
      <c r="K188" s="4"/>
      <c r="L188" s="4"/>
      <c r="M188" s="4"/>
      <c r="N188" s="4"/>
      <c r="O188" s="6"/>
      <c r="P188" s="6"/>
      <c r="Q188" s="4"/>
      <c r="R188" s="7"/>
      <c r="S188" s="4"/>
      <c r="T188" s="3" t="str">
        <f>"[" &amp; _xlfn.TEXTJOIN(", ", TRUE,
    IF(H188&lt;&gt;"", """" &amp; VJDBCore!I$1 &amp; """", ""),
    IF(I188&lt;&gt;"", """" &amp; VJDBCore!J$1 &amp; """", ""),
    IF(J188&lt;&gt;"", """" &amp; VJDBCore!K$1 &amp; """", ""),
    IF(K188&lt;&gt;"", """" &amp; VJDBCore!L$1 &amp; """", ""),
    IF(L188&lt;&gt;"", """" &amp; VJDBCore!M$1 &amp; """", ""),    IF(M188&lt;&gt;"", """" &amp; VJDBCore!N$1 &amp; """", ""),    IF(N188&lt;&gt;"", """" &amp; VJDBCore!O$1 &amp; """", ""),     IF(O188&lt;&gt;"", """" &amp; VJDBCore!P$1 &amp; """", ""),     IF(O188&lt;&gt;"", """" &amp; VJDBCore!P$1 &amp; """", ""),     IF(P188&lt;&gt;"", """" &amp; VJDBCore!Q$1 &amp; """", ""),
    IF(Q192&lt;&gt;"", """" &amp; Q192 &amp; """", ""),
    IF(R188&lt;&gt;"", """" &amp; R188 &amp; """", ""),
    IF(S188&lt;&gt;"", """" &amp; S188 &amp; """", "")
) &amp; "]"</f>
        <v>[]</v>
      </c>
      <c r="U188" s="13"/>
      <c r="V188" s="13"/>
      <c r="W188" s="13"/>
      <c r="X188" s="13"/>
      <c r="Y188" s="13"/>
      <c r="Z188" s="13"/>
      <c r="AA188" s="13"/>
      <c r="AB188" s="13"/>
      <c r="AC188" s="13"/>
      <c r="AD188" s="13"/>
      <c r="AE188" s="13"/>
      <c r="AF188" s="13"/>
      <c r="AG188" s="13"/>
      <c r="AH188" s="13"/>
      <c r="AI188" s="13"/>
      <c r="AJ188" s="13"/>
      <c r="AK188" s="13"/>
      <c r="AL188" s="13"/>
      <c r="AM188" s="13"/>
      <c r="AN188" s="28"/>
    </row>
    <row r="189" spans="1:40" s="10" customFormat="1" ht="23.25" customHeight="1" thickBot="1">
      <c r="A189" s="4"/>
      <c r="B189" s="4"/>
      <c r="C189" s="4"/>
      <c r="D189" s="4"/>
      <c r="E189" s="15"/>
      <c r="F189" s="4"/>
      <c r="G189" s="4"/>
      <c r="H189" s="4"/>
      <c r="I189" s="4"/>
      <c r="J189" s="4"/>
      <c r="K189" s="4"/>
      <c r="L189" s="4"/>
      <c r="M189" s="4"/>
      <c r="N189" s="4"/>
      <c r="O189" s="6"/>
      <c r="P189" s="6"/>
      <c r="Q189" s="4"/>
      <c r="R189" s="7"/>
      <c r="S189" s="4"/>
      <c r="T189" s="3" t="str">
        <f>"[" &amp; _xlfn.TEXTJOIN(", ", TRUE,
    IF(H189&lt;&gt;"", """" &amp; VJDBCore!I$1 &amp; """", ""),
    IF(I189&lt;&gt;"", """" &amp; VJDBCore!J$1 &amp; """", ""),
    IF(J189&lt;&gt;"", """" &amp; VJDBCore!K$1 &amp; """", ""),
    IF(K189&lt;&gt;"", """" &amp; VJDBCore!L$1 &amp; """", ""),
    IF(L189&lt;&gt;"", """" &amp; VJDBCore!M$1 &amp; """", ""),    IF(M189&lt;&gt;"", """" &amp; VJDBCore!N$1 &amp; """", ""),    IF(N189&lt;&gt;"", """" &amp; VJDBCore!O$1 &amp; """", ""),     IF(O189&lt;&gt;"", """" &amp; VJDBCore!P$1 &amp; """", ""),     IF(O189&lt;&gt;"", """" &amp; VJDBCore!P$1 &amp; """", ""),     IF(P189&lt;&gt;"", """" &amp; VJDBCore!Q$1 &amp; """", ""),
    IF(Q193&lt;&gt;"", """" &amp; Q193 &amp; """", ""),
    IF(R189&lt;&gt;"", """" &amp; R189 &amp; """", ""),
    IF(S189&lt;&gt;"", """" &amp; S189 &amp; """", "")
) &amp; "]"</f>
        <v>[]</v>
      </c>
      <c r="U189" s="13"/>
      <c r="V189" s="13"/>
      <c r="W189" s="13"/>
      <c r="X189" s="13"/>
      <c r="Y189" s="13"/>
      <c r="Z189" s="13"/>
      <c r="AA189" s="13"/>
      <c r="AB189" s="13"/>
      <c r="AC189" s="13"/>
      <c r="AD189" s="13"/>
      <c r="AE189" s="13"/>
      <c r="AF189" s="13"/>
      <c r="AG189" s="13"/>
      <c r="AH189" s="13"/>
      <c r="AI189" s="13"/>
      <c r="AJ189" s="13"/>
      <c r="AK189" s="13"/>
      <c r="AL189" s="13"/>
      <c r="AM189" s="13"/>
      <c r="AN189" s="28"/>
    </row>
    <row r="190" spans="1:40" s="10" customFormat="1" ht="23.25" customHeight="1" thickBot="1">
      <c r="A190" s="4"/>
      <c r="B190" s="4"/>
      <c r="C190" s="4"/>
      <c r="D190" s="4"/>
      <c r="E190" s="15"/>
      <c r="F190" s="4"/>
      <c r="G190" s="4"/>
      <c r="H190" s="4"/>
      <c r="I190" s="4"/>
      <c r="J190" s="4"/>
      <c r="K190" s="4"/>
      <c r="L190" s="4"/>
      <c r="M190" s="4"/>
      <c r="N190" s="4"/>
      <c r="O190" s="6"/>
      <c r="P190" s="6"/>
      <c r="Q190" s="4"/>
      <c r="R190" s="7"/>
      <c r="S190" s="4"/>
      <c r="T190" s="3" t="str">
        <f>"[" &amp; _xlfn.TEXTJOIN(", ", TRUE,
    IF(H190&lt;&gt;"", """" &amp; VJDBCore!I$1 &amp; """", ""),
    IF(I190&lt;&gt;"", """" &amp; VJDBCore!J$1 &amp; """", ""),
    IF(J190&lt;&gt;"", """" &amp; VJDBCore!K$1 &amp; """", ""),
    IF(K190&lt;&gt;"", """" &amp; VJDBCore!L$1 &amp; """", ""),
    IF(L190&lt;&gt;"", """" &amp; VJDBCore!M$1 &amp; """", ""),    IF(M190&lt;&gt;"", """" &amp; VJDBCore!N$1 &amp; """", ""),    IF(N190&lt;&gt;"", """" &amp; VJDBCore!O$1 &amp; """", ""),     IF(O190&lt;&gt;"", """" &amp; VJDBCore!P$1 &amp; """", ""),     IF(O190&lt;&gt;"", """" &amp; VJDBCore!P$1 &amp; """", ""),     IF(P190&lt;&gt;"", """" &amp; VJDBCore!Q$1 &amp; """", ""),
    IF(Q194&lt;&gt;"", """" &amp; Q194 &amp; """", ""),
    IF(R190&lt;&gt;"", """" &amp; R190 &amp; """", ""),
    IF(S190&lt;&gt;"", """" &amp; S190 &amp; """", "")
) &amp; "]"</f>
        <v>[]</v>
      </c>
      <c r="U190" s="13"/>
      <c r="V190" s="13"/>
      <c r="W190" s="13"/>
      <c r="X190" s="13"/>
      <c r="Y190" s="13"/>
      <c r="Z190" s="13"/>
      <c r="AA190" s="13"/>
      <c r="AB190" s="13"/>
      <c r="AC190" s="13"/>
      <c r="AD190" s="13"/>
      <c r="AE190" s="13"/>
      <c r="AF190" s="13"/>
      <c r="AG190" s="13"/>
      <c r="AH190" s="13"/>
      <c r="AI190" s="13"/>
      <c r="AJ190" s="13"/>
      <c r="AK190" s="13"/>
      <c r="AL190" s="13"/>
      <c r="AM190" s="13"/>
      <c r="AN190" s="28"/>
    </row>
    <row r="191" spans="1:40" s="10" customFormat="1" ht="23.25" customHeight="1" thickBot="1">
      <c r="A191" s="4"/>
      <c r="B191" s="4"/>
      <c r="C191" s="4"/>
      <c r="D191" s="4"/>
      <c r="E191" s="15"/>
      <c r="F191" s="4"/>
      <c r="G191" s="4"/>
      <c r="H191" s="4"/>
      <c r="I191" s="4"/>
      <c r="J191" s="4"/>
      <c r="K191" s="4"/>
      <c r="L191" s="4"/>
      <c r="M191" s="4"/>
      <c r="N191" s="4"/>
      <c r="O191" s="6"/>
      <c r="P191" s="6"/>
      <c r="Q191" s="4"/>
      <c r="R191" s="7"/>
      <c r="S191" s="4"/>
      <c r="T191" s="3" t="str">
        <f>"[" &amp; _xlfn.TEXTJOIN(", ", TRUE,
    IF(H191&lt;&gt;"", """" &amp; VJDBCore!I$1 &amp; """", ""),
    IF(I191&lt;&gt;"", """" &amp; VJDBCore!J$1 &amp; """", ""),
    IF(J191&lt;&gt;"", """" &amp; VJDBCore!K$1 &amp; """", ""),
    IF(K191&lt;&gt;"", """" &amp; VJDBCore!L$1 &amp; """", ""),
    IF(L191&lt;&gt;"", """" &amp; VJDBCore!M$1 &amp; """", ""),    IF(M191&lt;&gt;"", """" &amp; VJDBCore!N$1 &amp; """", ""),    IF(N191&lt;&gt;"", """" &amp; VJDBCore!O$1 &amp; """", ""),     IF(O191&lt;&gt;"", """" &amp; VJDBCore!P$1 &amp; """", ""),     IF(O191&lt;&gt;"", """" &amp; VJDBCore!P$1 &amp; """", ""),     IF(P191&lt;&gt;"", """" &amp; VJDBCore!Q$1 &amp; """", ""),
    IF(Q195&lt;&gt;"", """" &amp; Q195 &amp; """", ""),
    IF(R191&lt;&gt;"", """" &amp; R191 &amp; """", ""),
    IF(S191&lt;&gt;"", """" &amp; S191 &amp; """", "")
) &amp; "]"</f>
        <v>[]</v>
      </c>
      <c r="U191" s="13"/>
      <c r="V191" s="13"/>
      <c r="W191" s="13"/>
      <c r="X191" s="13"/>
      <c r="Y191" s="13"/>
      <c r="Z191" s="13"/>
      <c r="AA191" s="13"/>
      <c r="AB191" s="13"/>
      <c r="AC191" s="13"/>
      <c r="AD191" s="13"/>
      <c r="AE191" s="13"/>
      <c r="AF191" s="13"/>
      <c r="AG191" s="13"/>
      <c r="AH191" s="13"/>
      <c r="AI191" s="13"/>
      <c r="AJ191" s="13"/>
      <c r="AK191" s="13"/>
      <c r="AL191" s="13"/>
      <c r="AM191" s="13"/>
      <c r="AN191" s="28"/>
    </row>
    <row r="192" spans="1:40" s="10" customFormat="1" ht="23.25" customHeight="1" thickBot="1">
      <c r="A192" s="4"/>
      <c r="B192" s="4"/>
      <c r="C192" s="4"/>
      <c r="D192" s="4"/>
      <c r="E192" s="15"/>
      <c r="F192" s="4"/>
      <c r="G192" s="4"/>
      <c r="H192" s="4"/>
      <c r="I192" s="4"/>
      <c r="J192" s="4"/>
      <c r="K192" s="4"/>
      <c r="L192" s="4"/>
      <c r="M192" s="4"/>
      <c r="N192" s="4"/>
      <c r="O192" s="6"/>
      <c r="P192" s="6"/>
      <c r="Q192" s="4"/>
      <c r="R192" s="7"/>
      <c r="S192" s="4"/>
      <c r="T192" s="3" t="str">
        <f>"[" &amp; _xlfn.TEXTJOIN(", ", TRUE,
    IF(H192&lt;&gt;"", """" &amp; VJDBCore!I$1 &amp; """", ""),
    IF(I192&lt;&gt;"", """" &amp; VJDBCore!J$1 &amp; """", ""),
    IF(J192&lt;&gt;"", """" &amp; VJDBCore!K$1 &amp; """", ""),
    IF(K192&lt;&gt;"", """" &amp; VJDBCore!L$1 &amp; """", ""),
    IF(L192&lt;&gt;"", """" &amp; VJDBCore!M$1 &amp; """", ""),    IF(M192&lt;&gt;"", """" &amp; VJDBCore!N$1 &amp; """", ""),    IF(N192&lt;&gt;"", """" &amp; VJDBCore!O$1 &amp; """", ""),     IF(O192&lt;&gt;"", """" &amp; VJDBCore!P$1 &amp; """", ""),     IF(O192&lt;&gt;"", """" &amp; VJDBCore!P$1 &amp; """", ""),     IF(P192&lt;&gt;"", """" &amp; VJDBCore!Q$1 &amp; """", ""),
    IF(Q196&lt;&gt;"", """" &amp; Q196 &amp; """", ""),
    IF(R192&lt;&gt;"", """" &amp; R192 &amp; """", ""),
    IF(S192&lt;&gt;"", """" &amp; S192 &amp; """", "")
) &amp; "]"</f>
        <v>[]</v>
      </c>
      <c r="U192" s="13"/>
      <c r="V192" s="13"/>
      <c r="W192" s="13"/>
      <c r="X192" s="13"/>
      <c r="Y192" s="13"/>
      <c r="Z192" s="13"/>
      <c r="AA192" s="13"/>
      <c r="AB192" s="13"/>
      <c r="AC192" s="13"/>
      <c r="AD192" s="13"/>
      <c r="AE192" s="13"/>
      <c r="AF192" s="13"/>
      <c r="AG192" s="13"/>
      <c r="AH192" s="13"/>
      <c r="AI192" s="13"/>
      <c r="AJ192" s="13"/>
      <c r="AK192" s="13"/>
      <c r="AL192" s="13"/>
      <c r="AM192" s="13"/>
      <c r="AN192" s="28"/>
    </row>
    <row r="193" spans="1:40" s="10" customFormat="1" ht="23.25" customHeight="1" thickBot="1">
      <c r="A193" s="4"/>
      <c r="B193" s="4"/>
      <c r="C193" s="4"/>
      <c r="D193" s="4"/>
      <c r="E193" s="15"/>
      <c r="F193" s="4"/>
      <c r="G193" s="4"/>
      <c r="H193" s="4"/>
      <c r="I193" s="4"/>
      <c r="J193" s="4"/>
      <c r="K193" s="4"/>
      <c r="L193" s="4"/>
      <c r="M193" s="4"/>
      <c r="N193" s="4"/>
      <c r="O193" s="6"/>
      <c r="P193" s="6"/>
      <c r="Q193" s="4"/>
      <c r="R193" s="7"/>
      <c r="S193" s="4"/>
      <c r="T193" s="3" t="str">
        <f>"[" &amp; _xlfn.TEXTJOIN(", ", TRUE,
    IF(H193&lt;&gt;"", """" &amp; VJDBCore!I$1 &amp; """", ""),
    IF(I193&lt;&gt;"", """" &amp; VJDBCore!J$1 &amp; """", ""),
    IF(J193&lt;&gt;"", """" &amp; VJDBCore!K$1 &amp; """", ""),
    IF(K193&lt;&gt;"", """" &amp; VJDBCore!L$1 &amp; """", ""),
    IF(L193&lt;&gt;"", """" &amp; VJDBCore!M$1 &amp; """", ""),    IF(M193&lt;&gt;"", """" &amp; VJDBCore!N$1 &amp; """", ""),    IF(N193&lt;&gt;"", """" &amp; VJDBCore!O$1 &amp; """", ""),     IF(O193&lt;&gt;"", """" &amp; VJDBCore!P$1 &amp; """", ""),     IF(O193&lt;&gt;"", """" &amp; VJDBCore!P$1 &amp; """", ""),     IF(P193&lt;&gt;"", """" &amp; VJDBCore!Q$1 &amp; """", ""),
    IF(Q197&lt;&gt;"", """" &amp; Q197 &amp; """", ""),
    IF(R193&lt;&gt;"", """" &amp; R193 &amp; """", ""),
    IF(S193&lt;&gt;"", """" &amp; S193 &amp; """", "")
) &amp; "]"</f>
        <v>[]</v>
      </c>
      <c r="U193" s="13"/>
      <c r="V193" s="13"/>
      <c r="W193" s="13"/>
      <c r="X193" s="13"/>
      <c r="Y193" s="13"/>
      <c r="Z193" s="13"/>
      <c r="AA193" s="13"/>
      <c r="AB193" s="13"/>
      <c r="AC193" s="13"/>
      <c r="AD193" s="13"/>
      <c r="AE193" s="13"/>
      <c r="AF193" s="13"/>
      <c r="AG193" s="13"/>
      <c r="AH193" s="13"/>
      <c r="AI193" s="13"/>
      <c r="AJ193" s="13"/>
      <c r="AK193" s="13"/>
      <c r="AL193" s="13"/>
      <c r="AM193" s="13"/>
      <c r="AN193" s="28"/>
    </row>
    <row r="194" spans="1:40" s="10" customFormat="1" ht="23.25" customHeight="1" thickBot="1">
      <c r="A194" s="4"/>
      <c r="B194" s="4"/>
      <c r="C194" s="4"/>
      <c r="D194" s="4"/>
      <c r="E194" s="15"/>
      <c r="F194" s="4"/>
      <c r="G194" s="4"/>
      <c r="H194" s="4"/>
      <c r="I194" s="4"/>
      <c r="J194" s="4"/>
      <c r="K194" s="4"/>
      <c r="L194" s="4"/>
      <c r="M194" s="4"/>
      <c r="N194" s="4"/>
      <c r="O194" s="6"/>
      <c r="P194" s="6"/>
      <c r="Q194" s="4"/>
      <c r="R194" s="7"/>
      <c r="S194" s="4"/>
      <c r="T194" s="3" t="str">
        <f>"[" &amp; _xlfn.TEXTJOIN(", ", TRUE,
    IF(H194&lt;&gt;"", """" &amp; VJDBCore!I$1 &amp; """", ""),
    IF(I194&lt;&gt;"", """" &amp; VJDBCore!J$1 &amp; """", ""),
    IF(J194&lt;&gt;"", """" &amp; VJDBCore!K$1 &amp; """", ""),
    IF(K194&lt;&gt;"", """" &amp; VJDBCore!L$1 &amp; """", ""),
    IF(L194&lt;&gt;"", """" &amp; VJDBCore!M$1 &amp; """", ""),    IF(M194&lt;&gt;"", """" &amp; VJDBCore!N$1 &amp; """", ""),    IF(N194&lt;&gt;"", """" &amp; VJDBCore!O$1 &amp; """", ""),     IF(O194&lt;&gt;"", """" &amp; VJDBCore!P$1 &amp; """", ""),     IF(O194&lt;&gt;"", """" &amp; VJDBCore!P$1 &amp; """", ""),     IF(P194&lt;&gt;"", """" &amp; VJDBCore!Q$1 &amp; """", ""),
    IF(Q198&lt;&gt;"", """" &amp; Q198 &amp; """", ""),
    IF(R194&lt;&gt;"", """" &amp; R194 &amp; """", ""),
    IF(S194&lt;&gt;"", """" &amp; S194 &amp; """", "")
) &amp; "]"</f>
        <v>[]</v>
      </c>
      <c r="U194" s="13"/>
      <c r="V194" s="13"/>
      <c r="W194" s="13"/>
      <c r="X194" s="13"/>
      <c r="Y194" s="13"/>
      <c r="Z194" s="13"/>
      <c r="AA194" s="13"/>
      <c r="AB194" s="13"/>
      <c r="AC194" s="13"/>
      <c r="AD194" s="13"/>
      <c r="AE194" s="13"/>
      <c r="AF194" s="13"/>
      <c r="AG194" s="13"/>
      <c r="AH194" s="13"/>
      <c r="AI194" s="13"/>
      <c r="AJ194" s="13"/>
      <c r="AK194" s="13"/>
      <c r="AL194" s="13"/>
      <c r="AM194" s="13"/>
      <c r="AN194" s="28"/>
    </row>
    <row r="195" spans="1:40" s="10" customFormat="1" ht="23.25" customHeight="1" thickBot="1">
      <c r="A195" s="4"/>
      <c r="B195" s="4"/>
      <c r="C195" s="4"/>
      <c r="D195" s="4"/>
      <c r="E195" s="15"/>
      <c r="F195" s="4"/>
      <c r="G195" s="4"/>
      <c r="H195" s="4"/>
      <c r="I195" s="4"/>
      <c r="J195" s="4"/>
      <c r="K195" s="4"/>
      <c r="L195" s="4"/>
      <c r="M195" s="4"/>
      <c r="N195" s="4"/>
      <c r="O195" s="6"/>
      <c r="P195" s="6"/>
      <c r="Q195" s="4"/>
      <c r="R195" s="7"/>
      <c r="S195" s="4"/>
      <c r="T195" s="3" t="str">
        <f>"[" &amp; _xlfn.TEXTJOIN(", ", TRUE,
    IF(H195&lt;&gt;"", """" &amp; VJDBCore!I$1 &amp; """", ""),
    IF(I195&lt;&gt;"", """" &amp; VJDBCore!J$1 &amp; """", ""),
    IF(J195&lt;&gt;"", """" &amp; VJDBCore!K$1 &amp; """", ""),
    IF(K195&lt;&gt;"", """" &amp; VJDBCore!L$1 &amp; """", ""),
    IF(L195&lt;&gt;"", """" &amp; VJDBCore!M$1 &amp; """", ""),    IF(M195&lt;&gt;"", """" &amp; VJDBCore!N$1 &amp; """", ""),    IF(N195&lt;&gt;"", """" &amp; VJDBCore!O$1 &amp; """", ""),     IF(O195&lt;&gt;"", """" &amp; VJDBCore!P$1 &amp; """", ""),     IF(O195&lt;&gt;"", """" &amp; VJDBCore!P$1 &amp; """", ""),     IF(P195&lt;&gt;"", """" &amp; VJDBCore!Q$1 &amp; """", ""),
    IF(Q199&lt;&gt;"", """" &amp; Q199 &amp; """", ""),
    IF(R195&lt;&gt;"", """" &amp; R195 &amp; """", ""),
    IF(S195&lt;&gt;"", """" &amp; S195 &amp; """", "")
) &amp; "]"</f>
        <v>[]</v>
      </c>
      <c r="U195" s="13"/>
      <c r="V195" s="13"/>
      <c r="W195" s="13"/>
      <c r="X195" s="13"/>
      <c r="Y195" s="13"/>
      <c r="Z195" s="13"/>
      <c r="AA195" s="13"/>
      <c r="AB195" s="13"/>
      <c r="AC195" s="13"/>
      <c r="AD195" s="13"/>
      <c r="AE195" s="13"/>
      <c r="AF195" s="13"/>
      <c r="AG195" s="13"/>
      <c r="AH195" s="13"/>
      <c r="AI195" s="13"/>
      <c r="AJ195" s="13"/>
      <c r="AK195" s="13"/>
      <c r="AL195" s="13"/>
      <c r="AM195" s="13"/>
      <c r="AN195" s="28"/>
    </row>
    <row r="196" spans="1:40" s="10" customFormat="1" ht="23.25" customHeight="1" thickBot="1">
      <c r="A196" s="4"/>
      <c r="B196" s="4"/>
      <c r="C196" s="4"/>
      <c r="D196" s="4"/>
      <c r="E196" s="15"/>
      <c r="F196" s="4"/>
      <c r="G196" s="4"/>
      <c r="H196" s="4"/>
      <c r="I196" s="4"/>
      <c r="J196" s="4"/>
      <c r="K196" s="4"/>
      <c r="L196" s="4"/>
      <c r="M196" s="4"/>
      <c r="N196" s="4"/>
      <c r="O196" s="6"/>
      <c r="P196" s="6"/>
      <c r="Q196" s="4"/>
      <c r="R196" s="7"/>
      <c r="S196" s="4"/>
      <c r="T196" s="3" t="str">
        <f>"[" &amp; _xlfn.TEXTJOIN(", ", TRUE,
    IF(H196&lt;&gt;"", """" &amp; VJDBCore!I$1 &amp; """", ""),
    IF(I196&lt;&gt;"", """" &amp; VJDBCore!J$1 &amp; """", ""),
    IF(J196&lt;&gt;"", """" &amp; VJDBCore!K$1 &amp; """", ""),
    IF(K196&lt;&gt;"", """" &amp; VJDBCore!L$1 &amp; """", ""),
    IF(L196&lt;&gt;"", """" &amp; VJDBCore!M$1 &amp; """", ""),    IF(M196&lt;&gt;"", """" &amp; VJDBCore!N$1 &amp; """", ""),    IF(N196&lt;&gt;"", """" &amp; VJDBCore!O$1 &amp; """", ""),     IF(O196&lt;&gt;"", """" &amp; VJDBCore!P$1 &amp; """", ""),     IF(O196&lt;&gt;"", """" &amp; VJDBCore!P$1 &amp; """", ""),     IF(P196&lt;&gt;"", """" &amp; VJDBCore!Q$1 &amp; """", ""),
    IF(Q200&lt;&gt;"", """" &amp; Q200 &amp; """", ""),
    IF(R196&lt;&gt;"", """" &amp; R196 &amp; """", ""),
    IF(S196&lt;&gt;"", """" &amp; S196 &amp; """", "")
) &amp; "]"</f>
        <v>[]</v>
      </c>
      <c r="U196" s="13"/>
      <c r="V196" s="13"/>
      <c r="W196" s="13"/>
      <c r="X196" s="13"/>
      <c r="Y196" s="13"/>
      <c r="Z196" s="13"/>
      <c r="AA196" s="13"/>
      <c r="AB196" s="13"/>
      <c r="AC196" s="13"/>
      <c r="AD196" s="13"/>
      <c r="AE196" s="13"/>
      <c r="AF196" s="13"/>
      <c r="AG196" s="13"/>
      <c r="AH196" s="13"/>
      <c r="AI196" s="13"/>
      <c r="AJ196" s="13"/>
      <c r="AK196" s="13"/>
      <c r="AL196" s="13"/>
      <c r="AM196" s="13"/>
      <c r="AN196" s="28"/>
    </row>
    <row r="197" spans="1:40" s="10" customFormat="1" ht="23.25" customHeight="1" thickBot="1">
      <c r="A197" s="4"/>
      <c r="B197" s="4"/>
      <c r="C197" s="4"/>
      <c r="D197" s="4"/>
      <c r="E197" s="15"/>
      <c r="F197" s="4"/>
      <c r="G197" s="4"/>
      <c r="H197" s="4"/>
      <c r="I197" s="4"/>
      <c r="J197" s="4"/>
      <c r="K197" s="4"/>
      <c r="L197" s="4"/>
      <c r="M197" s="4"/>
      <c r="N197" s="4"/>
      <c r="O197" s="6"/>
      <c r="P197" s="6"/>
      <c r="Q197" s="4"/>
      <c r="R197" s="7"/>
      <c r="S197" s="4"/>
      <c r="T197" s="3" t="str">
        <f>"[" &amp; _xlfn.TEXTJOIN(", ", TRUE,
    IF(H197&lt;&gt;"", """" &amp; VJDBCore!I$1 &amp; """", ""),
    IF(I197&lt;&gt;"", """" &amp; VJDBCore!J$1 &amp; """", ""),
    IF(J197&lt;&gt;"", """" &amp; VJDBCore!K$1 &amp; """", ""),
    IF(K197&lt;&gt;"", """" &amp; VJDBCore!L$1 &amp; """", ""),
    IF(L197&lt;&gt;"", """" &amp; VJDBCore!M$1 &amp; """", ""),    IF(M197&lt;&gt;"", """" &amp; VJDBCore!N$1 &amp; """", ""),    IF(N197&lt;&gt;"", """" &amp; VJDBCore!O$1 &amp; """", ""),     IF(O197&lt;&gt;"", """" &amp; VJDBCore!P$1 &amp; """", ""),     IF(O197&lt;&gt;"", """" &amp; VJDBCore!P$1 &amp; """", ""),     IF(P197&lt;&gt;"", """" &amp; VJDBCore!Q$1 &amp; """", ""),
    IF(Q201&lt;&gt;"", """" &amp; Q201 &amp; """", ""),
    IF(R197&lt;&gt;"", """" &amp; R197 &amp; """", ""),
    IF(S197&lt;&gt;"", """" &amp; S197 &amp; """", "")
) &amp; "]"</f>
        <v>[]</v>
      </c>
      <c r="U197" s="13"/>
      <c r="V197" s="13"/>
      <c r="W197" s="13"/>
      <c r="X197" s="13"/>
      <c r="Y197" s="13"/>
      <c r="Z197" s="13"/>
      <c r="AA197" s="13"/>
      <c r="AB197" s="13"/>
      <c r="AC197" s="13"/>
      <c r="AD197" s="13"/>
      <c r="AE197" s="13"/>
      <c r="AF197" s="13"/>
      <c r="AG197" s="13"/>
      <c r="AH197" s="13"/>
      <c r="AI197" s="13"/>
      <c r="AJ197" s="13"/>
      <c r="AK197" s="13"/>
      <c r="AL197" s="13"/>
      <c r="AM197" s="13"/>
      <c r="AN197" s="28"/>
    </row>
    <row r="198" spans="1:40" s="10" customFormat="1" ht="23.25" customHeight="1" thickBot="1">
      <c r="A198" s="4"/>
      <c r="B198" s="4"/>
      <c r="C198" s="4"/>
      <c r="D198" s="4"/>
      <c r="E198" s="15"/>
      <c r="F198" s="4"/>
      <c r="G198" s="4"/>
      <c r="H198" s="4"/>
      <c r="I198" s="4"/>
      <c r="J198" s="4"/>
      <c r="K198" s="4"/>
      <c r="L198" s="4"/>
      <c r="M198" s="4"/>
      <c r="N198" s="4"/>
      <c r="O198" s="6"/>
      <c r="P198" s="6"/>
      <c r="Q198" s="4"/>
      <c r="R198" s="7"/>
      <c r="S198" s="4"/>
      <c r="T198" s="3" t="str">
        <f>"[" &amp; _xlfn.TEXTJOIN(", ", TRUE,
    IF(H198&lt;&gt;"", """" &amp; VJDBCore!I$1 &amp; """", ""),
    IF(I198&lt;&gt;"", """" &amp; VJDBCore!J$1 &amp; """", ""),
    IF(J198&lt;&gt;"", """" &amp; VJDBCore!K$1 &amp; """", ""),
    IF(K198&lt;&gt;"", """" &amp; VJDBCore!L$1 &amp; """", ""),
    IF(L198&lt;&gt;"", """" &amp; VJDBCore!M$1 &amp; """", ""),    IF(M198&lt;&gt;"", """" &amp; VJDBCore!N$1 &amp; """", ""),    IF(N198&lt;&gt;"", """" &amp; VJDBCore!O$1 &amp; """", ""),     IF(O198&lt;&gt;"", """" &amp; VJDBCore!P$1 &amp; """", ""),     IF(O198&lt;&gt;"", """" &amp; VJDBCore!P$1 &amp; """", ""),     IF(P198&lt;&gt;"", """" &amp; VJDBCore!Q$1 &amp; """", ""),
    IF(Q202&lt;&gt;"", """" &amp; Q202 &amp; """", ""),
    IF(R198&lt;&gt;"", """" &amp; R198 &amp; """", ""),
    IF(S198&lt;&gt;"", """" &amp; S198 &amp; """", "")
) &amp; "]"</f>
        <v>[]</v>
      </c>
      <c r="U198" s="13"/>
      <c r="V198" s="13"/>
      <c r="W198" s="13"/>
      <c r="X198" s="13"/>
      <c r="Y198" s="13"/>
      <c r="Z198" s="13"/>
      <c r="AA198" s="13"/>
      <c r="AB198" s="13"/>
      <c r="AC198" s="13"/>
      <c r="AD198" s="13"/>
      <c r="AE198" s="13"/>
      <c r="AF198" s="13"/>
      <c r="AG198" s="13"/>
      <c r="AH198" s="13"/>
      <c r="AI198" s="13"/>
      <c r="AJ198" s="13"/>
      <c r="AK198" s="13"/>
      <c r="AL198" s="13"/>
      <c r="AM198" s="13"/>
      <c r="AN198" s="28"/>
    </row>
    <row r="199" spans="1:40" s="10" customFormat="1" ht="23.25" customHeight="1" thickBot="1">
      <c r="A199" s="4"/>
      <c r="B199" s="4"/>
      <c r="C199" s="4"/>
      <c r="D199" s="4"/>
      <c r="E199" s="15"/>
      <c r="F199" s="4"/>
      <c r="G199" s="4"/>
      <c r="H199" s="4"/>
      <c r="I199" s="4"/>
      <c r="J199" s="4"/>
      <c r="K199" s="4"/>
      <c r="L199" s="4"/>
      <c r="M199" s="4"/>
      <c r="N199" s="4"/>
      <c r="O199" s="6"/>
      <c r="P199" s="6"/>
      <c r="Q199" s="4"/>
      <c r="R199" s="7"/>
      <c r="S199" s="4"/>
      <c r="T199" s="3" t="str">
        <f>"[" &amp; _xlfn.TEXTJOIN(", ", TRUE,
    IF(H199&lt;&gt;"", """" &amp; VJDBCore!I$1 &amp; """", ""),
    IF(I199&lt;&gt;"", """" &amp; VJDBCore!J$1 &amp; """", ""),
    IF(J199&lt;&gt;"", """" &amp; VJDBCore!K$1 &amp; """", ""),
    IF(K199&lt;&gt;"", """" &amp; VJDBCore!L$1 &amp; """", ""),
    IF(L199&lt;&gt;"", """" &amp; VJDBCore!M$1 &amp; """", ""),    IF(M199&lt;&gt;"", """" &amp; VJDBCore!N$1 &amp; """", ""),    IF(N199&lt;&gt;"", """" &amp; VJDBCore!O$1 &amp; """", ""),     IF(O199&lt;&gt;"", """" &amp; VJDBCore!P$1 &amp; """", ""),     IF(O199&lt;&gt;"", """" &amp; VJDBCore!P$1 &amp; """", ""),     IF(P199&lt;&gt;"", """" &amp; VJDBCore!Q$1 &amp; """", ""),
    IF(Q203&lt;&gt;"", """" &amp; Q203 &amp; """", ""),
    IF(R199&lt;&gt;"", """" &amp; R199 &amp; """", ""),
    IF(S199&lt;&gt;"", """" &amp; S199 &amp; """", "")
) &amp; "]"</f>
        <v>[]</v>
      </c>
      <c r="U199" s="13"/>
      <c r="V199" s="13"/>
      <c r="W199" s="13"/>
      <c r="X199" s="13"/>
      <c r="Y199" s="13"/>
      <c r="Z199" s="13"/>
      <c r="AA199" s="13"/>
      <c r="AB199" s="13"/>
      <c r="AC199" s="13"/>
      <c r="AD199" s="13"/>
      <c r="AE199" s="13"/>
      <c r="AF199" s="13"/>
      <c r="AG199" s="13"/>
      <c r="AH199" s="13"/>
      <c r="AI199" s="13"/>
      <c r="AJ199" s="13"/>
      <c r="AK199" s="13"/>
      <c r="AL199" s="13"/>
      <c r="AM199" s="13"/>
      <c r="AN199" s="28"/>
    </row>
    <row r="200" spans="1:40" s="10" customFormat="1" ht="23.25" customHeight="1" thickBot="1">
      <c r="A200" s="4"/>
      <c r="B200" s="4"/>
      <c r="C200" s="4"/>
      <c r="D200" s="4"/>
      <c r="E200" s="15"/>
      <c r="F200" s="4"/>
      <c r="G200" s="4"/>
      <c r="H200" s="4"/>
      <c r="I200" s="4"/>
      <c r="J200" s="4"/>
      <c r="K200" s="4"/>
      <c r="L200" s="4"/>
      <c r="M200" s="4"/>
      <c r="N200" s="4"/>
      <c r="O200" s="6"/>
      <c r="P200" s="6"/>
      <c r="Q200" s="4"/>
      <c r="R200" s="7"/>
      <c r="S200" s="4"/>
      <c r="T200" s="3" t="str">
        <f>"[" &amp; _xlfn.TEXTJOIN(", ", TRUE,
    IF(H200&lt;&gt;"", """" &amp; VJDBCore!I$1 &amp; """", ""),
    IF(I200&lt;&gt;"", """" &amp; VJDBCore!J$1 &amp; """", ""),
    IF(J200&lt;&gt;"", """" &amp; VJDBCore!K$1 &amp; """", ""),
    IF(K200&lt;&gt;"", """" &amp; VJDBCore!L$1 &amp; """", ""),
    IF(L200&lt;&gt;"", """" &amp; VJDBCore!M$1 &amp; """", ""),    IF(M200&lt;&gt;"", """" &amp; VJDBCore!N$1 &amp; """", ""),    IF(N200&lt;&gt;"", """" &amp; VJDBCore!O$1 &amp; """", ""),     IF(O200&lt;&gt;"", """" &amp; VJDBCore!P$1 &amp; """", ""),     IF(O200&lt;&gt;"", """" &amp; VJDBCore!P$1 &amp; """", ""),     IF(P200&lt;&gt;"", """" &amp; VJDBCore!Q$1 &amp; """", ""),
    IF(Q204&lt;&gt;"", """" &amp; Q204 &amp; """", ""),
    IF(R200&lt;&gt;"", """" &amp; R200 &amp; """", ""),
    IF(S200&lt;&gt;"", """" &amp; S200 &amp; """", "")
) &amp; "]"</f>
        <v>[]</v>
      </c>
      <c r="U200" s="13"/>
      <c r="V200" s="13"/>
      <c r="W200" s="13"/>
      <c r="X200" s="13"/>
      <c r="Y200" s="13"/>
      <c r="Z200" s="13"/>
      <c r="AA200" s="13"/>
      <c r="AB200" s="13"/>
      <c r="AC200" s="13"/>
      <c r="AD200" s="13"/>
      <c r="AE200" s="13"/>
      <c r="AF200" s="13"/>
      <c r="AG200" s="13"/>
      <c r="AH200" s="13"/>
      <c r="AI200" s="13"/>
      <c r="AJ200" s="13"/>
      <c r="AK200" s="13"/>
      <c r="AL200" s="13"/>
      <c r="AM200" s="13"/>
      <c r="AN200" s="28"/>
    </row>
    <row r="201" spans="1:40" s="10" customFormat="1" ht="23.25" customHeight="1" thickBot="1">
      <c r="A201" s="4"/>
      <c r="B201" s="4"/>
      <c r="C201" s="4"/>
      <c r="D201" s="4"/>
      <c r="E201" s="15"/>
      <c r="F201" s="4"/>
      <c r="G201" s="4"/>
      <c r="H201" s="4"/>
      <c r="I201" s="4"/>
      <c r="J201" s="4"/>
      <c r="K201" s="4"/>
      <c r="L201" s="4"/>
      <c r="M201" s="4"/>
      <c r="N201" s="4"/>
      <c r="O201" s="6"/>
      <c r="P201" s="6"/>
      <c r="Q201" s="4"/>
      <c r="R201" s="7"/>
      <c r="S201" s="4"/>
      <c r="T201" s="3" t="str">
        <f>"[" &amp; _xlfn.TEXTJOIN(", ", TRUE,
    IF(H201&lt;&gt;"", """" &amp; VJDBCore!I$1 &amp; """", ""),
    IF(I201&lt;&gt;"", """" &amp; VJDBCore!J$1 &amp; """", ""),
    IF(J201&lt;&gt;"", """" &amp; VJDBCore!K$1 &amp; """", ""),
    IF(K201&lt;&gt;"", """" &amp; VJDBCore!L$1 &amp; """", ""),
    IF(L201&lt;&gt;"", """" &amp; VJDBCore!M$1 &amp; """", ""),    IF(M201&lt;&gt;"", """" &amp; VJDBCore!N$1 &amp; """", ""),    IF(N201&lt;&gt;"", """" &amp; VJDBCore!O$1 &amp; """", ""),     IF(O201&lt;&gt;"", """" &amp; VJDBCore!P$1 &amp; """", ""),     IF(O201&lt;&gt;"", """" &amp; VJDBCore!P$1 &amp; """", ""),     IF(P201&lt;&gt;"", """" &amp; VJDBCore!Q$1 &amp; """", ""),
    IF(Q205&lt;&gt;"", """" &amp; Q205 &amp; """", ""),
    IF(R201&lt;&gt;"", """" &amp; R201 &amp; """", ""),
    IF(S201&lt;&gt;"", """" &amp; S201 &amp; """", "")
) &amp; "]"</f>
        <v>[]</v>
      </c>
      <c r="U201" s="13"/>
      <c r="V201" s="13"/>
      <c r="W201" s="13"/>
      <c r="X201" s="13"/>
      <c r="Y201" s="13"/>
      <c r="Z201" s="13"/>
      <c r="AA201" s="13"/>
      <c r="AB201" s="13"/>
      <c r="AC201" s="13"/>
      <c r="AD201" s="13"/>
      <c r="AE201" s="13"/>
      <c r="AF201" s="13"/>
      <c r="AG201" s="13"/>
      <c r="AH201" s="13"/>
      <c r="AI201" s="13"/>
      <c r="AJ201" s="13"/>
      <c r="AK201" s="13"/>
      <c r="AL201" s="13"/>
      <c r="AM201" s="13"/>
      <c r="AN201" s="28"/>
    </row>
    <row r="202" spans="1:40" s="10" customFormat="1" ht="23.25" customHeight="1" thickBot="1">
      <c r="A202" s="4"/>
      <c r="B202" s="4"/>
      <c r="C202" s="4"/>
      <c r="D202" s="4"/>
      <c r="E202" s="15"/>
      <c r="F202" s="4"/>
      <c r="G202" s="4"/>
      <c r="H202" s="4"/>
      <c r="I202" s="4"/>
      <c r="J202" s="4"/>
      <c r="K202" s="4"/>
      <c r="L202" s="4"/>
      <c r="M202" s="4"/>
      <c r="N202" s="4"/>
      <c r="O202" s="6"/>
      <c r="P202" s="6"/>
      <c r="Q202" s="4"/>
      <c r="R202" s="7"/>
      <c r="S202" s="4"/>
      <c r="T202" s="3" t="str">
        <f>"[" &amp; _xlfn.TEXTJOIN(", ", TRUE,
    IF(H202&lt;&gt;"", """" &amp; VJDBCore!I$1 &amp; """", ""),
    IF(I202&lt;&gt;"", """" &amp; VJDBCore!J$1 &amp; """", ""),
    IF(J202&lt;&gt;"", """" &amp; VJDBCore!K$1 &amp; """", ""),
    IF(K202&lt;&gt;"", """" &amp; VJDBCore!L$1 &amp; """", ""),
    IF(L202&lt;&gt;"", """" &amp; VJDBCore!M$1 &amp; """", ""),    IF(M202&lt;&gt;"", """" &amp; VJDBCore!N$1 &amp; """", ""),    IF(N202&lt;&gt;"", """" &amp; VJDBCore!O$1 &amp; """", ""),     IF(O202&lt;&gt;"", """" &amp; VJDBCore!P$1 &amp; """", ""),     IF(O202&lt;&gt;"", """" &amp; VJDBCore!P$1 &amp; """", ""),     IF(P202&lt;&gt;"", """" &amp; VJDBCore!Q$1 &amp; """", ""),
    IF(Q206&lt;&gt;"", """" &amp; Q206 &amp; """", ""),
    IF(R202&lt;&gt;"", """" &amp; R202 &amp; """", ""),
    IF(S202&lt;&gt;"", """" &amp; S202 &amp; """", "")
) &amp; "]"</f>
        <v>[]</v>
      </c>
      <c r="U202" s="13"/>
      <c r="V202" s="13"/>
      <c r="W202" s="13"/>
      <c r="X202" s="13"/>
      <c r="Y202" s="13"/>
      <c r="Z202" s="13"/>
      <c r="AA202" s="13"/>
      <c r="AB202" s="13"/>
      <c r="AC202" s="13"/>
      <c r="AD202" s="13"/>
      <c r="AE202" s="13"/>
      <c r="AF202" s="13"/>
      <c r="AG202" s="13"/>
      <c r="AH202" s="13"/>
      <c r="AI202" s="13"/>
      <c r="AJ202" s="13"/>
      <c r="AK202" s="13"/>
      <c r="AL202" s="13"/>
      <c r="AM202" s="13"/>
      <c r="AN202" s="28"/>
    </row>
    <row r="203" spans="1:40" s="10" customFormat="1" ht="23.25" customHeight="1" thickBot="1">
      <c r="A203" s="4"/>
      <c r="B203" s="4"/>
      <c r="C203" s="4"/>
      <c r="D203" s="4"/>
      <c r="E203" s="15"/>
      <c r="F203" s="4"/>
      <c r="G203" s="4"/>
      <c r="H203" s="4"/>
      <c r="I203" s="4"/>
      <c r="J203" s="4"/>
      <c r="K203" s="4"/>
      <c r="L203" s="4"/>
      <c r="M203" s="4"/>
      <c r="N203" s="4"/>
      <c r="O203" s="6"/>
      <c r="P203" s="6"/>
      <c r="Q203" s="4"/>
      <c r="R203" s="7"/>
      <c r="S203" s="4"/>
      <c r="T203" s="3" t="str">
        <f>"[" &amp; _xlfn.TEXTJOIN(", ", TRUE,
    IF(H203&lt;&gt;"", """" &amp; VJDBCore!I$1 &amp; """", ""),
    IF(I203&lt;&gt;"", """" &amp; VJDBCore!J$1 &amp; """", ""),
    IF(J203&lt;&gt;"", """" &amp; VJDBCore!K$1 &amp; """", ""),
    IF(K203&lt;&gt;"", """" &amp; VJDBCore!L$1 &amp; """", ""),
    IF(L203&lt;&gt;"", """" &amp; VJDBCore!M$1 &amp; """", ""),    IF(M203&lt;&gt;"", """" &amp; VJDBCore!N$1 &amp; """", ""),    IF(N203&lt;&gt;"", """" &amp; VJDBCore!O$1 &amp; """", ""),     IF(O203&lt;&gt;"", """" &amp; VJDBCore!P$1 &amp; """", ""),     IF(O203&lt;&gt;"", """" &amp; VJDBCore!P$1 &amp; """", ""),     IF(P203&lt;&gt;"", """" &amp; VJDBCore!Q$1 &amp; """", ""),
    IF(Q207&lt;&gt;"", """" &amp; Q207 &amp; """", ""),
    IF(R203&lt;&gt;"", """" &amp; R203 &amp; """", ""),
    IF(S203&lt;&gt;"", """" &amp; S203 &amp; """", "")
) &amp; "]"</f>
        <v>[]</v>
      </c>
      <c r="U203" s="13"/>
      <c r="V203" s="13"/>
      <c r="W203" s="13"/>
      <c r="X203" s="13"/>
      <c r="Y203" s="13"/>
      <c r="Z203" s="13"/>
      <c r="AA203" s="13"/>
      <c r="AB203" s="13"/>
      <c r="AC203" s="13"/>
      <c r="AD203" s="13"/>
      <c r="AE203" s="13"/>
      <c r="AF203" s="13"/>
      <c r="AG203" s="13"/>
      <c r="AH203" s="13"/>
      <c r="AI203" s="13"/>
      <c r="AJ203" s="13"/>
      <c r="AK203" s="13"/>
      <c r="AL203" s="13"/>
      <c r="AM203" s="13"/>
      <c r="AN203" s="28"/>
    </row>
    <row r="204" spans="1:40" s="10" customFormat="1" ht="23.25" customHeight="1" thickBot="1">
      <c r="A204" s="4"/>
      <c r="B204" s="4"/>
      <c r="C204" s="4"/>
      <c r="D204" s="4"/>
      <c r="E204" s="15"/>
      <c r="F204" s="4"/>
      <c r="G204" s="4"/>
      <c r="H204" s="4"/>
      <c r="I204" s="4"/>
      <c r="J204" s="4"/>
      <c r="K204" s="4"/>
      <c r="L204" s="4"/>
      <c r="M204" s="4"/>
      <c r="N204" s="4"/>
      <c r="O204" s="6"/>
      <c r="P204" s="6"/>
      <c r="Q204" s="4"/>
      <c r="R204" s="7"/>
      <c r="S204" s="4"/>
      <c r="T204" s="3" t="str">
        <f>"[" &amp; _xlfn.TEXTJOIN(", ", TRUE,
    IF(H204&lt;&gt;"", """" &amp; VJDBCore!I$1 &amp; """", ""),
    IF(I204&lt;&gt;"", """" &amp; VJDBCore!J$1 &amp; """", ""),
    IF(J204&lt;&gt;"", """" &amp; VJDBCore!K$1 &amp; """", ""),
    IF(K204&lt;&gt;"", """" &amp; VJDBCore!L$1 &amp; """", ""),
    IF(L204&lt;&gt;"", """" &amp; VJDBCore!M$1 &amp; """", ""),    IF(M204&lt;&gt;"", """" &amp; VJDBCore!N$1 &amp; """", ""),    IF(N204&lt;&gt;"", """" &amp; VJDBCore!O$1 &amp; """", ""),     IF(O204&lt;&gt;"", """" &amp; VJDBCore!P$1 &amp; """", ""),     IF(O204&lt;&gt;"", """" &amp; VJDBCore!P$1 &amp; """", ""),     IF(P204&lt;&gt;"", """" &amp; VJDBCore!Q$1 &amp; """", ""),
    IF(Q208&lt;&gt;"", """" &amp; Q208 &amp; """", ""),
    IF(R204&lt;&gt;"", """" &amp; R204 &amp; """", ""),
    IF(S204&lt;&gt;"", """" &amp; S204 &amp; """", "")
) &amp; "]"</f>
        <v>[]</v>
      </c>
      <c r="U204" s="13"/>
      <c r="V204" s="13"/>
      <c r="W204" s="13"/>
      <c r="X204" s="13"/>
      <c r="Y204" s="13"/>
      <c r="Z204" s="13"/>
      <c r="AA204" s="13"/>
      <c r="AB204" s="13"/>
      <c r="AC204" s="13"/>
      <c r="AD204" s="13"/>
      <c r="AE204" s="13"/>
      <c r="AF204" s="13"/>
      <c r="AG204" s="13"/>
      <c r="AH204" s="13"/>
      <c r="AI204" s="13"/>
      <c r="AJ204" s="13"/>
      <c r="AK204" s="13"/>
      <c r="AL204" s="13"/>
      <c r="AM204" s="13"/>
      <c r="AN204" s="28"/>
    </row>
    <row r="205" spans="1:40" s="10" customFormat="1" ht="23.25" customHeight="1" thickBot="1">
      <c r="A205" s="4"/>
      <c r="B205" s="4"/>
      <c r="C205" s="4"/>
      <c r="D205" s="4"/>
      <c r="E205" s="15"/>
      <c r="F205" s="4"/>
      <c r="G205" s="4"/>
      <c r="H205" s="4"/>
      <c r="I205" s="4"/>
      <c r="J205" s="4"/>
      <c r="K205" s="4"/>
      <c r="L205" s="4"/>
      <c r="M205" s="4"/>
      <c r="N205" s="4"/>
      <c r="O205" s="6"/>
      <c r="P205" s="6"/>
      <c r="Q205" s="4"/>
      <c r="R205" s="7"/>
      <c r="S205" s="4"/>
      <c r="T205" s="3" t="str">
        <f>"[" &amp; _xlfn.TEXTJOIN(", ", TRUE,
    IF(H205&lt;&gt;"", """" &amp; VJDBCore!I$1 &amp; """", ""),
    IF(I205&lt;&gt;"", """" &amp; VJDBCore!J$1 &amp; """", ""),
    IF(J205&lt;&gt;"", """" &amp; VJDBCore!K$1 &amp; """", ""),
    IF(K205&lt;&gt;"", """" &amp; VJDBCore!L$1 &amp; """", ""),
    IF(L205&lt;&gt;"", """" &amp; VJDBCore!M$1 &amp; """", ""),    IF(M205&lt;&gt;"", """" &amp; VJDBCore!N$1 &amp; """", ""),    IF(N205&lt;&gt;"", """" &amp; VJDBCore!O$1 &amp; """", ""),     IF(O205&lt;&gt;"", """" &amp; VJDBCore!P$1 &amp; """", ""),     IF(O205&lt;&gt;"", """" &amp; VJDBCore!P$1 &amp; """", ""),     IF(P205&lt;&gt;"", """" &amp; VJDBCore!Q$1 &amp; """", ""),
    IF(Q209&lt;&gt;"", """" &amp; Q209 &amp; """", ""),
    IF(R205&lt;&gt;"", """" &amp; R205 &amp; """", ""),
    IF(S205&lt;&gt;"", """" &amp; S205 &amp; """", "")
) &amp; "]"</f>
        <v>[]</v>
      </c>
      <c r="U205" s="13"/>
      <c r="V205" s="13"/>
      <c r="W205" s="13"/>
      <c r="X205" s="13"/>
      <c r="Y205" s="13"/>
      <c r="Z205" s="13"/>
      <c r="AA205" s="13"/>
      <c r="AB205" s="13"/>
      <c r="AC205" s="13"/>
      <c r="AD205" s="13"/>
      <c r="AE205" s="13"/>
      <c r="AF205" s="13"/>
      <c r="AG205" s="13"/>
      <c r="AH205" s="13"/>
      <c r="AI205" s="13"/>
      <c r="AJ205" s="13"/>
      <c r="AK205" s="13"/>
      <c r="AL205" s="13"/>
      <c r="AM205" s="13"/>
      <c r="AN205" s="28"/>
    </row>
    <row r="206" spans="1:40" s="10" customFormat="1" ht="23.25" customHeight="1" thickBot="1">
      <c r="A206" s="4"/>
      <c r="B206" s="4"/>
      <c r="C206" s="4"/>
      <c r="D206" s="4"/>
      <c r="E206" s="15"/>
      <c r="F206" s="4"/>
      <c r="G206" s="4"/>
      <c r="H206" s="4"/>
      <c r="I206" s="4"/>
      <c r="J206" s="4"/>
      <c r="K206" s="4"/>
      <c r="L206" s="4"/>
      <c r="M206" s="4"/>
      <c r="N206" s="4"/>
      <c r="O206" s="6"/>
      <c r="P206" s="6"/>
      <c r="Q206" s="4"/>
      <c r="R206" s="7"/>
      <c r="S206" s="4"/>
      <c r="T206" s="3" t="str">
        <f>"[" &amp; _xlfn.TEXTJOIN(", ", TRUE,
    IF(H206&lt;&gt;"", """" &amp; VJDBCore!I$1 &amp; """", ""),
    IF(I206&lt;&gt;"", """" &amp; VJDBCore!J$1 &amp; """", ""),
    IF(J206&lt;&gt;"", """" &amp; VJDBCore!K$1 &amp; """", ""),
    IF(K206&lt;&gt;"", """" &amp; VJDBCore!L$1 &amp; """", ""),
    IF(L206&lt;&gt;"", """" &amp; VJDBCore!M$1 &amp; """", ""),    IF(M206&lt;&gt;"", """" &amp; VJDBCore!N$1 &amp; """", ""),    IF(N206&lt;&gt;"", """" &amp; VJDBCore!O$1 &amp; """", ""),     IF(O206&lt;&gt;"", """" &amp; VJDBCore!P$1 &amp; """", ""),     IF(O206&lt;&gt;"", """" &amp; VJDBCore!P$1 &amp; """", ""),     IF(P206&lt;&gt;"", """" &amp; VJDBCore!Q$1 &amp; """", ""),
    IF(Q210&lt;&gt;"", """" &amp; Q210 &amp; """", ""),
    IF(R206&lt;&gt;"", """" &amp; R206 &amp; """", ""),
    IF(S206&lt;&gt;"", """" &amp; S206 &amp; """", "")
) &amp; "]"</f>
        <v>[]</v>
      </c>
      <c r="U206" s="13"/>
      <c r="V206" s="13"/>
      <c r="W206" s="13"/>
      <c r="X206" s="13"/>
      <c r="Y206" s="13"/>
      <c r="Z206" s="13"/>
      <c r="AA206" s="13"/>
      <c r="AB206" s="13"/>
      <c r="AC206" s="13"/>
      <c r="AD206" s="13"/>
      <c r="AE206" s="13"/>
      <c r="AF206" s="13"/>
      <c r="AG206" s="13"/>
      <c r="AH206" s="13"/>
      <c r="AI206" s="13"/>
      <c r="AJ206" s="13"/>
      <c r="AK206" s="13"/>
      <c r="AL206" s="13"/>
      <c r="AM206" s="13"/>
      <c r="AN206" s="28"/>
    </row>
    <row r="207" spans="1:40" s="10" customFormat="1" ht="23.25" customHeight="1" thickBot="1">
      <c r="A207" s="4"/>
      <c r="B207" s="4"/>
      <c r="C207" s="4"/>
      <c r="D207" s="4"/>
      <c r="E207" s="15"/>
      <c r="F207" s="4"/>
      <c r="G207" s="4"/>
      <c r="H207" s="4"/>
      <c r="I207" s="4"/>
      <c r="J207" s="4"/>
      <c r="K207" s="4"/>
      <c r="L207" s="4"/>
      <c r="M207" s="4"/>
      <c r="N207" s="4"/>
      <c r="O207" s="6"/>
      <c r="P207" s="6"/>
      <c r="Q207" s="4"/>
      <c r="R207" s="7"/>
      <c r="S207" s="4"/>
      <c r="T207" s="3" t="str">
        <f>"[" &amp; _xlfn.TEXTJOIN(", ", TRUE,
    IF(H207&lt;&gt;"", """" &amp; VJDBCore!I$1 &amp; """", ""),
    IF(I207&lt;&gt;"", """" &amp; VJDBCore!J$1 &amp; """", ""),
    IF(J207&lt;&gt;"", """" &amp; VJDBCore!K$1 &amp; """", ""),
    IF(K207&lt;&gt;"", """" &amp; VJDBCore!L$1 &amp; """", ""),
    IF(L207&lt;&gt;"", """" &amp; VJDBCore!M$1 &amp; """", ""),    IF(M207&lt;&gt;"", """" &amp; VJDBCore!N$1 &amp; """", ""),    IF(N207&lt;&gt;"", """" &amp; VJDBCore!O$1 &amp; """", ""),     IF(O207&lt;&gt;"", """" &amp; VJDBCore!P$1 &amp; """", ""),     IF(O207&lt;&gt;"", """" &amp; VJDBCore!P$1 &amp; """", ""),     IF(P207&lt;&gt;"", """" &amp; VJDBCore!Q$1 &amp; """", ""),
    IF(Q211&lt;&gt;"", """" &amp; Q211 &amp; """", ""),
    IF(R207&lt;&gt;"", """" &amp; R207 &amp; """", ""),
    IF(S207&lt;&gt;"", """" &amp; S207 &amp; """", "")
) &amp; "]"</f>
        <v>[]</v>
      </c>
      <c r="U207" s="13"/>
      <c r="V207" s="13"/>
      <c r="W207" s="13"/>
      <c r="X207" s="13"/>
      <c r="Y207" s="13"/>
      <c r="Z207" s="13"/>
      <c r="AA207" s="13"/>
      <c r="AB207" s="13"/>
      <c r="AC207" s="13"/>
      <c r="AD207" s="13"/>
      <c r="AE207" s="13"/>
      <c r="AF207" s="13"/>
      <c r="AG207" s="13"/>
      <c r="AH207" s="13"/>
      <c r="AI207" s="13"/>
      <c r="AJ207" s="13"/>
      <c r="AK207" s="13"/>
      <c r="AL207" s="13"/>
      <c r="AM207" s="13"/>
      <c r="AN207" s="28"/>
    </row>
    <row r="208" spans="1:40" s="10" customFormat="1" ht="23.25" customHeight="1" thickBot="1">
      <c r="A208" s="4"/>
      <c r="B208" s="4"/>
      <c r="C208" s="4"/>
      <c r="D208" s="4"/>
      <c r="E208" s="15"/>
      <c r="F208" s="4"/>
      <c r="G208" s="4"/>
      <c r="H208" s="4"/>
      <c r="I208" s="4"/>
      <c r="J208" s="4"/>
      <c r="K208" s="4"/>
      <c r="L208" s="4"/>
      <c r="M208" s="4"/>
      <c r="N208" s="4"/>
      <c r="O208" s="6"/>
      <c r="P208" s="6"/>
      <c r="Q208" s="4"/>
      <c r="R208" s="7"/>
      <c r="S208" s="4"/>
      <c r="T208" s="3" t="str">
        <f>"[" &amp; _xlfn.TEXTJOIN(", ", TRUE,
    IF(H208&lt;&gt;"", """" &amp; VJDBCore!I$1 &amp; """", ""),
    IF(I208&lt;&gt;"", """" &amp; VJDBCore!J$1 &amp; """", ""),
    IF(J208&lt;&gt;"", """" &amp; VJDBCore!K$1 &amp; """", ""),
    IF(K208&lt;&gt;"", """" &amp; VJDBCore!L$1 &amp; """", ""),
    IF(L208&lt;&gt;"", """" &amp; VJDBCore!M$1 &amp; """", ""),    IF(M208&lt;&gt;"", """" &amp; VJDBCore!N$1 &amp; """", ""),    IF(N208&lt;&gt;"", """" &amp; VJDBCore!O$1 &amp; """", ""),     IF(O208&lt;&gt;"", """" &amp; VJDBCore!P$1 &amp; """", ""),     IF(O208&lt;&gt;"", """" &amp; VJDBCore!P$1 &amp; """", ""),     IF(P208&lt;&gt;"", """" &amp; VJDBCore!Q$1 &amp; """", ""),
    IF(Q212&lt;&gt;"", """" &amp; Q212 &amp; """", ""),
    IF(R208&lt;&gt;"", """" &amp; R208 &amp; """", ""),
    IF(S208&lt;&gt;"", """" &amp; S208 &amp; """", "")
) &amp; "]"</f>
        <v>[]</v>
      </c>
      <c r="U208" s="13"/>
      <c r="V208" s="13"/>
      <c r="W208" s="13"/>
      <c r="X208" s="13"/>
      <c r="Y208" s="13"/>
      <c r="Z208" s="13"/>
      <c r="AA208" s="13"/>
      <c r="AB208" s="13"/>
      <c r="AC208" s="13"/>
      <c r="AD208" s="13"/>
      <c r="AE208" s="13"/>
      <c r="AF208" s="13"/>
      <c r="AG208" s="13"/>
      <c r="AH208" s="13"/>
      <c r="AI208" s="13"/>
      <c r="AJ208" s="13"/>
      <c r="AK208" s="13"/>
      <c r="AL208" s="13"/>
      <c r="AM208" s="13"/>
      <c r="AN208" s="28"/>
    </row>
    <row r="209" spans="1:40" s="10" customFormat="1" ht="23.25" customHeight="1" thickBot="1">
      <c r="A209" s="4"/>
      <c r="B209" s="4"/>
      <c r="C209" s="4"/>
      <c r="D209" s="4"/>
      <c r="E209" s="15"/>
      <c r="F209" s="4"/>
      <c r="G209" s="4"/>
      <c r="H209" s="4"/>
      <c r="I209" s="4"/>
      <c r="J209" s="4"/>
      <c r="K209" s="4"/>
      <c r="L209" s="4"/>
      <c r="M209" s="4"/>
      <c r="N209" s="4"/>
      <c r="O209" s="6"/>
      <c r="P209" s="6"/>
      <c r="Q209" s="4"/>
      <c r="R209" s="7"/>
      <c r="S209" s="4"/>
      <c r="T209" s="3" t="str">
        <f>"[" &amp; _xlfn.TEXTJOIN(", ", TRUE,
    IF(H209&lt;&gt;"", """" &amp; VJDBCore!I$1 &amp; """", ""),
    IF(I209&lt;&gt;"", """" &amp; VJDBCore!J$1 &amp; """", ""),
    IF(J209&lt;&gt;"", """" &amp; VJDBCore!K$1 &amp; """", ""),
    IF(K209&lt;&gt;"", """" &amp; VJDBCore!L$1 &amp; """", ""),
    IF(L209&lt;&gt;"", """" &amp; VJDBCore!M$1 &amp; """", ""),    IF(M209&lt;&gt;"", """" &amp; VJDBCore!N$1 &amp; """", ""),    IF(N209&lt;&gt;"", """" &amp; VJDBCore!O$1 &amp; """", ""),     IF(O209&lt;&gt;"", """" &amp; VJDBCore!P$1 &amp; """", ""),     IF(O209&lt;&gt;"", """" &amp; VJDBCore!P$1 &amp; """", ""),     IF(P209&lt;&gt;"", """" &amp; VJDBCore!Q$1 &amp; """", ""),
    IF(Q213&lt;&gt;"", """" &amp; Q213 &amp; """", ""),
    IF(R209&lt;&gt;"", """" &amp; R209 &amp; """", ""),
    IF(S209&lt;&gt;"", """" &amp; S209 &amp; """", "")
) &amp; "]"</f>
        <v>[]</v>
      </c>
      <c r="U209" s="13"/>
      <c r="V209" s="13"/>
      <c r="W209" s="13"/>
      <c r="X209" s="13"/>
      <c r="Y209" s="13"/>
      <c r="Z209" s="13"/>
      <c r="AA209" s="13"/>
      <c r="AB209" s="13"/>
      <c r="AC209" s="13"/>
      <c r="AD209" s="13"/>
      <c r="AE209" s="13"/>
      <c r="AF209" s="13"/>
      <c r="AG209" s="13"/>
      <c r="AH209" s="13"/>
      <c r="AI209" s="13"/>
      <c r="AJ209" s="13"/>
      <c r="AK209" s="13"/>
      <c r="AL209" s="13"/>
      <c r="AM209" s="13"/>
      <c r="AN209" s="28"/>
    </row>
    <row r="210" spans="1:40" s="10" customFormat="1" ht="23.25" customHeight="1" thickBot="1">
      <c r="A210" s="4"/>
      <c r="B210" s="4"/>
      <c r="C210" s="4"/>
      <c r="D210" s="4"/>
      <c r="E210" s="15"/>
      <c r="F210" s="4"/>
      <c r="G210" s="4"/>
      <c r="H210" s="4"/>
      <c r="I210" s="4"/>
      <c r="J210" s="4"/>
      <c r="K210" s="4"/>
      <c r="L210" s="4"/>
      <c r="M210" s="4"/>
      <c r="N210" s="4"/>
      <c r="O210" s="6"/>
      <c r="P210" s="6"/>
      <c r="Q210" s="4"/>
      <c r="R210" s="7"/>
      <c r="S210" s="4"/>
      <c r="T210" s="3" t="str">
        <f>"[" &amp; _xlfn.TEXTJOIN(", ", TRUE,
    IF(H210&lt;&gt;"", """" &amp; VJDBCore!I$1 &amp; """", ""),
    IF(I210&lt;&gt;"", """" &amp; VJDBCore!J$1 &amp; """", ""),
    IF(J210&lt;&gt;"", """" &amp; VJDBCore!K$1 &amp; """", ""),
    IF(K210&lt;&gt;"", """" &amp; VJDBCore!L$1 &amp; """", ""),
    IF(L210&lt;&gt;"", """" &amp; VJDBCore!M$1 &amp; """", ""),    IF(M210&lt;&gt;"", """" &amp; VJDBCore!N$1 &amp; """", ""),    IF(N210&lt;&gt;"", """" &amp; VJDBCore!O$1 &amp; """", ""),     IF(O210&lt;&gt;"", """" &amp; VJDBCore!P$1 &amp; """", ""),     IF(O210&lt;&gt;"", """" &amp; VJDBCore!P$1 &amp; """", ""),     IF(P210&lt;&gt;"", """" &amp; VJDBCore!Q$1 &amp; """", ""),
    IF(Q214&lt;&gt;"", """" &amp; Q214 &amp; """", ""),
    IF(R210&lt;&gt;"", """" &amp; R210 &amp; """", ""),
    IF(S210&lt;&gt;"", """" &amp; S210 &amp; """", "")
) &amp; "]"</f>
        <v>[]</v>
      </c>
      <c r="U210" s="13"/>
      <c r="V210" s="13"/>
      <c r="W210" s="13"/>
      <c r="X210" s="13"/>
      <c r="Y210" s="13"/>
      <c r="Z210" s="13"/>
      <c r="AA210" s="13"/>
      <c r="AB210" s="13"/>
      <c r="AC210" s="13"/>
      <c r="AD210" s="13"/>
      <c r="AE210" s="13"/>
      <c r="AF210" s="13"/>
      <c r="AG210" s="13"/>
      <c r="AH210" s="13"/>
      <c r="AI210" s="13"/>
      <c r="AJ210" s="13"/>
      <c r="AK210" s="13"/>
      <c r="AL210" s="13"/>
      <c r="AM210" s="13"/>
      <c r="AN210" s="28"/>
    </row>
    <row r="211" spans="1:40" s="10" customFormat="1" ht="23.25" customHeight="1" thickBot="1">
      <c r="A211" s="4"/>
      <c r="B211" s="4"/>
      <c r="C211" s="4"/>
      <c r="D211" s="4"/>
      <c r="E211" s="15"/>
      <c r="F211" s="4"/>
      <c r="G211" s="4"/>
      <c r="H211" s="4"/>
      <c r="I211" s="4"/>
      <c r="J211" s="4"/>
      <c r="K211" s="4"/>
      <c r="L211" s="4"/>
      <c r="M211" s="4"/>
      <c r="N211" s="4"/>
      <c r="O211" s="6"/>
      <c r="P211" s="6"/>
      <c r="Q211" s="4"/>
      <c r="R211" s="7"/>
      <c r="S211" s="4"/>
      <c r="T211" s="3" t="str">
        <f>"[" &amp; _xlfn.TEXTJOIN(", ", TRUE,
    IF(H211&lt;&gt;"", """" &amp; VJDBCore!I$1 &amp; """", ""),
    IF(I211&lt;&gt;"", """" &amp; VJDBCore!J$1 &amp; """", ""),
    IF(J211&lt;&gt;"", """" &amp; VJDBCore!K$1 &amp; """", ""),
    IF(K211&lt;&gt;"", """" &amp; VJDBCore!L$1 &amp; """", ""),
    IF(L211&lt;&gt;"", """" &amp; VJDBCore!M$1 &amp; """", ""),    IF(M211&lt;&gt;"", """" &amp; VJDBCore!N$1 &amp; """", ""),    IF(N211&lt;&gt;"", """" &amp; VJDBCore!O$1 &amp; """", ""),     IF(O211&lt;&gt;"", """" &amp; VJDBCore!P$1 &amp; """", ""),     IF(O211&lt;&gt;"", """" &amp; VJDBCore!P$1 &amp; """", ""),     IF(P211&lt;&gt;"", """" &amp; VJDBCore!Q$1 &amp; """", ""),
    IF(Q215&lt;&gt;"", """" &amp; Q215 &amp; """", ""),
    IF(R211&lt;&gt;"", """" &amp; R211 &amp; """", ""),
    IF(S211&lt;&gt;"", """" &amp; S211 &amp; """", "")
) &amp; "]"</f>
        <v>[]</v>
      </c>
      <c r="U211" s="13"/>
      <c r="V211" s="13"/>
      <c r="W211" s="13"/>
      <c r="X211" s="13"/>
      <c r="Y211" s="13"/>
      <c r="Z211" s="13"/>
      <c r="AA211" s="13"/>
      <c r="AB211" s="13"/>
      <c r="AC211" s="13"/>
      <c r="AD211" s="13"/>
      <c r="AE211" s="13"/>
      <c r="AF211" s="13"/>
      <c r="AG211" s="13"/>
      <c r="AH211" s="13"/>
      <c r="AI211" s="13"/>
      <c r="AJ211" s="13"/>
      <c r="AK211" s="13"/>
      <c r="AL211" s="13"/>
      <c r="AM211" s="13"/>
      <c r="AN211" s="28"/>
    </row>
    <row r="212" spans="1:40" s="10" customFormat="1" ht="23.25" customHeight="1" thickBot="1">
      <c r="A212" s="4"/>
      <c r="B212" s="4"/>
      <c r="C212" s="4"/>
      <c r="D212" s="4"/>
      <c r="E212" s="15"/>
      <c r="F212" s="4"/>
      <c r="G212" s="4"/>
      <c r="H212" s="4"/>
      <c r="I212" s="4"/>
      <c r="J212" s="4"/>
      <c r="K212" s="4"/>
      <c r="L212" s="4"/>
      <c r="M212" s="4"/>
      <c r="N212" s="4"/>
      <c r="O212" s="6"/>
      <c r="P212" s="6"/>
      <c r="Q212" s="4"/>
      <c r="R212" s="7"/>
      <c r="S212" s="4"/>
      <c r="T212" s="3" t="str">
        <f>"[" &amp; _xlfn.TEXTJOIN(", ", TRUE,
    IF(H212&lt;&gt;"", """" &amp; VJDBCore!I$1 &amp; """", ""),
    IF(I212&lt;&gt;"", """" &amp; VJDBCore!J$1 &amp; """", ""),
    IF(J212&lt;&gt;"", """" &amp; VJDBCore!K$1 &amp; """", ""),
    IF(K212&lt;&gt;"", """" &amp; VJDBCore!L$1 &amp; """", ""),
    IF(L212&lt;&gt;"", """" &amp; VJDBCore!M$1 &amp; """", ""),    IF(M212&lt;&gt;"", """" &amp; VJDBCore!N$1 &amp; """", ""),    IF(N212&lt;&gt;"", """" &amp; VJDBCore!O$1 &amp; """", ""),     IF(O212&lt;&gt;"", """" &amp; VJDBCore!P$1 &amp; """", ""),     IF(O212&lt;&gt;"", """" &amp; VJDBCore!P$1 &amp; """", ""),     IF(P212&lt;&gt;"", """" &amp; VJDBCore!Q$1 &amp; """", ""),
    IF(Q216&lt;&gt;"", """" &amp; Q216 &amp; """", ""),
    IF(R212&lt;&gt;"", """" &amp; R212 &amp; """", ""),
    IF(S212&lt;&gt;"", """" &amp; S212 &amp; """", "")
) &amp; "]"</f>
        <v>[]</v>
      </c>
      <c r="U212" s="13"/>
      <c r="V212" s="13"/>
      <c r="W212" s="13"/>
      <c r="X212" s="13"/>
      <c r="Y212" s="13"/>
      <c r="Z212" s="13"/>
      <c r="AA212" s="13"/>
      <c r="AB212" s="13"/>
      <c r="AC212" s="13"/>
      <c r="AD212" s="13"/>
      <c r="AE212" s="13"/>
      <c r="AF212" s="13"/>
      <c r="AG212" s="13"/>
      <c r="AH212" s="13"/>
      <c r="AI212" s="13"/>
      <c r="AJ212" s="13"/>
      <c r="AK212" s="13"/>
      <c r="AL212" s="13"/>
      <c r="AM212" s="13"/>
      <c r="AN212" s="28"/>
    </row>
    <row r="213" spans="1:40" s="10" customFormat="1" ht="23.25" customHeight="1" thickBot="1">
      <c r="A213" s="4"/>
      <c r="B213" s="4"/>
      <c r="C213" s="4"/>
      <c r="D213" s="4"/>
      <c r="E213" s="15"/>
      <c r="F213" s="4"/>
      <c r="G213" s="4"/>
      <c r="H213" s="4"/>
      <c r="I213" s="4"/>
      <c r="J213" s="4"/>
      <c r="K213" s="4"/>
      <c r="L213" s="4"/>
      <c r="M213" s="4"/>
      <c r="N213" s="4"/>
      <c r="O213" s="6"/>
      <c r="P213" s="6"/>
      <c r="Q213" s="4"/>
      <c r="R213" s="7"/>
      <c r="S213" s="4"/>
      <c r="T213" s="3" t="str">
        <f>"[" &amp; _xlfn.TEXTJOIN(", ", TRUE,
    IF(H213&lt;&gt;"", """" &amp; VJDBCore!I$1 &amp; """", ""),
    IF(I213&lt;&gt;"", """" &amp; VJDBCore!J$1 &amp; """", ""),
    IF(J213&lt;&gt;"", """" &amp; VJDBCore!K$1 &amp; """", ""),
    IF(K213&lt;&gt;"", """" &amp; VJDBCore!L$1 &amp; """", ""),
    IF(L213&lt;&gt;"", """" &amp; VJDBCore!M$1 &amp; """", ""),    IF(M213&lt;&gt;"", """" &amp; VJDBCore!N$1 &amp; """", ""),    IF(N213&lt;&gt;"", """" &amp; VJDBCore!O$1 &amp; """", ""),     IF(O213&lt;&gt;"", """" &amp; VJDBCore!P$1 &amp; """", ""),     IF(O213&lt;&gt;"", """" &amp; VJDBCore!P$1 &amp; """", ""),     IF(P213&lt;&gt;"", """" &amp; VJDBCore!Q$1 &amp; """", ""),
    IF(Q217&lt;&gt;"", """" &amp; Q217 &amp; """", ""),
    IF(R213&lt;&gt;"", """" &amp; R213 &amp; """", ""),
    IF(S213&lt;&gt;"", """" &amp; S213 &amp; """", "")
) &amp; "]"</f>
        <v>[]</v>
      </c>
      <c r="U213" s="13"/>
      <c r="V213" s="13"/>
      <c r="W213" s="13"/>
      <c r="X213" s="13"/>
      <c r="Y213" s="13"/>
      <c r="Z213" s="13"/>
      <c r="AA213" s="13"/>
      <c r="AB213" s="13"/>
      <c r="AC213" s="13"/>
      <c r="AD213" s="13"/>
      <c r="AE213" s="13"/>
      <c r="AF213" s="13"/>
      <c r="AG213" s="13"/>
      <c r="AH213" s="13"/>
      <c r="AI213" s="13"/>
      <c r="AJ213" s="13"/>
      <c r="AK213" s="13"/>
      <c r="AL213" s="13"/>
      <c r="AM213" s="13"/>
      <c r="AN213" s="28"/>
    </row>
    <row r="214" spans="1:40" s="10" customFormat="1" ht="23.25" customHeight="1" thickBot="1">
      <c r="A214" s="4"/>
      <c r="B214" s="4"/>
      <c r="C214" s="4"/>
      <c r="D214" s="4"/>
      <c r="E214" s="15"/>
      <c r="F214" s="4"/>
      <c r="G214" s="4"/>
      <c r="H214" s="4"/>
      <c r="I214" s="4"/>
      <c r="J214" s="4"/>
      <c r="K214" s="4"/>
      <c r="L214" s="4"/>
      <c r="M214" s="4"/>
      <c r="N214" s="4"/>
      <c r="O214" s="6"/>
      <c r="P214" s="6"/>
      <c r="Q214" s="4"/>
      <c r="R214" s="7"/>
      <c r="S214" s="4"/>
      <c r="T214" s="3" t="str">
        <f>"[" &amp; _xlfn.TEXTJOIN(", ", TRUE,
    IF(H214&lt;&gt;"", """" &amp; VJDBCore!I$1 &amp; """", ""),
    IF(I214&lt;&gt;"", """" &amp; VJDBCore!J$1 &amp; """", ""),
    IF(J214&lt;&gt;"", """" &amp; VJDBCore!K$1 &amp; """", ""),
    IF(K214&lt;&gt;"", """" &amp; VJDBCore!L$1 &amp; """", ""),
    IF(L214&lt;&gt;"", """" &amp; VJDBCore!M$1 &amp; """", ""),    IF(M214&lt;&gt;"", """" &amp; VJDBCore!N$1 &amp; """", ""),    IF(N214&lt;&gt;"", """" &amp; VJDBCore!O$1 &amp; """", ""),     IF(O214&lt;&gt;"", """" &amp; VJDBCore!P$1 &amp; """", ""),     IF(O214&lt;&gt;"", """" &amp; VJDBCore!P$1 &amp; """", ""),     IF(P214&lt;&gt;"", """" &amp; VJDBCore!Q$1 &amp; """", ""),
    IF(Q218&lt;&gt;"", """" &amp; Q218 &amp; """", ""),
    IF(R214&lt;&gt;"", """" &amp; R214 &amp; """", ""),
    IF(S214&lt;&gt;"", """" &amp; S214 &amp; """", "")
) &amp; "]"</f>
        <v>[]</v>
      </c>
      <c r="U214" s="13"/>
      <c r="V214" s="13"/>
      <c r="W214" s="13"/>
      <c r="X214" s="13"/>
      <c r="Y214" s="13"/>
      <c r="Z214" s="13"/>
      <c r="AA214" s="13"/>
      <c r="AB214" s="13"/>
      <c r="AC214" s="13"/>
      <c r="AD214" s="13"/>
      <c r="AE214" s="13"/>
      <c r="AF214" s="13"/>
      <c r="AG214" s="13"/>
      <c r="AH214" s="13"/>
      <c r="AI214" s="13"/>
      <c r="AJ214" s="13"/>
      <c r="AK214" s="13"/>
      <c r="AL214" s="13"/>
      <c r="AM214" s="13"/>
      <c r="AN214" s="28"/>
    </row>
    <row r="215" spans="1:40" s="10" customFormat="1" ht="23.25" customHeight="1" thickBot="1">
      <c r="A215" s="4"/>
      <c r="B215" s="4"/>
      <c r="C215" s="4"/>
      <c r="D215" s="4"/>
      <c r="E215" s="15"/>
      <c r="F215" s="4"/>
      <c r="G215" s="4"/>
      <c r="H215" s="4"/>
      <c r="I215" s="4"/>
      <c r="J215" s="4"/>
      <c r="K215" s="4"/>
      <c r="L215" s="4"/>
      <c r="M215" s="4"/>
      <c r="N215" s="4"/>
      <c r="O215" s="6"/>
      <c r="P215" s="6"/>
      <c r="Q215" s="4"/>
      <c r="R215" s="7"/>
      <c r="S215" s="4"/>
      <c r="T215" s="3" t="str">
        <f>"[" &amp; _xlfn.TEXTJOIN(", ", TRUE,
    IF(H215&lt;&gt;"", """" &amp; VJDBCore!I$1 &amp; """", ""),
    IF(I215&lt;&gt;"", """" &amp; VJDBCore!J$1 &amp; """", ""),
    IF(J215&lt;&gt;"", """" &amp; VJDBCore!K$1 &amp; """", ""),
    IF(K215&lt;&gt;"", """" &amp; VJDBCore!L$1 &amp; """", ""),
    IF(L215&lt;&gt;"", """" &amp; VJDBCore!M$1 &amp; """", ""),    IF(M215&lt;&gt;"", """" &amp; VJDBCore!N$1 &amp; """", ""),    IF(N215&lt;&gt;"", """" &amp; VJDBCore!O$1 &amp; """", ""),     IF(O215&lt;&gt;"", """" &amp; VJDBCore!P$1 &amp; """", ""),     IF(O215&lt;&gt;"", """" &amp; VJDBCore!P$1 &amp; """", ""),     IF(P215&lt;&gt;"", """" &amp; VJDBCore!Q$1 &amp; """", ""),
    IF(Q219&lt;&gt;"", """" &amp; Q219 &amp; """", ""),
    IF(R215&lt;&gt;"", """" &amp; R215 &amp; """", ""),
    IF(S215&lt;&gt;"", """" &amp; S215 &amp; """", "")
) &amp; "]"</f>
        <v>[]</v>
      </c>
      <c r="U215" s="13"/>
      <c r="V215" s="13"/>
      <c r="W215" s="13"/>
      <c r="X215" s="13"/>
      <c r="Y215" s="13"/>
      <c r="Z215" s="13"/>
      <c r="AA215" s="13"/>
      <c r="AB215" s="13"/>
      <c r="AC215" s="13"/>
      <c r="AD215" s="13"/>
      <c r="AE215" s="13"/>
      <c r="AF215" s="13"/>
      <c r="AG215" s="13"/>
      <c r="AH215" s="13"/>
      <c r="AI215" s="13"/>
      <c r="AJ215" s="13"/>
      <c r="AK215" s="13"/>
      <c r="AL215" s="13"/>
      <c r="AM215" s="13"/>
      <c r="AN215" s="28"/>
    </row>
    <row r="216" spans="1:40" s="10" customFormat="1" ht="23.25" customHeight="1" thickBot="1">
      <c r="A216" s="4"/>
      <c r="B216" s="4"/>
      <c r="C216" s="4"/>
      <c r="D216" s="4"/>
      <c r="E216" s="15"/>
      <c r="F216" s="4"/>
      <c r="G216" s="4"/>
      <c r="H216" s="4"/>
      <c r="I216" s="4"/>
      <c r="J216" s="4"/>
      <c r="K216" s="4"/>
      <c r="L216" s="4"/>
      <c r="M216" s="4"/>
      <c r="N216" s="4"/>
      <c r="O216" s="6"/>
      <c r="P216" s="6"/>
      <c r="Q216" s="4"/>
      <c r="R216" s="7"/>
      <c r="S216" s="4"/>
      <c r="T216" s="3" t="str">
        <f>"[" &amp; _xlfn.TEXTJOIN(", ", TRUE,
    IF(H216&lt;&gt;"", """" &amp; VJDBCore!I$1 &amp; """", ""),
    IF(I216&lt;&gt;"", """" &amp; VJDBCore!J$1 &amp; """", ""),
    IF(J216&lt;&gt;"", """" &amp; VJDBCore!K$1 &amp; """", ""),
    IF(K216&lt;&gt;"", """" &amp; VJDBCore!L$1 &amp; """", ""),
    IF(L216&lt;&gt;"", """" &amp; VJDBCore!M$1 &amp; """", ""),    IF(M216&lt;&gt;"", """" &amp; VJDBCore!N$1 &amp; """", ""),    IF(N216&lt;&gt;"", """" &amp; VJDBCore!O$1 &amp; """", ""),     IF(O216&lt;&gt;"", """" &amp; VJDBCore!P$1 &amp; """", ""),     IF(O216&lt;&gt;"", """" &amp; VJDBCore!P$1 &amp; """", ""),     IF(P216&lt;&gt;"", """" &amp; VJDBCore!Q$1 &amp; """", ""),
    IF(Q220&lt;&gt;"", """" &amp; Q220 &amp; """", ""),
    IF(R216&lt;&gt;"", """" &amp; R216 &amp; """", ""),
    IF(S216&lt;&gt;"", """" &amp; S216 &amp; """", "")
) &amp; "]"</f>
        <v>[]</v>
      </c>
      <c r="U216" s="13"/>
      <c r="V216" s="13"/>
      <c r="W216" s="13"/>
      <c r="X216" s="13"/>
      <c r="Y216" s="13"/>
      <c r="Z216" s="13"/>
      <c r="AA216" s="13"/>
      <c r="AB216" s="13"/>
      <c r="AC216" s="13"/>
      <c r="AD216" s="13"/>
      <c r="AE216" s="13"/>
      <c r="AF216" s="13"/>
      <c r="AG216" s="13"/>
      <c r="AH216" s="13"/>
      <c r="AI216" s="13"/>
      <c r="AJ216" s="13"/>
      <c r="AK216" s="13"/>
      <c r="AL216" s="13"/>
      <c r="AM216" s="13"/>
      <c r="AN216" s="28"/>
    </row>
    <row r="217" spans="1:40" s="10" customFormat="1" ht="23.25" customHeight="1" thickBot="1">
      <c r="A217" s="4"/>
      <c r="B217" s="4"/>
      <c r="C217" s="4"/>
      <c r="D217" s="4"/>
      <c r="E217" s="15"/>
      <c r="F217" s="4"/>
      <c r="G217" s="4"/>
      <c r="H217" s="4"/>
      <c r="I217" s="4"/>
      <c r="J217" s="4"/>
      <c r="K217" s="4"/>
      <c r="L217" s="4"/>
      <c r="M217" s="4"/>
      <c r="N217" s="4"/>
      <c r="O217" s="6"/>
      <c r="P217" s="6"/>
      <c r="Q217" s="4"/>
      <c r="R217" s="7"/>
      <c r="S217" s="4"/>
      <c r="T217" s="3" t="str">
        <f>"[" &amp; _xlfn.TEXTJOIN(", ", TRUE,
    IF(H217&lt;&gt;"", """" &amp; VJDBCore!I$1 &amp; """", ""),
    IF(I217&lt;&gt;"", """" &amp; VJDBCore!J$1 &amp; """", ""),
    IF(J217&lt;&gt;"", """" &amp; VJDBCore!K$1 &amp; """", ""),
    IF(K217&lt;&gt;"", """" &amp; VJDBCore!L$1 &amp; """", ""),
    IF(L217&lt;&gt;"", """" &amp; VJDBCore!M$1 &amp; """", ""),    IF(M217&lt;&gt;"", """" &amp; VJDBCore!N$1 &amp; """", ""),    IF(N217&lt;&gt;"", """" &amp; VJDBCore!O$1 &amp; """", ""),     IF(O217&lt;&gt;"", """" &amp; VJDBCore!P$1 &amp; """", ""),     IF(O217&lt;&gt;"", """" &amp; VJDBCore!P$1 &amp; """", ""),     IF(P217&lt;&gt;"", """" &amp; VJDBCore!Q$1 &amp; """", ""),
    IF(Q221&lt;&gt;"", """" &amp; Q221 &amp; """", ""),
    IF(R217&lt;&gt;"", """" &amp; R217 &amp; """", ""),
    IF(S217&lt;&gt;"", """" &amp; S217 &amp; """", "")
) &amp; "]"</f>
        <v>[]</v>
      </c>
      <c r="U217" s="13"/>
      <c r="V217" s="13"/>
      <c r="W217" s="13"/>
      <c r="X217" s="13"/>
      <c r="Y217" s="13"/>
      <c r="Z217" s="13"/>
      <c r="AA217" s="13"/>
      <c r="AB217" s="13"/>
      <c r="AC217" s="13"/>
      <c r="AD217" s="13"/>
      <c r="AE217" s="13"/>
      <c r="AF217" s="13"/>
      <c r="AG217" s="13"/>
      <c r="AH217" s="13"/>
      <c r="AI217" s="13"/>
      <c r="AJ217" s="13"/>
      <c r="AK217" s="13"/>
      <c r="AL217" s="13"/>
      <c r="AM217" s="13"/>
      <c r="AN217" s="28"/>
    </row>
    <row r="218" spans="1:40" s="10" customFormat="1" ht="23.25" customHeight="1" thickBot="1">
      <c r="A218" s="4"/>
      <c r="B218" s="4"/>
      <c r="C218" s="4"/>
      <c r="D218" s="4"/>
      <c r="E218" s="15"/>
      <c r="F218" s="4"/>
      <c r="G218" s="4"/>
      <c r="H218" s="4"/>
      <c r="I218" s="4"/>
      <c r="J218" s="4"/>
      <c r="K218" s="4"/>
      <c r="L218" s="4"/>
      <c r="M218" s="4"/>
      <c r="N218" s="4"/>
      <c r="O218" s="6"/>
      <c r="P218" s="6"/>
      <c r="Q218" s="4"/>
      <c r="R218" s="7"/>
      <c r="S218" s="4"/>
      <c r="T218" s="3" t="str">
        <f>"[" &amp; _xlfn.TEXTJOIN(", ", TRUE,
    IF(H218&lt;&gt;"", """" &amp; VJDBCore!I$1 &amp; """", ""),
    IF(I218&lt;&gt;"", """" &amp; VJDBCore!J$1 &amp; """", ""),
    IF(J218&lt;&gt;"", """" &amp; VJDBCore!K$1 &amp; """", ""),
    IF(K218&lt;&gt;"", """" &amp; VJDBCore!L$1 &amp; """", ""),
    IF(L218&lt;&gt;"", """" &amp; VJDBCore!M$1 &amp; """", ""),    IF(M218&lt;&gt;"", """" &amp; VJDBCore!N$1 &amp; """", ""),    IF(N218&lt;&gt;"", """" &amp; VJDBCore!O$1 &amp; """", ""),     IF(O218&lt;&gt;"", """" &amp; VJDBCore!P$1 &amp; """", ""),     IF(O218&lt;&gt;"", """" &amp; VJDBCore!P$1 &amp; """", ""),     IF(P218&lt;&gt;"", """" &amp; VJDBCore!Q$1 &amp; """", ""),
    IF(Q222&lt;&gt;"", """" &amp; Q222 &amp; """", ""),
    IF(R218&lt;&gt;"", """" &amp; R218 &amp; """", ""),
    IF(S218&lt;&gt;"", """" &amp; S218 &amp; """", "")
) &amp; "]"</f>
        <v>[]</v>
      </c>
      <c r="U218" s="13"/>
      <c r="V218" s="13"/>
      <c r="W218" s="13"/>
      <c r="X218" s="13"/>
      <c r="Y218" s="13"/>
      <c r="Z218" s="13"/>
      <c r="AA218" s="13"/>
      <c r="AB218" s="13"/>
      <c r="AC218" s="13"/>
      <c r="AD218" s="13"/>
      <c r="AE218" s="13"/>
      <c r="AF218" s="13"/>
      <c r="AG218" s="13"/>
      <c r="AH218" s="13"/>
      <c r="AI218" s="13"/>
      <c r="AJ218" s="13"/>
      <c r="AK218" s="13"/>
      <c r="AL218" s="13"/>
      <c r="AM218" s="13"/>
      <c r="AN218" s="28"/>
    </row>
    <row r="219" spans="1:40" s="10" customFormat="1" ht="23.25" customHeight="1" thickBot="1">
      <c r="A219" s="4"/>
      <c r="B219" s="4"/>
      <c r="C219" s="4"/>
      <c r="D219" s="4"/>
      <c r="E219" s="15"/>
      <c r="F219" s="4"/>
      <c r="G219" s="4"/>
      <c r="H219" s="4"/>
      <c r="I219" s="4"/>
      <c r="J219" s="4"/>
      <c r="K219" s="4"/>
      <c r="L219" s="4"/>
      <c r="M219" s="4"/>
      <c r="N219" s="4"/>
      <c r="O219" s="6"/>
      <c r="P219" s="6"/>
      <c r="Q219" s="4"/>
      <c r="R219" s="7"/>
      <c r="S219" s="4"/>
      <c r="T219" s="3" t="str">
        <f>"[" &amp; _xlfn.TEXTJOIN(", ", TRUE,
    IF(H219&lt;&gt;"", """" &amp; VJDBCore!I$1 &amp; """", ""),
    IF(I219&lt;&gt;"", """" &amp; VJDBCore!J$1 &amp; """", ""),
    IF(J219&lt;&gt;"", """" &amp; VJDBCore!K$1 &amp; """", ""),
    IF(K219&lt;&gt;"", """" &amp; VJDBCore!L$1 &amp; """", ""),
    IF(L219&lt;&gt;"", """" &amp; VJDBCore!M$1 &amp; """", ""),    IF(M219&lt;&gt;"", """" &amp; VJDBCore!N$1 &amp; """", ""),    IF(N219&lt;&gt;"", """" &amp; VJDBCore!O$1 &amp; """", ""),     IF(O219&lt;&gt;"", """" &amp; VJDBCore!P$1 &amp; """", ""),     IF(O219&lt;&gt;"", """" &amp; VJDBCore!P$1 &amp; """", ""),     IF(P219&lt;&gt;"", """" &amp; VJDBCore!Q$1 &amp; """", ""),
    IF(Q223&lt;&gt;"", """" &amp; Q223 &amp; """", ""),
    IF(R219&lt;&gt;"", """" &amp; R219 &amp; """", ""),
    IF(S219&lt;&gt;"", """" &amp; S219 &amp; """", "")
) &amp; "]"</f>
        <v>[]</v>
      </c>
      <c r="U219" s="13"/>
      <c r="V219" s="13"/>
      <c r="W219" s="13"/>
      <c r="X219" s="13"/>
      <c r="Y219" s="13"/>
      <c r="Z219" s="13"/>
      <c r="AA219" s="13"/>
      <c r="AB219" s="13"/>
      <c r="AC219" s="13"/>
      <c r="AD219" s="13"/>
      <c r="AE219" s="13"/>
      <c r="AF219" s="13"/>
      <c r="AG219" s="13"/>
      <c r="AH219" s="13"/>
      <c r="AI219" s="13"/>
      <c r="AJ219" s="13"/>
      <c r="AK219" s="13"/>
      <c r="AL219" s="13"/>
      <c r="AM219" s="13"/>
      <c r="AN219" s="28"/>
    </row>
    <row r="220" spans="1:40" s="10" customFormat="1" ht="23.25" customHeight="1" thickBot="1">
      <c r="A220" s="4"/>
      <c r="B220" s="4"/>
      <c r="C220" s="4"/>
      <c r="D220" s="4"/>
      <c r="E220" s="15"/>
      <c r="F220" s="4"/>
      <c r="G220" s="4"/>
      <c r="H220" s="4"/>
      <c r="I220" s="4"/>
      <c r="J220" s="4"/>
      <c r="K220" s="4"/>
      <c r="L220" s="4"/>
      <c r="M220" s="4"/>
      <c r="N220" s="4"/>
      <c r="O220" s="6"/>
      <c r="P220" s="6"/>
      <c r="Q220" s="4"/>
      <c r="R220" s="7"/>
      <c r="S220" s="4"/>
      <c r="T220" s="3" t="str">
        <f>"[" &amp; _xlfn.TEXTJOIN(", ", TRUE,
    IF(H220&lt;&gt;"", """" &amp; VJDBCore!I$1 &amp; """", ""),
    IF(I220&lt;&gt;"", """" &amp; VJDBCore!J$1 &amp; """", ""),
    IF(J220&lt;&gt;"", """" &amp; VJDBCore!K$1 &amp; """", ""),
    IF(K220&lt;&gt;"", """" &amp; VJDBCore!L$1 &amp; """", ""),
    IF(L220&lt;&gt;"", """" &amp; VJDBCore!M$1 &amp; """", ""),    IF(M220&lt;&gt;"", """" &amp; VJDBCore!N$1 &amp; """", ""),    IF(N220&lt;&gt;"", """" &amp; VJDBCore!O$1 &amp; """", ""),     IF(O220&lt;&gt;"", """" &amp; VJDBCore!P$1 &amp; """", ""),     IF(O220&lt;&gt;"", """" &amp; VJDBCore!P$1 &amp; """", ""),     IF(P220&lt;&gt;"", """" &amp; VJDBCore!Q$1 &amp; """", ""),
    IF(Q224&lt;&gt;"", """" &amp; Q224 &amp; """", ""),
    IF(R220&lt;&gt;"", """" &amp; R220 &amp; """", ""),
    IF(S220&lt;&gt;"", """" &amp; S220 &amp; """", "")
) &amp; "]"</f>
        <v>[]</v>
      </c>
      <c r="U220" s="13"/>
      <c r="V220" s="13"/>
      <c r="W220" s="13"/>
      <c r="X220" s="13"/>
      <c r="Y220" s="13"/>
      <c r="Z220" s="13"/>
      <c r="AA220" s="13"/>
      <c r="AB220" s="13"/>
      <c r="AC220" s="13"/>
      <c r="AD220" s="13"/>
      <c r="AE220" s="13"/>
      <c r="AF220" s="13"/>
      <c r="AG220" s="13"/>
      <c r="AH220" s="13"/>
      <c r="AI220" s="13"/>
      <c r="AJ220" s="13"/>
      <c r="AK220" s="13"/>
      <c r="AL220" s="13"/>
      <c r="AM220" s="13"/>
      <c r="AN220" s="28"/>
    </row>
    <row r="221" spans="1:40" s="10" customFormat="1" ht="23.25" customHeight="1" thickBot="1">
      <c r="A221" s="4"/>
      <c r="B221" s="4"/>
      <c r="C221" s="4"/>
      <c r="D221" s="4"/>
      <c r="E221" s="15"/>
      <c r="F221" s="4"/>
      <c r="G221" s="4"/>
      <c r="H221" s="4"/>
      <c r="I221" s="4"/>
      <c r="J221" s="4"/>
      <c r="K221" s="4"/>
      <c r="L221" s="4"/>
      <c r="M221" s="4"/>
      <c r="N221" s="4"/>
      <c r="O221" s="6"/>
      <c r="P221" s="6"/>
      <c r="Q221" s="4"/>
      <c r="R221" s="7"/>
      <c r="S221" s="4"/>
      <c r="T221" s="3" t="str">
        <f>"[" &amp; _xlfn.TEXTJOIN(", ", TRUE,
    IF(H221&lt;&gt;"", """" &amp; VJDBCore!I$1 &amp; """", ""),
    IF(I221&lt;&gt;"", """" &amp; VJDBCore!J$1 &amp; """", ""),
    IF(J221&lt;&gt;"", """" &amp; VJDBCore!K$1 &amp; """", ""),
    IF(K221&lt;&gt;"", """" &amp; VJDBCore!L$1 &amp; """", ""),
    IF(L221&lt;&gt;"", """" &amp; VJDBCore!M$1 &amp; """", ""),    IF(M221&lt;&gt;"", """" &amp; VJDBCore!N$1 &amp; """", ""),    IF(N221&lt;&gt;"", """" &amp; VJDBCore!O$1 &amp; """", ""),     IF(O221&lt;&gt;"", """" &amp; VJDBCore!P$1 &amp; """", ""),     IF(O221&lt;&gt;"", """" &amp; VJDBCore!P$1 &amp; """", ""),     IF(P221&lt;&gt;"", """" &amp; VJDBCore!Q$1 &amp; """", ""),
    IF(Q225&lt;&gt;"", """" &amp; Q225 &amp; """", ""),
    IF(R221&lt;&gt;"", """" &amp; R221 &amp; """", ""),
    IF(S221&lt;&gt;"", """" &amp; S221 &amp; """", "")
) &amp; "]"</f>
        <v>[]</v>
      </c>
      <c r="U221" s="13"/>
      <c r="V221" s="13"/>
      <c r="W221" s="13"/>
      <c r="X221" s="13"/>
      <c r="Y221" s="13"/>
      <c r="Z221" s="13"/>
      <c r="AA221" s="13"/>
      <c r="AB221" s="13"/>
      <c r="AC221" s="13"/>
      <c r="AD221" s="13"/>
      <c r="AE221" s="13"/>
      <c r="AF221" s="13"/>
      <c r="AG221" s="13"/>
      <c r="AH221" s="13"/>
      <c r="AI221" s="13"/>
      <c r="AJ221" s="13"/>
      <c r="AK221" s="13"/>
      <c r="AL221" s="13"/>
      <c r="AM221" s="13"/>
      <c r="AN221" s="28"/>
    </row>
    <row r="222" spans="1:40" s="10" customFormat="1" ht="23.25" customHeight="1" thickBot="1">
      <c r="A222" s="4"/>
      <c r="B222" s="4"/>
      <c r="C222" s="4"/>
      <c r="D222" s="4"/>
      <c r="E222" s="15"/>
      <c r="F222" s="4"/>
      <c r="G222" s="4"/>
      <c r="H222" s="4"/>
      <c r="I222" s="4"/>
      <c r="J222" s="4"/>
      <c r="K222" s="4"/>
      <c r="L222" s="4"/>
      <c r="M222" s="4"/>
      <c r="N222" s="4"/>
      <c r="O222" s="6"/>
      <c r="P222" s="6"/>
      <c r="Q222" s="4"/>
      <c r="R222" s="7"/>
      <c r="S222" s="4"/>
      <c r="T222" s="3" t="str">
        <f>"[" &amp; _xlfn.TEXTJOIN(", ", TRUE,
    IF(H222&lt;&gt;"", """" &amp; VJDBCore!I$1 &amp; """", ""),
    IF(I222&lt;&gt;"", """" &amp; VJDBCore!J$1 &amp; """", ""),
    IF(J222&lt;&gt;"", """" &amp; VJDBCore!K$1 &amp; """", ""),
    IF(K222&lt;&gt;"", """" &amp; VJDBCore!L$1 &amp; """", ""),
    IF(L222&lt;&gt;"", """" &amp; VJDBCore!M$1 &amp; """", ""),    IF(M222&lt;&gt;"", """" &amp; VJDBCore!N$1 &amp; """", ""),    IF(N222&lt;&gt;"", """" &amp; VJDBCore!O$1 &amp; """", ""),     IF(O222&lt;&gt;"", """" &amp; VJDBCore!P$1 &amp; """", ""),     IF(O222&lt;&gt;"", """" &amp; VJDBCore!P$1 &amp; """", ""),     IF(P222&lt;&gt;"", """" &amp; VJDBCore!Q$1 &amp; """", ""),
    IF(Q226&lt;&gt;"", """" &amp; Q226 &amp; """", ""),
    IF(R222&lt;&gt;"", """" &amp; R222 &amp; """", ""),
    IF(S222&lt;&gt;"", """" &amp; S222 &amp; """", "")
) &amp; "]"</f>
        <v>[]</v>
      </c>
      <c r="U222" s="13"/>
      <c r="V222" s="13"/>
      <c r="W222" s="13"/>
      <c r="X222" s="13"/>
      <c r="Y222" s="13"/>
      <c r="Z222" s="13"/>
      <c r="AA222" s="13"/>
      <c r="AB222" s="13"/>
      <c r="AC222" s="13"/>
      <c r="AD222" s="13"/>
      <c r="AE222" s="13"/>
      <c r="AF222" s="13"/>
      <c r="AG222" s="13"/>
      <c r="AH222" s="13"/>
      <c r="AI222" s="13"/>
      <c r="AJ222" s="13"/>
      <c r="AK222" s="13"/>
      <c r="AL222" s="13"/>
      <c r="AM222" s="13"/>
      <c r="AN222" s="28"/>
    </row>
    <row r="223" spans="1:40" s="10" customFormat="1" ht="23.25" customHeight="1" thickBot="1">
      <c r="A223" s="4"/>
      <c r="B223" s="4"/>
      <c r="C223" s="4"/>
      <c r="D223" s="4"/>
      <c r="E223" s="15"/>
      <c r="F223" s="4"/>
      <c r="G223" s="4"/>
      <c r="H223" s="4"/>
      <c r="I223" s="4"/>
      <c r="J223" s="4"/>
      <c r="K223" s="4"/>
      <c r="L223" s="4"/>
      <c r="M223" s="4"/>
      <c r="N223" s="4"/>
      <c r="O223" s="6"/>
      <c r="P223" s="6"/>
      <c r="Q223" s="4"/>
      <c r="R223" s="7"/>
      <c r="S223" s="4"/>
      <c r="T223" s="3" t="str">
        <f>"[" &amp; _xlfn.TEXTJOIN(", ", TRUE,
    IF(H223&lt;&gt;"", """" &amp; VJDBCore!I$1 &amp; """", ""),
    IF(I223&lt;&gt;"", """" &amp; VJDBCore!J$1 &amp; """", ""),
    IF(J223&lt;&gt;"", """" &amp; VJDBCore!K$1 &amp; """", ""),
    IF(K223&lt;&gt;"", """" &amp; VJDBCore!L$1 &amp; """", ""),
    IF(L223&lt;&gt;"", """" &amp; VJDBCore!M$1 &amp; """", ""),    IF(M223&lt;&gt;"", """" &amp; VJDBCore!N$1 &amp; """", ""),    IF(N223&lt;&gt;"", """" &amp; VJDBCore!O$1 &amp; """", ""),     IF(O223&lt;&gt;"", """" &amp; VJDBCore!P$1 &amp; """", ""),     IF(O223&lt;&gt;"", """" &amp; VJDBCore!P$1 &amp; """", ""),     IF(P223&lt;&gt;"", """" &amp; VJDBCore!Q$1 &amp; """", ""),
    IF(Q227&lt;&gt;"", """" &amp; Q227 &amp; """", ""),
    IF(R223&lt;&gt;"", """" &amp; R223 &amp; """", ""),
    IF(S223&lt;&gt;"", """" &amp; S223 &amp; """", "")
) &amp; "]"</f>
        <v>[]</v>
      </c>
      <c r="U223" s="13"/>
      <c r="V223" s="13"/>
      <c r="W223" s="13"/>
      <c r="X223" s="13"/>
      <c r="Y223" s="13"/>
      <c r="Z223" s="13"/>
      <c r="AA223" s="13"/>
      <c r="AB223" s="13"/>
      <c r="AC223" s="13"/>
      <c r="AD223" s="13"/>
      <c r="AE223" s="13"/>
      <c r="AF223" s="13"/>
      <c r="AG223" s="13"/>
      <c r="AH223" s="13"/>
      <c r="AI223" s="13"/>
      <c r="AJ223" s="13"/>
      <c r="AK223" s="13"/>
      <c r="AL223" s="13"/>
      <c r="AM223" s="13"/>
      <c r="AN223" s="28"/>
    </row>
    <row r="224" spans="1:40" s="10" customFormat="1" ht="23.25" customHeight="1" thickBot="1">
      <c r="A224" s="4"/>
      <c r="B224" s="4"/>
      <c r="C224" s="4"/>
      <c r="D224" s="4"/>
      <c r="E224" s="15"/>
      <c r="F224" s="4"/>
      <c r="G224" s="4"/>
      <c r="H224" s="4"/>
      <c r="I224" s="4"/>
      <c r="J224" s="4"/>
      <c r="K224" s="4"/>
      <c r="L224" s="4"/>
      <c r="M224" s="4"/>
      <c r="N224" s="4"/>
      <c r="O224" s="6"/>
      <c r="P224" s="6"/>
      <c r="Q224" s="4"/>
      <c r="R224" s="7"/>
      <c r="S224" s="4"/>
      <c r="T224" s="3" t="str">
        <f>"[" &amp; _xlfn.TEXTJOIN(", ", TRUE,
    IF(H224&lt;&gt;"", """" &amp; VJDBCore!I$1 &amp; """", ""),
    IF(I224&lt;&gt;"", """" &amp; VJDBCore!J$1 &amp; """", ""),
    IF(J224&lt;&gt;"", """" &amp; VJDBCore!K$1 &amp; """", ""),
    IF(K224&lt;&gt;"", """" &amp; VJDBCore!L$1 &amp; """", ""),
    IF(L224&lt;&gt;"", """" &amp; VJDBCore!M$1 &amp; """", ""),    IF(M224&lt;&gt;"", """" &amp; VJDBCore!N$1 &amp; """", ""),    IF(N224&lt;&gt;"", """" &amp; VJDBCore!O$1 &amp; """", ""),     IF(O224&lt;&gt;"", """" &amp; VJDBCore!P$1 &amp; """", ""),     IF(O224&lt;&gt;"", """" &amp; VJDBCore!P$1 &amp; """", ""),     IF(P224&lt;&gt;"", """" &amp; VJDBCore!Q$1 &amp; """", ""),
    IF(Q228&lt;&gt;"", """" &amp; Q228 &amp; """", ""),
    IF(R224&lt;&gt;"", """" &amp; R224 &amp; """", ""),
    IF(S224&lt;&gt;"", """" &amp; S224 &amp; """", "")
) &amp; "]"</f>
        <v>[]</v>
      </c>
      <c r="U224" s="13"/>
      <c r="V224" s="13"/>
      <c r="W224" s="13"/>
      <c r="X224" s="13"/>
      <c r="Y224" s="13"/>
      <c r="Z224" s="13"/>
      <c r="AA224" s="13"/>
      <c r="AB224" s="13"/>
      <c r="AC224" s="13"/>
      <c r="AD224" s="13"/>
      <c r="AE224" s="13"/>
      <c r="AF224" s="13"/>
      <c r="AG224" s="13"/>
      <c r="AH224" s="13"/>
      <c r="AI224" s="13"/>
      <c r="AJ224" s="13"/>
      <c r="AK224" s="13"/>
      <c r="AL224" s="13"/>
      <c r="AM224" s="13"/>
      <c r="AN224" s="28"/>
    </row>
    <row r="225" spans="1:40" s="10" customFormat="1" ht="23.25" customHeight="1" thickBot="1">
      <c r="A225" s="4"/>
      <c r="B225" s="4"/>
      <c r="C225" s="4"/>
      <c r="D225" s="4"/>
      <c r="E225" s="15"/>
      <c r="F225" s="4"/>
      <c r="G225" s="4"/>
      <c r="H225" s="4"/>
      <c r="I225" s="4"/>
      <c r="J225" s="4"/>
      <c r="K225" s="4"/>
      <c r="L225" s="4"/>
      <c r="M225" s="4"/>
      <c r="N225" s="4"/>
      <c r="O225" s="6"/>
      <c r="P225" s="6"/>
      <c r="Q225" s="4"/>
      <c r="R225" s="7"/>
      <c r="S225" s="4"/>
      <c r="T225" s="3" t="str">
        <f>"[" &amp; _xlfn.TEXTJOIN(", ", TRUE,
    IF(H225&lt;&gt;"", """" &amp; VJDBCore!I$1 &amp; """", ""),
    IF(I225&lt;&gt;"", """" &amp; VJDBCore!J$1 &amp; """", ""),
    IF(J225&lt;&gt;"", """" &amp; VJDBCore!K$1 &amp; """", ""),
    IF(K225&lt;&gt;"", """" &amp; VJDBCore!L$1 &amp; """", ""),
    IF(L225&lt;&gt;"", """" &amp; VJDBCore!M$1 &amp; """", ""),    IF(M225&lt;&gt;"", """" &amp; VJDBCore!N$1 &amp; """", ""),    IF(N225&lt;&gt;"", """" &amp; VJDBCore!O$1 &amp; """", ""),     IF(O225&lt;&gt;"", """" &amp; VJDBCore!P$1 &amp; """", ""),     IF(O225&lt;&gt;"", """" &amp; VJDBCore!P$1 &amp; """", ""),     IF(P225&lt;&gt;"", """" &amp; VJDBCore!Q$1 &amp; """", ""),
    IF(Q229&lt;&gt;"", """" &amp; Q229 &amp; """", ""),
    IF(R225&lt;&gt;"", """" &amp; R225 &amp; """", ""),
    IF(S225&lt;&gt;"", """" &amp; S225 &amp; """", "")
) &amp; "]"</f>
        <v>[]</v>
      </c>
      <c r="U225" s="13"/>
      <c r="V225" s="13"/>
      <c r="W225" s="13"/>
      <c r="X225" s="13"/>
      <c r="Y225" s="13"/>
      <c r="Z225" s="13"/>
      <c r="AA225" s="13"/>
      <c r="AB225" s="13"/>
      <c r="AC225" s="13"/>
      <c r="AD225" s="13"/>
      <c r="AE225" s="13"/>
      <c r="AF225" s="13"/>
      <c r="AG225" s="13"/>
      <c r="AH225" s="13"/>
      <c r="AI225" s="13"/>
      <c r="AJ225" s="13"/>
      <c r="AK225" s="13"/>
      <c r="AL225" s="13"/>
      <c r="AM225" s="13"/>
      <c r="AN225" s="28"/>
    </row>
    <row r="226" spans="1:40" s="10" customFormat="1" ht="23.25" customHeight="1" thickBot="1">
      <c r="A226" s="4"/>
      <c r="B226" s="4"/>
      <c r="C226" s="4"/>
      <c r="D226" s="4"/>
      <c r="E226" s="15"/>
      <c r="F226" s="4"/>
      <c r="G226" s="4"/>
      <c r="H226" s="4"/>
      <c r="I226" s="4"/>
      <c r="J226" s="4"/>
      <c r="K226" s="4"/>
      <c r="L226" s="4"/>
      <c r="M226" s="4"/>
      <c r="N226" s="4"/>
      <c r="O226" s="6"/>
      <c r="P226" s="6"/>
      <c r="Q226" s="4"/>
      <c r="R226" s="7"/>
      <c r="S226" s="4"/>
      <c r="T226" s="3" t="str">
        <f>"[" &amp; _xlfn.TEXTJOIN(", ", TRUE,
    IF(H226&lt;&gt;"", """" &amp; VJDBCore!I$1 &amp; """", ""),
    IF(I226&lt;&gt;"", """" &amp; VJDBCore!J$1 &amp; """", ""),
    IF(J226&lt;&gt;"", """" &amp; VJDBCore!K$1 &amp; """", ""),
    IF(K226&lt;&gt;"", """" &amp; VJDBCore!L$1 &amp; """", ""),
    IF(L226&lt;&gt;"", """" &amp; VJDBCore!M$1 &amp; """", ""),    IF(M226&lt;&gt;"", """" &amp; VJDBCore!N$1 &amp; """", ""),    IF(N226&lt;&gt;"", """" &amp; VJDBCore!O$1 &amp; """", ""),     IF(O226&lt;&gt;"", """" &amp; VJDBCore!P$1 &amp; """", ""),     IF(O226&lt;&gt;"", """" &amp; VJDBCore!P$1 &amp; """", ""),     IF(P226&lt;&gt;"", """" &amp; VJDBCore!Q$1 &amp; """", ""),
    IF(Q230&lt;&gt;"", """" &amp; Q230 &amp; """", ""),
    IF(R226&lt;&gt;"", """" &amp; R226 &amp; """", ""),
    IF(S226&lt;&gt;"", """" &amp; S226 &amp; """", "")
) &amp; "]"</f>
        <v>[]</v>
      </c>
      <c r="U226" s="13"/>
      <c r="V226" s="13"/>
      <c r="W226" s="13"/>
      <c r="X226" s="13"/>
      <c r="Y226" s="13"/>
      <c r="Z226" s="13"/>
      <c r="AA226" s="13"/>
      <c r="AB226" s="13"/>
      <c r="AC226" s="13"/>
      <c r="AD226" s="13"/>
      <c r="AE226" s="13"/>
      <c r="AF226" s="13"/>
      <c r="AG226" s="13"/>
      <c r="AH226" s="13"/>
      <c r="AI226" s="13"/>
      <c r="AJ226" s="13"/>
      <c r="AK226" s="13"/>
      <c r="AL226" s="13"/>
      <c r="AM226" s="13"/>
      <c r="AN226" s="28"/>
    </row>
    <row r="227" spans="1:40" s="10" customFormat="1" ht="23.25" customHeight="1" thickBot="1">
      <c r="A227" s="4"/>
      <c r="B227" s="4"/>
      <c r="C227" s="4"/>
      <c r="D227" s="4"/>
      <c r="E227" s="15"/>
      <c r="F227" s="4"/>
      <c r="G227" s="4"/>
      <c r="H227" s="4"/>
      <c r="I227" s="4"/>
      <c r="J227" s="4"/>
      <c r="K227" s="4"/>
      <c r="L227" s="4"/>
      <c r="M227" s="4"/>
      <c r="N227" s="4"/>
      <c r="O227" s="6"/>
      <c r="P227" s="6"/>
      <c r="Q227" s="4"/>
      <c r="R227" s="7"/>
      <c r="S227" s="4"/>
      <c r="T227" s="3" t="str">
        <f>"[" &amp; _xlfn.TEXTJOIN(", ", TRUE,
    IF(H227&lt;&gt;"", """" &amp; VJDBCore!I$1 &amp; """", ""),
    IF(I227&lt;&gt;"", """" &amp; VJDBCore!J$1 &amp; """", ""),
    IF(J227&lt;&gt;"", """" &amp; VJDBCore!K$1 &amp; """", ""),
    IF(K227&lt;&gt;"", """" &amp; VJDBCore!L$1 &amp; """", ""),
    IF(L227&lt;&gt;"", """" &amp; VJDBCore!M$1 &amp; """", ""),    IF(M227&lt;&gt;"", """" &amp; VJDBCore!N$1 &amp; """", ""),    IF(N227&lt;&gt;"", """" &amp; VJDBCore!O$1 &amp; """", ""),     IF(O227&lt;&gt;"", """" &amp; VJDBCore!P$1 &amp; """", ""),     IF(O227&lt;&gt;"", """" &amp; VJDBCore!P$1 &amp; """", ""),     IF(P227&lt;&gt;"", """" &amp; VJDBCore!Q$1 &amp; """", ""),
    IF(Q231&lt;&gt;"", """" &amp; Q231 &amp; """", ""),
    IF(R227&lt;&gt;"", """" &amp; R227 &amp; """", ""),
    IF(S227&lt;&gt;"", """" &amp; S227 &amp; """", "")
) &amp; "]"</f>
        <v>[]</v>
      </c>
      <c r="U227" s="13"/>
      <c r="V227" s="13"/>
      <c r="W227" s="13"/>
      <c r="X227" s="13"/>
      <c r="Y227" s="13"/>
      <c r="Z227" s="13"/>
      <c r="AA227" s="13"/>
      <c r="AB227" s="13"/>
      <c r="AC227" s="13"/>
      <c r="AD227" s="13"/>
      <c r="AE227" s="13"/>
      <c r="AF227" s="13"/>
      <c r="AG227" s="13"/>
      <c r="AH227" s="13"/>
      <c r="AI227" s="13"/>
      <c r="AJ227" s="13"/>
      <c r="AK227" s="13"/>
      <c r="AL227" s="13"/>
      <c r="AM227" s="13"/>
      <c r="AN227" s="28"/>
    </row>
    <row r="228" spans="1:40" s="10" customFormat="1" ht="23.25" customHeight="1" thickBot="1">
      <c r="A228" s="4"/>
      <c r="B228" s="4"/>
      <c r="C228" s="4"/>
      <c r="D228" s="4"/>
      <c r="E228" s="15"/>
      <c r="F228" s="4"/>
      <c r="G228" s="4"/>
      <c r="H228" s="4"/>
      <c r="I228" s="4"/>
      <c r="J228" s="4"/>
      <c r="K228" s="4"/>
      <c r="L228" s="4"/>
      <c r="M228" s="4"/>
      <c r="N228" s="4"/>
      <c r="O228" s="6"/>
      <c r="P228" s="6"/>
      <c r="Q228" s="4"/>
      <c r="R228" s="7"/>
      <c r="S228" s="4"/>
      <c r="T228" s="3" t="str">
        <f>"[" &amp; _xlfn.TEXTJOIN(", ", TRUE,
    IF(H228&lt;&gt;"", """" &amp; VJDBCore!I$1 &amp; """", ""),
    IF(I228&lt;&gt;"", """" &amp; VJDBCore!J$1 &amp; """", ""),
    IF(J228&lt;&gt;"", """" &amp; VJDBCore!K$1 &amp; """", ""),
    IF(K228&lt;&gt;"", """" &amp; VJDBCore!L$1 &amp; """", ""),
    IF(L228&lt;&gt;"", """" &amp; VJDBCore!M$1 &amp; """", ""),    IF(M228&lt;&gt;"", """" &amp; VJDBCore!N$1 &amp; """", ""),    IF(N228&lt;&gt;"", """" &amp; VJDBCore!O$1 &amp; """", ""),     IF(O228&lt;&gt;"", """" &amp; VJDBCore!P$1 &amp; """", ""),     IF(O228&lt;&gt;"", """" &amp; VJDBCore!P$1 &amp; """", ""),     IF(P228&lt;&gt;"", """" &amp; VJDBCore!Q$1 &amp; """", ""),
    IF(Q232&lt;&gt;"", """" &amp; Q232 &amp; """", ""),
    IF(R228&lt;&gt;"", """" &amp; R228 &amp; """", ""),
    IF(S228&lt;&gt;"", """" &amp; S228 &amp; """", "")
) &amp; "]"</f>
        <v>[]</v>
      </c>
      <c r="U228" s="13"/>
      <c r="V228" s="13"/>
      <c r="W228" s="13"/>
      <c r="X228" s="13"/>
      <c r="Y228" s="13"/>
      <c r="Z228" s="13"/>
      <c r="AA228" s="13"/>
      <c r="AB228" s="13"/>
      <c r="AC228" s="13"/>
      <c r="AD228" s="13"/>
      <c r="AE228" s="13"/>
      <c r="AF228" s="13"/>
      <c r="AG228" s="13"/>
      <c r="AH228" s="13"/>
      <c r="AI228" s="13"/>
      <c r="AJ228" s="13"/>
      <c r="AK228" s="13"/>
      <c r="AL228" s="13"/>
      <c r="AM228" s="13"/>
      <c r="AN228" s="28"/>
    </row>
    <row r="229" spans="1:40" s="10" customFormat="1" ht="23.25" customHeight="1" thickBot="1">
      <c r="A229" s="4"/>
      <c r="B229" s="4"/>
      <c r="C229" s="4"/>
      <c r="D229" s="4"/>
      <c r="E229" s="15"/>
      <c r="F229" s="4"/>
      <c r="G229" s="4"/>
      <c r="H229" s="4"/>
      <c r="I229" s="4"/>
      <c r="J229" s="4"/>
      <c r="K229" s="4"/>
      <c r="L229" s="4"/>
      <c r="M229" s="4"/>
      <c r="N229" s="4"/>
      <c r="O229" s="6"/>
      <c r="P229" s="6"/>
      <c r="Q229" s="4"/>
      <c r="R229" s="7"/>
      <c r="S229" s="4"/>
      <c r="T229" s="3" t="str">
        <f>"[" &amp; _xlfn.TEXTJOIN(", ", TRUE,
    IF(H229&lt;&gt;"", """" &amp; VJDBCore!I$1 &amp; """", ""),
    IF(I229&lt;&gt;"", """" &amp; VJDBCore!J$1 &amp; """", ""),
    IF(J229&lt;&gt;"", """" &amp; VJDBCore!K$1 &amp; """", ""),
    IF(K229&lt;&gt;"", """" &amp; VJDBCore!L$1 &amp; """", ""),
    IF(L229&lt;&gt;"", """" &amp; VJDBCore!M$1 &amp; """", ""),    IF(M229&lt;&gt;"", """" &amp; VJDBCore!N$1 &amp; """", ""),    IF(N229&lt;&gt;"", """" &amp; VJDBCore!O$1 &amp; """", ""),     IF(O229&lt;&gt;"", """" &amp; VJDBCore!P$1 &amp; """", ""),     IF(O229&lt;&gt;"", """" &amp; VJDBCore!P$1 &amp; """", ""),     IF(P229&lt;&gt;"", """" &amp; VJDBCore!Q$1 &amp; """", ""),
    IF(Q233&lt;&gt;"", """" &amp; Q233 &amp; """", ""),
    IF(R229&lt;&gt;"", """" &amp; R229 &amp; """", ""),
    IF(S229&lt;&gt;"", """" &amp; S229 &amp; """", "")
) &amp; "]"</f>
        <v>[]</v>
      </c>
      <c r="U229" s="13"/>
      <c r="V229" s="13"/>
      <c r="W229" s="13"/>
      <c r="X229" s="13"/>
      <c r="Y229" s="13"/>
      <c r="Z229" s="13"/>
      <c r="AA229" s="13"/>
      <c r="AB229" s="13"/>
      <c r="AC229" s="13"/>
      <c r="AD229" s="13"/>
      <c r="AE229" s="13"/>
      <c r="AF229" s="13"/>
      <c r="AG229" s="13"/>
      <c r="AH229" s="13"/>
      <c r="AI229" s="13"/>
      <c r="AJ229" s="13"/>
      <c r="AK229" s="13"/>
      <c r="AL229" s="13"/>
      <c r="AM229" s="13"/>
      <c r="AN229" s="28"/>
    </row>
    <row r="230" spans="1:40" s="10" customFormat="1" ht="23.25" customHeight="1" thickBot="1">
      <c r="A230" s="4"/>
      <c r="B230" s="4"/>
      <c r="C230" s="4"/>
      <c r="D230" s="4"/>
      <c r="E230" s="15"/>
      <c r="F230" s="4"/>
      <c r="G230" s="4"/>
      <c r="H230" s="4"/>
      <c r="I230" s="4"/>
      <c r="J230" s="4"/>
      <c r="K230" s="4"/>
      <c r="L230" s="4"/>
      <c r="M230" s="4"/>
      <c r="N230" s="4"/>
      <c r="O230" s="6"/>
      <c r="P230" s="6"/>
      <c r="Q230" s="4"/>
      <c r="R230" s="7"/>
      <c r="S230" s="4"/>
      <c r="T230" s="3" t="str">
        <f>"[" &amp; _xlfn.TEXTJOIN(", ", TRUE,
    IF(H230&lt;&gt;"", """" &amp; VJDBCore!I$1 &amp; """", ""),
    IF(I230&lt;&gt;"", """" &amp; VJDBCore!J$1 &amp; """", ""),
    IF(J230&lt;&gt;"", """" &amp; VJDBCore!K$1 &amp; """", ""),
    IF(K230&lt;&gt;"", """" &amp; VJDBCore!L$1 &amp; """", ""),
    IF(L230&lt;&gt;"", """" &amp; VJDBCore!M$1 &amp; """", ""),    IF(M230&lt;&gt;"", """" &amp; VJDBCore!N$1 &amp; """", ""),    IF(N230&lt;&gt;"", """" &amp; VJDBCore!O$1 &amp; """", ""),     IF(O230&lt;&gt;"", """" &amp; VJDBCore!P$1 &amp; """", ""),     IF(O230&lt;&gt;"", """" &amp; VJDBCore!P$1 &amp; """", ""),     IF(P230&lt;&gt;"", """" &amp; VJDBCore!Q$1 &amp; """", ""),
    IF(Q234&lt;&gt;"", """" &amp; Q234 &amp; """", ""),
    IF(R230&lt;&gt;"", """" &amp; R230 &amp; """", ""),
    IF(S230&lt;&gt;"", """" &amp; S230 &amp; """", "")
) &amp; "]"</f>
        <v>[]</v>
      </c>
      <c r="U230" s="13"/>
      <c r="V230" s="13"/>
      <c r="W230" s="13"/>
      <c r="X230" s="13"/>
      <c r="Y230" s="13"/>
      <c r="Z230" s="13"/>
      <c r="AA230" s="13"/>
      <c r="AB230" s="13"/>
      <c r="AC230" s="13"/>
      <c r="AD230" s="13"/>
      <c r="AE230" s="13"/>
      <c r="AF230" s="13"/>
      <c r="AG230" s="13"/>
      <c r="AH230" s="13"/>
      <c r="AI230" s="13"/>
      <c r="AJ230" s="13"/>
      <c r="AK230" s="13"/>
      <c r="AL230" s="13"/>
      <c r="AM230" s="13"/>
      <c r="AN230" s="28"/>
    </row>
    <row r="231" spans="1:40" s="10" customFormat="1" ht="23.25" customHeight="1" thickBot="1">
      <c r="A231" s="4"/>
      <c r="B231" s="4"/>
      <c r="C231" s="4"/>
      <c r="D231" s="4"/>
      <c r="E231" s="15"/>
      <c r="F231" s="4"/>
      <c r="G231" s="4"/>
      <c r="H231" s="4"/>
      <c r="I231" s="4"/>
      <c r="J231" s="4"/>
      <c r="K231" s="4"/>
      <c r="L231" s="4"/>
      <c r="M231" s="4"/>
      <c r="N231" s="4"/>
      <c r="O231" s="6"/>
      <c r="P231" s="6"/>
      <c r="Q231" s="4"/>
      <c r="R231" s="7"/>
      <c r="S231" s="4"/>
      <c r="T231" s="3" t="str">
        <f>"[" &amp; _xlfn.TEXTJOIN(", ", TRUE,
    IF(H231&lt;&gt;"", """" &amp; VJDBCore!I$1 &amp; """", ""),
    IF(I231&lt;&gt;"", """" &amp; VJDBCore!J$1 &amp; """", ""),
    IF(J231&lt;&gt;"", """" &amp; VJDBCore!K$1 &amp; """", ""),
    IF(K231&lt;&gt;"", """" &amp; VJDBCore!L$1 &amp; """", ""),
    IF(L231&lt;&gt;"", """" &amp; VJDBCore!M$1 &amp; """", ""),    IF(M231&lt;&gt;"", """" &amp; VJDBCore!N$1 &amp; """", ""),    IF(N231&lt;&gt;"", """" &amp; VJDBCore!O$1 &amp; """", ""),     IF(O231&lt;&gt;"", """" &amp; VJDBCore!P$1 &amp; """", ""),     IF(O231&lt;&gt;"", """" &amp; VJDBCore!P$1 &amp; """", ""),     IF(P231&lt;&gt;"", """" &amp; VJDBCore!Q$1 &amp; """", ""),
    IF(Q235&lt;&gt;"", """" &amp; Q235 &amp; """", ""),
    IF(R231&lt;&gt;"", """" &amp; R231 &amp; """", ""),
    IF(S231&lt;&gt;"", """" &amp; S231 &amp; """", "")
) &amp; "]"</f>
        <v>[]</v>
      </c>
      <c r="U231" s="13"/>
      <c r="V231" s="13"/>
      <c r="W231" s="13"/>
      <c r="X231" s="13"/>
      <c r="Y231" s="13"/>
      <c r="Z231" s="13"/>
      <c r="AA231" s="13"/>
      <c r="AB231" s="13"/>
      <c r="AC231" s="13"/>
      <c r="AD231" s="13"/>
      <c r="AE231" s="13"/>
      <c r="AF231" s="13"/>
      <c r="AG231" s="13"/>
      <c r="AH231" s="13"/>
      <c r="AI231" s="13"/>
      <c r="AJ231" s="13"/>
      <c r="AK231" s="13"/>
      <c r="AL231" s="13"/>
      <c r="AM231" s="13"/>
      <c r="AN231" s="28"/>
    </row>
    <row r="232" spans="1:40" s="10" customFormat="1" ht="23.25" customHeight="1" thickBot="1">
      <c r="A232" s="4"/>
      <c r="B232" s="4"/>
      <c r="C232" s="4"/>
      <c r="D232" s="4"/>
      <c r="E232" s="15"/>
      <c r="F232" s="4"/>
      <c r="G232" s="4"/>
      <c r="H232" s="4"/>
      <c r="I232" s="4"/>
      <c r="J232" s="4"/>
      <c r="K232" s="4"/>
      <c r="L232" s="4"/>
      <c r="M232" s="4"/>
      <c r="N232" s="4"/>
      <c r="O232" s="6"/>
      <c r="P232" s="6"/>
      <c r="Q232" s="4"/>
      <c r="R232" s="7"/>
      <c r="S232" s="4"/>
      <c r="T232" s="3" t="str">
        <f>"[" &amp; _xlfn.TEXTJOIN(", ", TRUE,
    IF(H232&lt;&gt;"", """" &amp; VJDBCore!I$1 &amp; """", ""),
    IF(I232&lt;&gt;"", """" &amp; VJDBCore!J$1 &amp; """", ""),
    IF(J232&lt;&gt;"", """" &amp; VJDBCore!K$1 &amp; """", ""),
    IF(K232&lt;&gt;"", """" &amp; VJDBCore!L$1 &amp; """", ""),
    IF(L232&lt;&gt;"", """" &amp; VJDBCore!M$1 &amp; """", ""),    IF(M232&lt;&gt;"", """" &amp; VJDBCore!N$1 &amp; """", ""),    IF(N232&lt;&gt;"", """" &amp; VJDBCore!O$1 &amp; """", ""),     IF(O232&lt;&gt;"", """" &amp; VJDBCore!P$1 &amp; """", ""),     IF(O232&lt;&gt;"", """" &amp; VJDBCore!P$1 &amp; """", ""),     IF(P232&lt;&gt;"", """" &amp; VJDBCore!Q$1 &amp; """", ""),
    IF(Q236&lt;&gt;"", """" &amp; Q236 &amp; """", ""),
    IF(R232&lt;&gt;"", """" &amp; R232 &amp; """", ""),
    IF(S232&lt;&gt;"", """" &amp; S232 &amp; """", "")
) &amp; "]"</f>
        <v>[]</v>
      </c>
      <c r="U232" s="13"/>
      <c r="V232" s="13"/>
      <c r="W232" s="13"/>
      <c r="X232" s="13"/>
      <c r="Y232" s="13"/>
      <c r="Z232" s="13"/>
      <c r="AA232" s="13"/>
      <c r="AB232" s="13"/>
      <c r="AC232" s="13"/>
      <c r="AD232" s="13"/>
      <c r="AE232" s="13"/>
      <c r="AF232" s="13"/>
      <c r="AG232" s="13"/>
      <c r="AH232" s="13"/>
      <c r="AI232" s="13"/>
      <c r="AJ232" s="13"/>
      <c r="AK232" s="13"/>
      <c r="AL232" s="13"/>
      <c r="AM232" s="13"/>
      <c r="AN232" s="28"/>
    </row>
    <row r="233" spans="1:40" s="10" customFormat="1" ht="23.25" customHeight="1" thickBot="1">
      <c r="A233" s="4"/>
      <c r="B233" s="4"/>
      <c r="C233" s="4"/>
      <c r="D233" s="4"/>
      <c r="E233" s="15"/>
      <c r="F233" s="4"/>
      <c r="G233" s="4"/>
      <c r="H233" s="4"/>
      <c r="I233" s="4"/>
      <c r="J233" s="4"/>
      <c r="K233" s="4"/>
      <c r="L233" s="4"/>
      <c r="M233" s="4"/>
      <c r="N233" s="4"/>
      <c r="O233" s="6"/>
      <c r="P233" s="6"/>
      <c r="Q233" s="4"/>
      <c r="R233" s="7"/>
      <c r="S233" s="4"/>
      <c r="T233" s="3" t="str">
        <f>"[" &amp; _xlfn.TEXTJOIN(", ", TRUE,
    IF(H233&lt;&gt;"", """" &amp; VJDBCore!I$1 &amp; """", ""),
    IF(I233&lt;&gt;"", """" &amp; VJDBCore!J$1 &amp; """", ""),
    IF(J233&lt;&gt;"", """" &amp; VJDBCore!K$1 &amp; """", ""),
    IF(K233&lt;&gt;"", """" &amp; VJDBCore!L$1 &amp; """", ""),
    IF(L233&lt;&gt;"", """" &amp; VJDBCore!M$1 &amp; """", ""),    IF(M233&lt;&gt;"", """" &amp; VJDBCore!N$1 &amp; """", ""),    IF(N233&lt;&gt;"", """" &amp; VJDBCore!O$1 &amp; """", ""),     IF(O233&lt;&gt;"", """" &amp; VJDBCore!P$1 &amp; """", ""),     IF(O233&lt;&gt;"", """" &amp; VJDBCore!P$1 &amp; """", ""),     IF(P233&lt;&gt;"", """" &amp; VJDBCore!Q$1 &amp; """", ""),
    IF(Q237&lt;&gt;"", """" &amp; Q237 &amp; """", ""),
    IF(R233&lt;&gt;"", """" &amp; R233 &amp; """", ""),
    IF(S233&lt;&gt;"", """" &amp; S233 &amp; """", "")
) &amp; "]"</f>
        <v>[]</v>
      </c>
      <c r="U233" s="13"/>
      <c r="V233" s="13"/>
      <c r="W233" s="13"/>
      <c r="X233" s="13"/>
      <c r="Y233" s="13"/>
      <c r="Z233" s="13"/>
      <c r="AA233" s="13"/>
      <c r="AB233" s="13"/>
      <c r="AC233" s="13"/>
      <c r="AD233" s="13"/>
      <c r="AE233" s="13"/>
      <c r="AF233" s="13"/>
      <c r="AG233" s="13"/>
      <c r="AH233" s="13"/>
      <c r="AI233" s="13"/>
      <c r="AJ233" s="13"/>
      <c r="AK233" s="13"/>
      <c r="AL233" s="13"/>
      <c r="AM233" s="13"/>
      <c r="AN233" s="28"/>
    </row>
    <row r="234" spans="1:40" s="10" customFormat="1" ht="23.25" customHeight="1" thickBot="1">
      <c r="A234" s="4"/>
      <c r="B234" s="4"/>
      <c r="C234" s="4"/>
      <c r="D234" s="4"/>
      <c r="E234" s="15"/>
      <c r="F234" s="4"/>
      <c r="G234" s="4"/>
      <c r="H234" s="4"/>
      <c r="I234" s="4"/>
      <c r="J234" s="4"/>
      <c r="K234" s="4"/>
      <c r="L234" s="4"/>
      <c r="M234" s="4"/>
      <c r="N234" s="4"/>
      <c r="O234" s="6"/>
      <c r="P234" s="6"/>
      <c r="Q234" s="4"/>
      <c r="R234" s="7"/>
      <c r="S234" s="4"/>
      <c r="T234" s="3" t="str">
        <f>"[" &amp; _xlfn.TEXTJOIN(", ", TRUE,
    IF(H234&lt;&gt;"", """" &amp; VJDBCore!I$1 &amp; """", ""),
    IF(I234&lt;&gt;"", """" &amp; VJDBCore!J$1 &amp; """", ""),
    IF(J234&lt;&gt;"", """" &amp; VJDBCore!K$1 &amp; """", ""),
    IF(K234&lt;&gt;"", """" &amp; VJDBCore!L$1 &amp; """", ""),
    IF(L234&lt;&gt;"", """" &amp; VJDBCore!M$1 &amp; """", ""),    IF(M234&lt;&gt;"", """" &amp; VJDBCore!N$1 &amp; """", ""),    IF(N234&lt;&gt;"", """" &amp; VJDBCore!O$1 &amp; """", ""),     IF(O234&lt;&gt;"", """" &amp; VJDBCore!P$1 &amp; """", ""),     IF(O234&lt;&gt;"", """" &amp; VJDBCore!P$1 &amp; """", ""),     IF(P234&lt;&gt;"", """" &amp; VJDBCore!Q$1 &amp; """", ""),
    IF(Q238&lt;&gt;"", """" &amp; Q238 &amp; """", ""),
    IF(R234&lt;&gt;"", """" &amp; R234 &amp; """", ""),
    IF(S234&lt;&gt;"", """" &amp; S234 &amp; """", "")
) &amp; "]"</f>
        <v>[]</v>
      </c>
      <c r="U234" s="13"/>
      <c r="V234" s="13"/>
      <c r="W234" s="13"/>
      <c r="X234" s="13"/>
      <c r="Y234" s="13"/>
      <c r="Z234" s="13"/>
      <c r="AA234" s="13"/>
      <c r="AB234" s="13"/>
      <c r="AC234" s="13"/>
      <c r="AD234" s="13"/>
      <c r="AE234" s="13"/>
      <c r="AF234" s="13"/>
      <c r="AG234" s="13"/>
      <c r="AH234" s="13"/>
      <c r="AI234" s="13"/>
      <c r="AJ234" s="13"/>
      <c r="AK234" s="13"/>
      <c r="AL234" s="13"/>
      <c r="AM234" s="13"/>
      <c r="AN234" s="28"/>
    </row>
    <row r="235" spans="1:40" s="10" customFormat="1" ht="23.25" customHeight="1" thickBot="1">
      <c r="A235" s="4"/>
      <c r="B235" s="4"/>
      <c r="C235" s="4"/>
      <c r="D235" s="4"/>
      <c r="E235" s="15"/>
      <c r="F235" s="4"/>
      <c r="G235" s="4"/>
      <c r="H235" s="4"/>
      <c r="I235" s="4"/>
      <c r="J235" s="4"/>
      <c r="K235" s="4"/>
      <c r="L235" s="4"/>
      <c r="M235" s="4"/>
      <c r="N235" s="4"/>
      <c r="O235" s="6"/>
      <c r="P235" s="6"/>
      <c r="Q235" s="4"/>
      <c r="R235" s="7"/>
      <c r="S235" s="4"/>
      <c r="T235" s="3" t="str">
        <f>"[" &amp; _xlfn.TEXTJOIN(", ", TRUE,
    IF(H235&lt;&gt;"", """" &amp; VJDBCore!I$1 &amp; """", ""),
    IF(I235&lt;&gt;"", """" &amp; VJDBCore!J$1 &amp; """", ""),
    IF(J235&lt;&gt;"", """" &amp; VJDBCore!K$1 &amp; """", ""),
    IF(K235&lt;&gt;"", """" &amp; VJDBCore!L$1 &amp; """", ""),
    IF(L235&lt;&gt;"", """" &amp; VJDBCore!M$1 &amp; """", ""),    IF(M235&lt;&gt;"", """" &amp; VJDBCore!N$1 &amp; """", ""),    IF(N235&lt;&gt;"", """" &amp; VJDBCore!O$1 &amp; """", ""),     IF(O235&lt;&gt;"", """" &amp; VJDBCore!P$1 &amp; """", ""),     IF(O235&lt;&gt;"", """" &amp; VJDBCore!P$1 &amp; """", ""),     IF(P235&lt;&gt;"", """" &amp; VJDBCore!Q$1 &amp; """", ""),
    IF(Q239&lt;&gt;"", """" &amp; Q239 &amp; """", ""),
    IF(R235&lt;&gt;"", """" &amp; R235 &amp; """", ""),
    IF(S235&lt;&gt;"", """" &amp; S235 &amp; """", "")
) &amp; "]"</f>
        <v>[]</v>
      </c>
      <c r="U235" s="13"/>
      <c r="V235" s="13"/>
      <c r="W235" s="13"/>
      <c r="X235" s="13"/>
      <c r="Y235" s="13"/>
      <c r="Z235" s="13"/>
      <c r="AA235" s="13"/>
      <c r="AB235" s="13"/>
      <c r="AC235" s="13"/>
      <c r="AD235" s="13"/>
      <c r="AE235" s="13"/>
      <c r="AF235" s="13"/>
      <c r="AG235" s="13"/>
      <c r="AH235" s="13"/>
      <c r="AI235" s="13"/>
      <c r="AJ235" s="13"/>
      <c r="AK235" s="13"/>
      <c r="AL235" s="13"/>
      <c r="AM235" s="13"/>
      <c r="AN235" s="28"/>
    </row>
    <row r="236" spans="1:40" s="10" customFormat="1" ht="23.25" customHeight="1" thickBot="1">
      <c r="A236" s="4"/>
      <c r="B236" s="4"/>
      <c r="C236" s="4"/>
      <c r="D236" s="4"/>
      <c r="E236" s="15"/>
      <c r="F236" s="4"/>
      <c r="G236" s="4"/>
      <c r="H236" s="4"/>
      <c r="I236" s="4"/>
      <c r="J236" s="4"/>
      <c r="K236" s="4"/>
      <c r="L236" s="4"/>
      <c r="M236" s="4"/>
      <c r="N236" s="4"/>
      <c r="O236" s="6"/>
      <c r="P236" s="6"/>
      <c r="Q236" s="4"/>
      <c r="R236" s="7"/>
      <c r="S236" s="4"/>
      <c r="T236" s="3" t="str">
        <f>"[" &amp; _xlfn.TEXTJOIN(", ", TRUE,
    IF(H236&lt;&gt;"", """" &amp; VJDBCore!I$1 &amp; """", ""),
    IF(I236&lt;&gt;"", """" &amp; VJDBCore!J$1 &amp; """", ""),
    IF(J236&lt;&gt;"", """" &amp; VJDBCore!K$1 &amp; """", ""),
    IF(K236&lt;&gt;"", """" &amp; VJDBCore!L$1 &amp; """", ""),
    IF(L236&lt;&gt;"", """" &amp; VJDBCore!M$1 &amp; """", ""),    IF(M236&lt;&gt;"", """" &amp; VJDBCore!N$1 &amp; """", ""),    IF(N236&lt;&gt;"", """" &amp; VJDBCore!O$1 &amp; """", ""),     IF(O236&lt;&gt;"", """" &amp; VJDBCore!P$1 &amp; """", ""),     IF(O236&lt;&gt;"", """" &amp; VJDBCore!P$1 &amp; """", ""),     IF(P236&lt;&gt;"", """" &amp; VJDBCore!Q$1 &amp; """", ""),
    IF(Q240&lt;&gt;"", """" &amp; Q240 &amp; """", ""),
    IF(R236&lt;&gt;"", """" &amp; R236 &amp; """", ""),
    IF(S236&lt;&gt;"", """" &amp; S236 &amp; """", "")
) &amp; "]"</f>
        <v>[]</v>
      </c>
      <c r="U236" s="13"/>
      <c r="V236" s="13"/>
      <c r="W236" s="13"/>
      <c r="X236" s="13"/>
      <c r="Y236" s="13"/>
      <c r="Z236" s="13"/>
      <c r="AA236" s="13"/>
      <c r="AB236" s="13"/>
      <c r="AC236" s="13"/>
      <c r="AD236" s="13"/>
      <c r="AE236" s="13"/>
      <c r="AF236" s="13"/>
      <c r="AG236" s="13"/>
      <c r="AH236" s="13"/>
      <c r="AI236" s="13"/>
      <c r="AJ236" s="13"/>
      <c r="AK236" s="13"/>
      <c r="AL236" s="13"/>
      <c r="AM236" s="13"/>
      <c r="AN236" s="28"/>
    </row>
    <row r="237" spans="1:40" s="10" customFormat="1" ht="23.25" customHeight="1" thickBot="1">
      <c r="A237" s="4"/>
      <c r="B237" s="4"/>
      <c r="C237" s="4"/>
      <c r="D237" s="4"/>
      <c r="E237" s="15"/>
      <c r="F237" s="4"/>
      <c r="G237" s="4"/>
      <c r="H237" s="4"/>
      <c r="I237" s="4"/>
      <c r="J237" s="4"/>
      <c r="K237" s="4"/>
      <c r="L237" s="4"/>
      <c r="M237" s="4"/>
      <c r="N237" s="4"/>
      <c r="O237" s="6"/>
      <c r="P237" s="6"/>
      <c r="Q237" s="4"/>
      <c r="R237" s="7"/>
      <c r="S237" s="4"/>
      <c r="T237" s="3" t="str">
        <f>"[" &amp; _xlfn.TEXTJOIN(", ", TRUE,
    IF(H237&lt;&gt;"", """" &amp; VJDBCore!I$1 &amp; """", ""),
    IF(I237&lt;&gt;"", """" &amp; VJDBCore!J$1 &amp; """", ""),
    IF(J237&lt;&gt;"", """" &amp; VJDBCore!K$1 &amp; """", ""),
    IF(K237&lt;&gt;"", """" &amp; VJDBCore!L$1 &amp; """", ""),
    IF(L237&lt;&gt;"", """" &amp; VJDBCore!M$1 &amp; """", ""),    IF(M237&lt;&gt;"", """" &amp; VJDBCore!N$1 &amp; """", ""),    IF(N237&lt;&gt;"", """" &amp; VJDBCore!O$1 &amp; """", ""),     IF(O237&lt;&gt;"", """" &amp; VJDBCore!P$1 &amp; """", ""),     IF(O237&lt;&gt;"", """" &amp; VJDBCore!P$1 &amp; """", ""),     IF(P237&lt;&gt;"", """" &amp; VJDBCore!Q$1 &amp; """", ""),
    IF(Q241&lt;&gt;"", """" &amp; Q241 &amp; """", ""),
    IF(R237&lt;&gt;"", """" &amp; R237 &amp; """", ""),
    IF(S237&lt;&gt;"", """" &amp; S237 &amp; """", "")
) &amp; "]"</f>
        <v>[]</v>
      </c>
      <c r="U237" s="13"/>
      <c r="V237" s="13"/>
      <c r="W237" s="13"/>
      <c r="X237" s="13"/>
      <c r="Y237" s="13"/>
      <c r="Z237" s="13"/>
      <c r="AA237" s="13"/>
      <c r="AB237" s="13"/>
      <c r="AC237" s="13"/>
      <c r="AD237" s="13"/>
      <c r="AE237" s="13"/>
      <c r="AF237" s="13"/>
      <c r="AG237" s="13"/>
      <c r="AH237" s="13"/>
      <c r="AI237" s="13"/>
      <c r="AJ237" s="13"/>
      <c r="AK237" s="13"/>
      <c r="AL237" s="13"/>
      <c r="AM237" s="13"/>
      <c r="AN237" s="28"/>
    </row>
    <row r="238" spans="1:40" s="10" customFormat="1" ht="23.25" customHeight="1" thickBot="1">
      <c r="A238" s="4"/>
      <c r="B238" s="4"/>
      <c r="C238" s="4"/>
      <c r="D238" s="4"/>
      <c r="E238" s="15"/>
      <c r="F238" s="4"/>
      <c r="G238" s="4"/>
      <c r="H238" s="4"/>
      <c r="I238" s="4"/>
      <c r="J238" s="4"/>
      <c r="K238" s="4"/>
      <c r="L238" s="4"/>
      <c r="M238" s="4"/>
      <c r="N238" s="4"/>
      <c r="O238" s="6"/>
      <c r="P238" s="6"/>
      <c r="Q238" s="4"/>
      <c r="R238" s="7"/>
      <c r="S238" s="4"/>
      <c r="T238" s="3" t="str">
        <f>"[" &amp; _xlfn.TEXTJOIN(", ", TRUE,
    IF(H238&lt;&gt;"", """" &amp; VJDBCore!I$1 &amp; """", ""),
    IF(I238&lt;&gt;"", """" &amp; VJDBCore!J$1 &amp; """", ""),
    IF(J238&lt;&gt;"", """" &amp; VJDBCore!K$1 &amp; """", ""),
    IF(K238&lt;&gt;"", """" &amp; VJDBCore!L$1 &amp; """", ""),
    IF(L238&lt;&gt;"", """" &amp; VJDBCore!M$1 &amp; """", ""),    IF(M238&lt;&gt;"", """" &amp; VJDBCore!N$1 &amp; """", ""),    IF(N238&lt;&gt;"", """" &amp; VJDBCore!O$1 &amp; """", ""),     IF(O238&lt;&gt;"", """" &amp; VJDBCore!P$1 &amp; """", ""),     IF(O238&lt;&gt;"", """" &amp; VJDBCore!P$1 &amp; """", ""),     IF(P238&lt;&gt;"", """" &amp; VJDBCore!Q$1 &amp; """", ""),
    IF(Q242&lt;&gt;"", """" &amp; Q242 &amp; """", ""),
    IF(R238&lt;&gt;"", """" &amp; R238 &amp; """", ""),
    IF(S238&lt;&gt;"", """" &amp; S238 &amp; """", "")
) &amp; "]"</f>
        <v>[]</v>
      </c>
      <c r="U238" s="13"/>
      <c r="V238" s="13"/>
      <c r="W238" s="13"/>
      <c r="X238" s="13"/>
      <c r="Y238" s="13"/>
      <c r="Z238" s="13"/>
      <c r="AA238" s="13"/>
      <c r="AB238" s="13"/>
      <c r="AC238" s="13"/>
      <c r="AD238" s="13"/>
      <c r="AE238" s="13"/>
      <c r="AF238" s="13"/>
      <c r="AG238" s="13"/>
      <c r="AH238" s="13"/>
      <c r="AI238" s="13"/>
      <c r="AJ238" s="13"/>
      <c r="AK238" s="13"/>
      <c r="AL238" s="13"/>
      <c r="AM238" s="13"/>
      <c r="AN238" s="28"/>
    </row>
    <row r="239" spans="1:40" s="10" customFormat="1" ht="23.25" customHeight="1" thickBot="1">
      <c r="A239" s="4"/>
      <c r="B239" s="4"/>
      <c r="C239" s="4"/>
      <c r="D239" s="4"/>
      <c r="E239" s="15"/>
      <c r="F239" s="4"/>
      <c r="G239" s="4"/>
      <c r="H239" s="4"/>
      <c r="I239" s="4"/>
      <c r="J239" s="4"/>
      <c r="K239" s="4"/>
      <c r="L239" s="4"/>
      <c r="M239" s="4"/>
      <c r="N239" s="4"/>
      <c r="O239" s="6"/>
      <c r="P239" s="6"/>
      <c r="Q239" s="4"/>
      <c r="R239" s="7"/>
      <c r="S239" s="4"/>
      <c r="T239" s="3" t="str">
        <f>"[" &amp; _xlfn.TEXTJOIN(", ", TRUE,
    IF(H239&lt;&gt;"", """" &amp; VJDBCore!I$1 &amp; """", ""),
    IF(I239&lt;&gt;"", """" &amp; VJDBCore!J$1 &amp; """", ""),
    IF(J239&lt;&gt;"", """" &amp; VJDBCore!K$1 &amp; """", ""),
    IF(K239&lt;&gt;"", """" &amp; VJDBCore!L$1 &amp; """", ""),
    IF(L239&lt;&gt;"", """" &amp; VJDBCore!M$1 &amp; """", ""),    IF(M239&lt;&gt;"", """" &amp; VJDBCore!N$1 &amp; """", ""),    IF(N239&lt;&gt;"", """" &amp; VJDBCore!O$1 &amp; """", ""),     IF(O239&lt;&gt;"", """" &amp; VJDBCore!P$1 &amp; """", ""),     IF(O239&lt;&gt;"", """" &amp; VJDBCore!P$1 &amp; """", ""),     IF(P239&lt;&gt;"", """" &amp; VJDBCore!Q$1 &amp; """", ""),
    IF(Q243&lt;&gt;"", """" &amp; Q243 &amp; """", ""),
    IF(R239&lt;&gt;"", """" &amp; R239 &amp; """", ""),
    IF(S239&lt;&gt;"", """" &amp; S239 &amp; """", "")
) &amp; "]"</f>
        <v>[]</v>
      </c>
      <c r="U239" s="13"/>
      <c r="V239" s="13"/>
      <c r="W239" s="13"/>
      <c r="X239" s="13"/>
      <c r="Y239" s="13"/>
      <c r="Z239" s="13"/>
      <c r="AA239" s="13"/>
      <c r="AB239" s="13"/>
      <c r="AC239" s="13"/>
      <c r="AD239" s="13"/>
      <c r="AE239" s="13"/>
      <c r="AF239" s="13"/>
      <c r="AG239" s="13"/>
      <c r="AH239" s="13"/>
      <c r="AI239" s="13"/>
      <c r="AJ239" s="13"/>
      <c r="AK239" s="13"/>
      <c r="AL239" s="13"/>
      <c r="AM239" s="13"/>
      <c r="AN239" s="28"/>
    </row>
    <row r="240" spans="1:40" s="10" customFormat="1" ht="23.25" customHeight="1" thickBot="1">
      <c r="A240" s="4"/>
      <c r="B240" s="4"/>
      <c r="C240" s="4"/>
      <c r="D240" s="4"/>
      <c r="E240" s="15"/>
      <c r="F240" s="4"/>
      <c r="G240" s="4"/>
      <c r="H240" s="4"/>
      <c r="I240" s="4"/>
      <c r="J240" s="4"/>
      <c r="K240" s="4"/>
      <c r="L240" s="4"/>
      <c r="M240" s="4"/>
      <c r="N240" s="4"/>
      <c r="O240" s="6"/>
      <c r="P240" s="6"/>
      <c r="Q240" s="4"/>
      <c r="R240" s="7"/>
      <c r="S240" s="4"/>
      <c r="T240" s="3" t="str">
        <f>"[" &amp; _xlfn.TEXTJOIN(", ", TRUE,
    IF(H240&lt;&gt;"", """" &amp; VJDBCore!I$1 &amp; """", ""),
    IF(I240&lt;&gt;"", """" &amp; VJDBCore!J$1 &amp; """", ""),
    IF(J240&lt;&gt;"", """" &amp; VJDBCore!K$1 &amp; """", ""),
    IF(K240&lt;&gt;"", """" &amp; VJDBCore!L$1 &amp; """", ""),
    IF(L240&lt;&gt;"", """" &amp; VJDBCore!M$1 &amp; """", ""),    IF(M240&lt;&gt;"", """" &amp; VJDBCore!N$1 &amp; """", ""),    IF(N240&lt;&gt;"", """" &amp; VJDBCore!O$1 &amp; """", ""),     IF(O240&lt;&gt;"", """" &amp; VJDBCore!P$1 &amp; """", ""),     IF(O240&lt;&gt;"", """" &amp; VJDBCore!P$1 &amp; """", ""),     IF(P240&lt;&gt;"", """" &amp; VJDBCore!Q$1 &amp; """", ""),
    IF(Q244&lt;&gt;"", """" &amp; Q244 &amp; """", ""),
    IF(R240&lt;&gt;"", """" &amp; R240 &amp; """", ""),
    IF(S240&lt;&gt;"", """" &amp; S240 &amp; """", "")
) &amp; "]"</f>
        <v>[]</v>
      </c>
      <c r="U240" s="13"/>
      <c r="V240" s="13"/>
      <c r="W240" s="13"/>
      <c r="X240" s="13"/>
      <c r="Y240" s="13"/>
      <c r="Z240" s="13"/>
      <c r="AA240" s="13"/>
      <c r="AB240" s="13"/>
      <c r="AC240" s="13"/>
      <c r="AD240" s="13"/>
      <c r="AE240" s="13"/>
      <c r="AF240" s="13"/>
      <c r="AG240" s="13"/>
      <c r="AH240" s="13"/>
      <c r="AI240" s="13"/>
      <c r="AJ240" s="13"/>
      <c r="AK240" s="13"/>
      <c r="AL240" s="13"/>
      <c r="AM240" s="13"/>
      <c r="AN240" s="28"/>
    </row>
    <row r="241" spans="1:40" s="10" customFormat="1" ht="23.25" customHeight="1" thickBot="1">
      <c r="A241" s="4"/>
      <c r="B241" s="4"/>
      <c r="C241" s="4"/>
      <c r="D241" s="4"/>
      <c r="E241" s="15"/>
      <c r="F241" s="4"/>
      <c r="G241" s="4"/>
      <c r="H241" s="4"/>
      <c r="I241" s="4"/>
      <c r="J241" s="4"/>
      <c r="K241" s="4"/>
      <c r="L241" s="4"/>
      <c r="M241" s="4"/>
      <c r="N241" s="4"/>
      <c r="O241" s="6"/>
      <c r="P241" s="6"/>
      <c r="Q241" s="4"/>
      <c r="R241" s="7"/>
      <c r="S241" s="4"/>
      <c r="T241" s="3" t="str">
        <f>"[" &amp; _xlfn.TEXTJOIN(", ", TRUE,
    IF(H241&lt;&gt;"", """" &amp; VJDBCore!I$1 &amp; """", ""),
    IF(I241&lt;&gt;"", """" &amp; VJDBCore!J$1 &amp; """", ""),
    IF(J241&lt;&gt;"", """" &amp; VJDBCore!K$1 &amp; """", ""),
    IF(K241&lt;&gt;"", """" &amp; VJDBCore!L$1 &amp; """", ""),
    IF(L241&lt;&gt;"", """" &amp; VJDBCore!M$1 &amp; """", ""),    IF(M241&lt;&gt;"", """" &amp; VJDBCore!N$1 &amp; """", ""),    IF(N241&lt;&gt;"", """" &amp; VJDBCore!O$1 &amp; """", ""),     IF(O241&lt;&gt;"", """" &amp; VJDBCore!P$1 &amp; """", ""),     IF(O241&lt;&gt;"", """" &amp; VJDBCore!P$1 &amp; """", ""),     IF(P241&lt;&gt;"", """" &amp; VJDBCore!Q$1 &amp; """", ""),
    IF(Q245&lt;&gt;"", """" &amp; Q245 &amp; """", ""),
    IF(R241&lt;&gt;"", """" &amp; R241 &amp; """", ""),
    IF(S241&lt;&gt;"", """" &amp; S241 &amp; """", "")
) &amp; "]"</f>
        <v>[]</v>
      </c>
      <c r="U241" s="13"/>
      <c r="V241" s="13"/>
      <c r="W241" s="13"/>
      <c r="X241" s="13"/>
      <c r="Y241" s="13"/>
      <c r="Z241" s="13"/>
      <c r="AA241" s="13"/>
      <c r="AB241" s="13"/>
      <c r="AC241" s="13"/>
      <c r="AD241" s="13"/>
      <c r="AE241" s="13"/>
      <c r="AF241" s="13"/>
      <c r="AG241" s="13"/>
      <c r="AH241" s="13"/>
      <c r="AI241" s="13"/>
      <c r="AJ241" s="13"/>
      <c r="AK241" s="13"/>
      <c r="AL241" s="13"/>
      <c r="AM241" s="13"/>
      <c r="AN241" s="28"/>
    </row>
    <row r="242" spans="1:40" s="10" customFormat="1" ht="23.25" customHeight="1" thickBot="1">
      <c r="A242" s="4"/>
      <c r="B242" s="4"/>
      <c r="C242" s="4"/>
      <c r="D242" s="4"/>
      <c r="E242" s="15"/>
      <c r="F242" s="4"/>
      <c r="G242" s="4"/>
      <c r="H242" s="4"/>
      <c r="I242" s="4"/>
      <c r="J242" s="4"/>
      <c r="K242" s="4"/>
      <c r="L242" s="4"/>
      <c r="M242" s="4"/>
      <c r="N242" s="4"/>
      <c r="O242" s="6"/>
      <c r="P242" s="6"/>
      <c r="Q242" s="4"/>
      <c r="R242" s="7"/>
      <c r="S242" s="4"/>
      <c r="T242" s="3" t="str">
        <f>"[" &amp; _xlfn.TEXTJOIN(", ", TRUE,
    IF(H242&lt;&gt;"", """" &amp; VJDBCore!I$1 &amp; """", ""),
    IF(I242&lt;&gt;"", """" &amp; VJDBCore!J$1 &amp; """", ""),
    IF(J242&lt;&gt;"", """" &amp; VJDBCore!K$1 &amp; """", ""),
    IF(K242&lt;&gt;"", """" &amp; VJDBCore!L$1 &amp; """", ""),
    IF(L242&lt;&gt;"", """" &amp; VJDBCore!M$1 &amp; """", ""),    IF(M242&lt;&gt;"", """" &amp; VJDBCore!N$1 &amp; """", ""),    IF(N242&lt;&gt;"", """" &amp; VJDBCore!O$1 &amp; """", ""),     IF(O242&lt;&gt;"", """" &amp; VJDBCore!P$1 &amp; """", ""),     IF(O242&lt;&gt;"", """" &amp; VJDBCore!P$1 &amp; """", ""),     IF(P242&lt;&gt;"", """" &amp; VJDBCore!Q$1 &amp; """", ""),
    IF(Q246&lt;&gt;"", """" &amp; Q246 &amp; """", ""),
    IF(R242&lt;&gt;"", """" &amp; R242 &amp; """", ""),
    IF(S242&lt;&gt;"", """" &amp; S242 &amp; """", "")
) &amp; "]"</f>
        <v>[]</v>
      </c>
      <c r="U242" s="13"/>
      <c r="V242" s="13"/>
      <c r="W242" s="13"/>
      <c r="X242" s="13"/>
      <c r="Y242" s="13"/>
      <c r="Z242" s="13"/>
      <c r="AA242" s="13"/>
      <c r="AB242" s="13"/>
      <c r="AC242" s="13"/>
      <c r="AD242" s="13"/>
      <c r="AE242" s="13"/>
      <c r="AF242" s="13"/>
      <c r="AG242" s="13"/>
      <c r="AH242" s="13"/>
      <c r="AI242" s="13"/>
      <c r="AJ242" s="13"/>
      <c r="AK242" s="13"/>
      <c r="AL242" s="13"/>
      <c r="AM242" s="13"/>
      <c r="AN242" s="28"/>
    </row>
    <row r="243" spans="1:40" s="10" customFormat="1" ht="23.25" customHeight="1" thickBot="1">
      <c r="A243" s="4"/>
      <c r="B243" s="4"/>
      <c r="C243" s="4"/>
      <c r="D243" s="4"/>
      <c r="E243" s="15"/>
      <c r="F243" s="4"/>
      <c r="G243" s="4"/>
      <c r="H243" s="4"/>
      <c r="I243" s="4"/>
      <c r="J243" s="4"/>
      <c r="K243" s="4"/>
      <c r="L243" s="4"/>
      <c r="M243" s="4"/>
      <c r="N243" s="4"/>
      <c r="O243" s="6"/>
      <c r="P243" s="6"/>
      <c r="Q243" s="4"/>
      <c r="R243" s="7"/>
      <c r="S243" s="4"/>
      <c r="T243" s="3" t="str">
        <f>"[" &amp; _xlfn.TEXTJOIN(", ", TRUE,
    IF(H243&lt;&gt;"", """" &amp; VJDBCore!I$1 &amp; """", ""),
    IF(I243&lt;&gt;"", """" &amp; VJDBCore!J$1 &amp; """", ""),
    IF(J243&lt;&gt;"", """" &amp; VJDBCore!K$1 &amp; """", ""),
    IF(K243&lt;&gt;"", """" &amp; VJDBCore!L$1 &amp; """", ""),
    IF(L243&lt;&gt;"", """" &amp; VJDBCore!M$1 &amp; """", ""),    IF(M243&lt;&gt;"", """" &amp; VJDBCore!N$1 &amp; """", ""),    IF(N243&lt;&gt;"", """" &amp; VJDBCore!O$1 &amp; """", ""),     IF(O243&lt;&gt;"", """" &amp; VJDBCore!P$1 &amp; """", ""),     IF(O243&lt;&gt;"", """" &amp; VJDBCore!P$1 &amp; """", ""),     IF(P243&lt;&gt;"", """" &amp; VJDBCore!Q$1 &amp; """", ""),
    IF(Q247&lt;&gt;"", """" &amp; Q247 &amp; """", ""),
    IF(R243&lt;&gt;"", """" &amp; R243 &amp; """", ""),
    IF(S243&lt;&gt;"", """" &amp; S243 &amp; """", "")
) &amp; "]"</f>
        <v>[]</v>
      </c>
      <c r="U243" s="13"/>
      <c r="V243" s="13"/>
      <c r="W243" s="13"/>
      <c r="X243" s="13"/>
      <c r="Y243" s="13"/>
      <c r="Z243" s="13"/>
      <c r="AA243" s="13"/>
      <c r="AB243" s="13"/>
      <c r="AC243" s="13"/>
      <c r="AD243" s="13"/>
      <c r="AE243" s="13"/>
      <c r="AF243" s="13"/>
      <c r="AG243" s="13"/>
      <c r="AH243" s="13"/>
      <c r="AI243" s="13"/>
      <c r="AJ243" s="13"/>
      <c r="AK243" s="13"/>
      <c r="AL243" s="13"/>
      <c r="AM243" s="13"/>
      <c r="AN243" s="28"/>
    </row>
    <row r="244" spans="1:40" s="10" customFormat="1" ht="23.25" customHeight="1" thickBot="1">
      <c r="A244" s="4"/>
      <c r="B244" s="4"/>
      <c r="C244" s="4"/>
      <c r="D244" s="4"/>
      <c r="E244" s="15"/>
      <c r="F244" s="4"/>
      <c r="G244" s="4"/>
      <c r="H244" s="4"/>
      <c r="I244" s="4"/>
      <c r="J244" s="4"/>
      <c r="K244" s="4"/>
      <c r="L244" s="4"/>
      <c r="M244" s="4"/>
      <c r="N244" s="4"/>
      <c r="O244" s="6"/>
      <c r="P244" s="6"/>
      <c r="Q244" s="4"/>
      <c r="R244" s="7"/>
      <c r="S244" s="4"/>
      <c r="T244" s="3" t="str">
        <f>"[" &amp; _xlfn.TEXTJOIN(", ", TRUE,
    IF(H244&lt;&gt;"", """" &amp; VJDBCore!I$1 &amp; """", ""),
    IF(I244&lt;&gt;"", """" &amp; VJDBCore!J$1 &amp; """", ""),
    IF(J244&lt;&gt;"", """" &amp; VJDBCore!K$1 &amp; """", ""),
    IF(K244&lt;&gt;"", """" &amp; VJDBCore!L$1 &amp; """", ""),
    IF(L244&lt;&gt;"", """" &amp; VJDBCore!M$1 &amp; """", ""),    IF(M244&lt;&gt;"", """" &amp; VJDBCore!N$1 &amp; """", ""),    IF(N244&lt;&gt;"", """" &amp; VJDBCore!O$1 &amp; """", ""),     IF(O244&lt;&gt;"", """" &amp; VJDBCore!P$1 &amp; """", ""),     IF(O244&lt;&gt;"", """" &amp; VJDBCore!P$1 &amp; """", ""),     IF(P244&lt;&gt;"", """" &amp; VJDBCore!Q$1 &amp; """", ""),
    IF(Q248&lt;&gt;"", """" &amp; Q248 &amp; """", ""),
    IF(R244&lt;&gt;"", """" &amp; R244 &amp; """", ""),
    IF(S244&lt;&gt;"", """" &amp; S244 &amp; """", "")
) &amp; "]"</f>
        <v>[]</v>
      </c>
      <c r="U244" s="13"/>
      <c r="V244" s="13"/>
      <c r="W244" s="13"/>
      <c r="X244" s="13"/>
      <c r="Y244" s="13"/>
      <c r="Z244" s="13"/>
      <c r="AA244" s="13"/>
      <c r="AB244" s="13"/>
      <c r="AC244" s="13"/>
      <c r="AD244" s="13"/>
      <c r="AE244" s="13"/>
      <c r="AF244" s="13"/>
      <c r="AG244" s="13"/>
      <c r="AH244" s="13"/>
      <c r="AI244" s="13"/>
      <c r="AJ244" s="13"/>
      <c r="AK244" s="13"/>
      <c r="AL244" s="13"/>
      <c r="AM244" s="13"/>
      <c r="AN244" s="28"/>
    </row>
    <row r="245" spans="1:40" s="10" customFormat="1" ht="23.25" customHeight="1" thickBot="1">
      <c r="A245" s="4"/>
      <c r="B245" s="4"/>
      <c r="C245" s="4"/>
      <c r="D245" s="4"/>
      <c r="E245" s="15"/>
      <c r="F245" s="4"/>
      <c r="G245" s="4"/>
      <c r="H245" s="4"/>
      <c r="I245" s="4"/>
      <c r="J245" s="4"/>
      <c r="K245" s="4"/>
      <c r="L245" s="4"/>
      <c r="M245" s="4"/>
      <c r="N245" s="4"/>
      <c r="O245" s="6"/>
      <c r="P245" s="6"/>
      <c r="Q245" s="4"/>
      <c r="R245" s="7"/>
      <c r="S245" s="4"/>
      <c r="T245" s="3" t="str">
        <f>"[" &amp; _xlfn.TEXTJOIN(", ", TRUE,
    IF(H245&lt;&gt;"", """" &amp; VJDBCore!I$1 &amp; """", ""),
    IF(I245&lt;&gt;"", """" &amp; VJDBCore!J$1 &amp; """", ""),
    IF(J245&lt;&gt;"", """" &amp; VJDBCore!K$1 &amp; """", ""),
    IF(K245&lt;&gt;"", """" &amp; VJDBCore!L$1 &amp; """", ""),
    IF(L245&lt;&gt;"", """" &amp; VJDBCore!M$1 &amp; """", ""),    IF(M245&lt;&gt;"", """" &amp; VJDBCore!N$1 &amp; """", ""),    IF(N245&lt;&gt;"", """" &amp; VJDBCore!O$1 &amp; """", ""),     IF(O245&lt;&gt;"", """" &amp; VJDBCore!P$1 &amp; """", ""),     IF(O245&lt;&gt;"", """" &amp; VJDBCore!P$1 &amp; """", ""),     IF(P245&lt;&gt;"", """" &amp; VJDBCore!Q$1 &amp; """", ""),
    IF(Q249&lt;&gt;"", """" &amp; Q249 &amp; """", ""),
    IF(R245&lt;&gt;"", """" &amp; R245 &amp; """", ""),
    IF(S245&lt;&gt;"", """" &amp; S245 &amp; """", "")
) &amp; "]"</f>
        <v>[]</v>
      </c>
      <c r="U245" s="13"/>
      <c r="V245" s="13"/>
      <c r="W245" s="13"/>
      <c r="X245" s="13"/>
      <c r="Y245" s="13"/>
      <c r="Z245" s="13"/>
      <c r="AA245" s="13"/>
      <c r="AB245" s="13"/>
      <c r="AC245" s="13"/>
      <c r="AD245" s="13"/>
      <c r="AE245" s="13"/>
      <c r="AF245" s="13"/>
      <c r="AG245" s="13"/>
      <c r="AH245" s="13"/>
      <c r="AI245" s="13"/>
      <c r="AJ245" s="13"/>
      <c r="AK245" s="13"/>
      <c r="AL245" s="13"/>
      <c r="AM245" s="13"/>
      <c r="AN245" s="28"/>
    </row>
    <row r="246" spans="1:40" s="10" customFormat="1" ht="23.25" customHeight="1" thickBot="1">
      <c r="A246" s="4"/>
      <c r="B246" s="4"/>
      <c r="C246" s="4"/>
      <c r="D246" s="4"/>
      <c r="E246" s="15"/>
      <c r="F246" s="4"/>
      <c r="G246" s="4"/>
      <c r="H246" s="4"/>
      <c r="I246" s="4"/>
      <c r="J246" s="4"/>
      <c r="K246" s="4"/>
      <c r="L246" s="4"/>
      <c r="M246" s="4"/>
      <c r="N246" s="4"/>
      <c r="O246" s="6"/>
      <c r="P246" s="6"/>
      <c r="Q246" s="4"/>
      <c r="R246" s="7"/>
      <c r="S246" s="4"/>
      <c r="T246" s="3" t="str">
        <f>"[" &amp; _xlfn.TEXTJOIN(", ", TRUE,
    IF(H246&lt;&gt;"", """" &amp; VJDBCore!I$1 &amp; """", ""),
    IF(I246&lt;&gt;"", """" &amp; VJDBCore!J$1 &amp; """", ""),
    IF(J246&lt;&gt;"", """" &amp; VJDBCore!K$1 &amp; """", ""),
    IF(K246&lt;&gt;"", """" &amp; VJDBCore!L$1 &amp; """", ""),
    IF(L246&lt;&gt;"", """" &amp; VJDBCore!M$1 &amp; """", ""),    IF(M246&lt;&gt;"", """" &amp; VJDBCore!N$1 &amp; """", ""),    IF(N246&lt;&gt;"", """" &amp; VJDBCore!O$1 &amp; """", ""),     IF(O246&lt;&gt;"", """" &amp; VJDBCore!P$1 &amp; """", ""),     IF(O246&lt;&gt;"", """" &amp; VJDBCore!P$1 &amp; """", ""),     IF(P246&lt;&gt;"", """" &amp; VJDBCore!Q$1 &amp; """", ""),
    IF(Q250&lt;&gt;"", """" &amp; Q250 &amp; """", ""),
    IF(R246&lt;&gt;"", """" &amp; R246 &amp; """", ""),
    IF(S246&lt;&gt;"", """" &amp; S246 &amp; """", "")
) &amp; "]"</f>
        <v>[]</v>
      </c>
      <c r="U246" s="13"/>
      <c r="V246" s="13"/>
      <c r="W246" s="13"/>
      <c r="X246" s="13"/>
      <c r="Y246" s="13"/>
      <c r="Z246" s="13"/>
      <c r="AA246" s="13"/>
      <c r="AB246" s="13"/>
      <c r="AC246" s="13"/>
      <c r="AD246" s="13"/>
      <c r="AE246" s="13"/>
      <c r="AF246" s="13"/>
      <c r="AG246" s="13"/>
      <c r="AH246" s="13"/>
      <c r="AI246" s="13"/>
      <c r="AJ246" s="13"/>
      <c r="AK246" s="13"/>
      <c r="AL246" s="13"/>
      <c r="AM246" s="13"/>
      <c r="AN246" s="28"/>
    </row>
    <row r="247" spans="1:40" s="10" customFormat="1" ht="23.25" customHeight="1" thickBot="1">
      <c r="A247" s="4"/>
      <c r="B247" s="4"/>
      <c r="C247" s="4"/>
      <c r="D247" s="4"/>
      <c r="E247" s="15"/>
      <c r="F247" s="4"/>
      <c r="G247" s="4"/>
      <c r="H247" s="4"/>
      <c r="I247" s="4"/>
      <c r="J247" s="4"/>
      <c r="K247" s="4"/>
      <c r="L247" s="4"/>
      <c r="M247" s="4"/>
      <c r="N247" s="4"/>
      <c r="O247" s="6"/>
      <c r="P247" s="6"/>
      <c r="Q247" s="4"/>
      <c r="R247" s="7"/>
      <c r="S247" s="4"/>
      <c r="T247" s="3" t="str">
        <f>"[" &amp; _xlfn.TEXTJOIN(", ", TRUE,
    IF(H247&lt;&gt;"", """" &amp; VJDBCore!I$1 &amp; """", ""),
    IF(I247&lt;&gt;"", """" &amp; VJDBCore!J$1 &amp; """", ""),
    IF(J247&lt;&gt;"", """" &amp; VJDBCore!K$1 &amp; """", ""),
    IF(K247&lt;&gt;"", """" &amp; VJDBCore!L$1 &amp; """", ""),
    IF(L247&lt;&gt;"", """" &amp; VJDBCore!M$1 &amp; """", ""),    IF(M247&lt;&gt;"", """" &amp; VJDBCore!N$1 &amp; """", ""),    IF(N247&lt;&gt;"", """" &amp; VJDBCore!O$1 &amp; """", ""),     IF(O247&lt;&gt;"", """" &amp; VJDBCore!P$1 &amp; """", ""),     IF(O247&lt;&gt;"", """" &amp; VJDBCore!P$1 &amp; """", ""),     IF(P247&lt;&gt;"", """" &amp; VJDBCore!Q$1 &amp; """", ""),
    IF(Q251&lt;&gt;"", """" &amp; Q251 &amp; """", ""),
    IF(R247&lt;&gt;"", """" &amp; R247 &amp; """", ""),
    IF(S247&lt;&gt;"", """" &amp; S247 &amp; """", "")
) &amp; "]"</f>
        <v>[]</v>
      </c>
      <c r="U247" s="13"/>
      <c r="V247" s="13"/>
      <c r="W247" s="13"/>
      <c r="X247" s="13"/>
      <c r="Y247" s="13"/>
      <c r="Z247" s="13"/>
      <c r="AA247" s="13"/>
      <c r="AB247" s="13"/>
      <c r="AC247" s="13"/>
      <c r="AD247" s="13"/>
      <c r="AE247" s="13"/>
      <c r="AF247" s="13"/>
      <c r="AG247" s="13"/>
      <c r="AH247" s="13"/>
      <c r="AI247" s="13"/>
      <c r="AJ247" s="13"/>
      <c r="AK247" s="13"/>
      <c r="AL247" s="13"/>
      <c r="AM247" s="13"/>
      <c r="AN247" s="28"/>
    </row>
    <row r="248" spans="1:40" s="10" customFormat="1" ht="23.25" customHeight="1" thickBot="1">
      <c r="A248" s="4"/>
      <c r="B248" s="4"/>
      <c r="C248" s="4"/>
      <c r="D248" s="4"/>
      <c r="E248" s="15"/>
      <c r="F248" s="4"/>
      <c r="G248" s="4"/>
      <c r="H248" s="4"/>
      <c r="I248" s="4"/>
      <c r="J248" s="4"/>
      <c r="K248" s="4"/>
      <c r="L248" s="4"/>
      <c r="M248" s="4"/>
      <c r="N248" s="4"/>
      <c r="O248" s="6"/>
      <c r="P248" s="6"/>
      <c r="Q248" s="4"/>
      <c r="R248" s="7"/>
      <c r="S248" s="4"/>
      <c r="T248" s="3" t="str">
        <f>"[" &amp; _xlfn.TEXTJOIN(", ", TRUE,
    IF(H248&lt;&gt;"", """" &amp; VJDBCore!I$1 &amp; """", ""),
    IF(I248&lt;&gt;"", """" &amp; VJDBCore!J$1 &amp; """", ""),
    IF(J248&lt;&gt;"", """" &amp; VJDBCore!K$1 &amp; """", ""),
    IF(K248&lt;&gt;"", """" &amp; VJDBCore!L$1 &amp; """", ""),
    IF(L248&lt;&gt;"", """" &amp; VJDBCore!M$1 &amp; """", ""),    IF(M248&lt;&gt;"", """" &amp; VJDBCore!N$1 &amp; """", ""),    IF(N248&lt;&gt;"", """" &amp; VJDBCore!O$1 &amp; """", ""),     IF(O248&lt;&gt;"", """" &amp; VJDBCore!P$1 &amp; """", ""),     IF(O248&lt;&gt;"", """" &amp; VJDBCore!P$1 &amp; """", ""),     IF(P248&lt;&gt;"", """" &amp; VJDBCore!Q$1 &amp; """", ""),
    IF(Q252&lt;&gt;"", """" &amp; Q252 &amp; """", ""),
    IF(R248&lt;&gt;"", """" &amp; R248 &amp; """", ""),
    IF(S248&lt;&gt;"", """" &amp; S248 &amp; """", "")
) &amp; "]"</f>
        <v>[]</v>
      </c>
      <c r="U248" s="13"/>
      <c r="V248" s="13"/>
      <c r="W248" s="13"/>
      <c r="X248" s="13"/>
      <c r="Y248" s="13"/>
      <c r="Z248" s="13"/>
      <c r="AA248" s="13"/>
      <c r="AB248" s="13"/>
      <c r="AC248" s="13"/>
      <c r="AD248" s="13"/>
      <c r="AE248" s="13"/>
      <c r="AF248" s="13"/>
      <c r="AG248" s="13"/>
      <c r="AH248" s="13"/>
      <c r="AI248" s="13"/>
      <c r="AJ248" s="13"/>
      <c r="AK248" s="13"/>
      <c r="AL248" s="13"/>
      <c r="AM248" s="13"/>
      <c r="AN248" s="28"/>
    </row>
    <row r="249" spans="1:40" s="10" customFormat="1" ht="23.25" customHeight="1" thickBot="1">
      <c r="A249" s="4"/>
      <c r="B249" s="4"/>
      <c r="C249" s="4"/>
      <c r="D249" s="4"/>
      <c r="E249" s="15"/>
      <c r="F249" s="4"/>
      <c r="G249" s="4"/>
      <c r="H249" s="4"/>
      <c r="I249" s="4"/>
      <c r="J249" s="4"/>
      <c r="K249" s="4"/>
      <c r="L249" s="4"/>
      <c r="M249" s="4"/>
      <c r="N249" s="4"/>
      <c r="O249" s="6"/>
      <c r="P249" s="6"/>
      <c r="Q249" s="4"/>
      <c r="R249" s="7"/>
      <c r="S249" s="4"/>
      <c r="T249" s="3" t="str">
        <f>"[" &amp; _xlfn.TEXTJOIN(", ", TRUE,
    IF(H249&lt;&gt;"", """" &amp; VJDBCore!I$1 &amp; """", ""),
    IF(I249&lt;&gt;"", """" &amp; VJDBCore!J$1 &amp; """", ""),
    IF(J249&lt;&gt;"", """" &amp; VJDBCore!K$1 &amp; """", ""),
    IF(K249&lt;&gt;"", """" &amp; VJDBCore!L$1 &amp; """", ""),
    IF(L249&lt;&gt;"", """" &amp; VJDBCore!M$1 &amp; """", ""),    IF(M249&lt;&gt;"", """" &amp; VJDBCore!N$1 &amp; """", ""),    IF(N249&lt;&gt;"", """" &amp; VJDBCore!O$1 &amp; """", ""),     IF(O249&lt;&gt;"", """" &amp; VJDBCore!P$1 &amp; """", ""),     IF(O249&lt;&gt;"", """" &amp; VJDBCore!P$1 &amp; """", ""),     IF(P249&lt;&gt;"", """" &amp; VJDBCore!Q$1 &amp; """", ""),
    IF(Q253&lt;&gt;"", """" &amp; Q253 &amp; """", ""),
    IF(R249&lt;&gt;"", """" &amp; R249 &amp; """", ""),
    IF(S249&lt;&gt;"", """" &amp; S249 &amp; """", "")
) &amp; "]"</f>
        <v>[]</v>
      </c>
      <c r="U249" s="13"/>
      <c r="V249" s="13"/>
      <c r="W249" s="13"/>
      <c r="X249" s="13"/>
      <c r="Y249" s="13"/>
      <c r="Z249" s="13"/>
      <c r="AA249" s="13"/>
      <c r="AB249" s="13"/>
      <c r="AC249" s="13"/>
      <c r="AD249" s="13"/>
      <c r="AE249" s="13"/>
      <c r="AF249" s="13"/>
      <c r="AG249" s="13"/>
      <c r="AH249" s="13"/>
      <c r="AI249" s="13"/>
      <c r="AJ249" s="13"/>
      <c r="AK249" s="13"/>
      <c r="AL249" s="13"/>
      <c r="AM249" s="13"/>
      <c r="AN249" s="28"/>
    </row>
    <row r="250" spans="1:40" s="10" customFormat="1" ht="23.25" customHeight="1" thickBot="1">
      <c r="A250" s="4"/>
      <c r="B250" s="4"/>
      <c r="C250" s="4"/>
      <c r="D250" s="4"/>
      <c r="E250" s="15"/>
      <c r="F250" s="4"/>
      <c r="G250" s="4"/>
      <c r="H250" s="4"/>
      <c r="I250" s="4"/>
      <c r="J250" s="4"/>
      <c r="K250" s="4"/>
      <c r="L250" s="4"/>
      <c r="M250" s="4"/>
      <c r="N250" s="4"/>
      <c r="O250" s="6"/>
      <c r="P250" s="6"/>
      <c r="Q250" s="4"/>
      <c r="R250" s="7"/>
      <c r="S250" s="4"/>
      <c r="T250" s="3" t="str">
        <f>"[" &amp; _xlfn.TEXTJOIN(", ", TRUE,
    IF(H250&lt;&gt;"", """" &amp; VJDBCore!I$1 &amp; """", ""),
    IF(I250&lt;&gt;"", """" &amp; VJDBCore!J$1 &amp; """", ""),
    IF(J250&lt;&gt;"", """" &amp; VJDBCore!K$1 &amp; """", ""),
    IF(K250&lt;&gt;"", """" &amp; VJDBCore!L$1 &amp; """", ""),
    IF(L250&lt;&gt;"", """" &amp; VJDBCore!M$1 &amp; """", ""),    IF(M250&lt;&gt;"", """" &amp; VJDBCore!N$1 &amp; """", ""),    IF(N250&lt;&gt;"", """" &amp; VJDBCore!O$1 &amp; """", ""),     IF(O250&lt;&gt;"", """" &amp; VJDBCore!P$1 &amp; """", ""),     IF(O250&lt;&gt;"", """" &amp; VJDBCore!P$1 &amp; """", ""),     IF(P250&lt;&gt;"", """" &amp; VJDBCore!Q$1 &amp; """", ""),
    IF(Q254&lt;&gt;"", """" &amp; Q254 &amp; """", ""),
    IF(R250&lt;&gt;"", """" &amp; R250 &amp; """", ""),
    IF(S250&lt;&gt;"", """" &amp; S250 &amp; """", "")
) &amp; "]"</f>
        <v>[]</v>
      </c>
      <c r="U250" s="13"/>
      <c r="V250" s="13"/>
      <c r="W250" s="13"/>
      <c r="X250" s="13"/>
      <c r="Y250" s="13"/>
      <c r="Z250" s="13"/>
      <c r="AA250" s="13"/>
      <c r="AB250" s="13"/>
      <c r="AC250" s="13"/>
      <c r="AD250" s="13"/>
      <c r="AE250" s="13"/>
      <c r="AF250" s="13"/>
      <c r="AG250" s="13"/>
      <c r="AH250" s="13"/>
      <c r="AI250" s="13"/>
      <c r="AJ250" s="13"/>
      <c r="AK250" s="13"/>
      <c r="AL250" s="13"/>
      <c r="AM250" s="13"/>
      <c r="AN250" s="28"/>
    </row>
    <row r="251" spans="1:40" s="10" customFormat="1" ht="23.25" customHeight="1" thickBot="1">
      <c r="A251" s="4"/>
      <c r="B251" s="4"/>
      <c r="C251" s="4"/>
      <c r="D251" s="4"/>
      <c r="E251" s="15"/>
      <c r="F251" s="4"/>
      <c r="G251" s="4"/>
      <c r="H251" s="4"/>
      <c r="I251" s="4"/>
      <c r="J251" s="4"/>
      <c r="K251" s="4"/>
      <c r="L251" s="4"/>
      <c r="M251" s="4"/>
      <c r="N251" s="4"/>
      <c r="O251" s="6"/>
      <c r="P251" s="6"/>
      <c r="Q251" s="4"/>
      <c r="R251" s="7"/>
      <c r="S251" s="4"/>
      <c r="T251" s="3" t="str">
        <f>"[" &amp; _xlfn.TEXTJOIN(", ", TRUE,
    IF(H251&lt;&gt;"", """" &amp; VJDBCore!I$1 &amp; """", ""),
    IF(I251&lt;&gt;"", """" &amp; VJDBCore!J$1 &amp; """", ""),
    IF(J251&lt;&gt;"", """" &amp; VJDBCore!K$1 &amp; """", ""),
    IF(K251&lt;&gt;"", """" &amp; VJDBCore!L$1 &amp; """", ""),
    IF(L251&lt;&gt;"", """" &amp; VJDBCore!M$1 &amp; """", ""),    IF(M251&lt;&gt;"", """" &amp; VJDBCore!N$1 &amp; """", ""),    IF(N251&lt;&gt;"", """" &amp; VJDBCore!O$1 &amp; """", ""),     IF(O251&lt;&gt;"", """" &amp; VJDBCore!P$1 &amp; """", ""),     IF(O251&lt;&gt;"", """" &amp; VJDBCore!P$1 &amp; """", ""),     IF(P251&lt;&gt;"", """" &amp; VJDBCore!Q$1 &amp; """", ""),
    IF(Q255&lt;&gt;"", """" &amp; Q255 &amp; """", ""),
    IF(R251&lt;&gt;"", """" &amp; R251 &amp; """", ""),
    IF(S251&lt;&gt;"", """" &amp; S251 &amp; """", "")
) &amp; "]"</f>
        <v>[]</v>
      </c>
      <c r="U251" s="13"/>
      <c r="V251" s="13"/>
      <c r="W251" s="13"/>
      <c r="X251" s="13"/>
      <c r="Y251" s="13"/>
      <c r="Z251" s="13"/>
      <c r="AA251" s="13"/>
      <c r="AB251" s="13"/>
      <c r="AC251" s="13"/>
      <c r="AD251" s="13"/>
      <c r="AE251" s="13"/>
      <c r="AF251" s="13"/>
      <c r="AG251" s="13"/>
      <c r="AH251" s="13"/>
      <c r="AI251" s="13"/>
      <c r="AJ251" s="13"/>
      <c r="AK251" s="13"/>
      <c r="AL251" s="13"/>
      <c r="AM251" s="13"/>
      <c r="AN251" s="28"/>
    </row>
    <row r="252" spans="1:40" s="10" customFormat="1" ht="23.25" customHeight="1" thickBot="1">
      <c r="A252" s="4"/>
      <c r="B252" s="4"/>
      <c r="C252" s="4"/>
      <c r="D252" s="4"/>
      <c r="E252" s="15"/>
      <c r="F252" s="4"/>
      <c r="G252" s="4"/>
      <c r="H252" s="4"/>
      <c r="I252" s="4"/>
      <c r="J252" s="4"/>
      <c r="K252" s="4"/>
      <c r="L252" s="4"/>
      <c r="M252" s="4"/>
      <c r="N252" s="4"/>
      <c r="O252" s="6"/>
      <c r="P252" s="6"/>
      <c r="Q252" s="4"/>
      <c r="R252" s="7"/>
      <c r="S252" s="4"/>
      <c r="T252" s="3" t="str">
        <f>"[" &amp; _xlfn.TEXTJOIN(", ", TRUE,
    IF(H252&lt;&gt;"", """" &amp; VJDBCore!I$1 &amp; """", ""),
    IF(I252&lt;&gt;"", """" &amp; VJDBCore!J$1 &amp; """", ""),
    IF(J252&lt;&gt;"", """" &amp; VJDBCore!K$1 &amp; """", ""),
    IF(K252&lt;&gt;"", """" &amp; VJDBCore!L$1 &amp; """", ""),
    IF(L252&lt;&gt;"", """" &amp; VJDBCore!M$1 &amp; """", ""),    IF(M252&lt;&gt;"", """" &amp; VJDBCore!N$1 &amp; """", ""),    IF(N252&lt;&gt;"", """" &amp; VJDBCore!O$1 &amp; """", ""),     IF(O252&lt;&gt;"", """" &amp; VJDBCore!P$1 &amp; """", ""),     IF(O252&lt;&gt;"", """" &amp; VJDBCore!P$1 &amp; """", ""),     IF(P252&lt;&gt;"", """" &amp; VJDBCore!Q$1 &amp; """", ""),
    IF(Q256&lt;&gt;"", """" &amp; Q256 &amp; """", ""),
    IF(R252&lt;&gt;"", """" &amp; R252 &amp; """", ""),
    IF(S252&lt;&gt;"", """" &amp; S252 &amp; """", "")
) &amp; "]"</f>
        <v>[]</v>
      </c>
      <c r="U252" s="13"/>
      <c r="V252" s="13"/>
      <c r="W252" s="13"/>
      <c r="X252" s="13"/>
      <c r="Y252" s="13"/>
      <c r="Z252" s="13"/>
      <c r="AA252" s="13"/>
      <c r="AB252" s="13"/>
      <c r="AC252" s="13"/>
      <c r="AD252" s="13"/>
      <c r="AE252" s="13"/>
      <c r="AF252" s="13"/>
      <c r="AG252" s="13"/>
      <c r="AH252" s="13"/>
      <c r="AI252" s="13"/>
      <c r="AJ252" s="13"/>
      <c r="AK252" s="13"/>
      <c r="AL252" s="13"/>
      <c r="AM252" s="13"/>
      <c r="AN252" s="28"/>
    </row>
    <row r="253" spans="1:40" s="10" customFormat="1" ht="23.25" customHeight="1" thickBot="1">
      <c r="A253" s="4"/>
      <c r="B253" s="4"/>
      <c r="C253" s="4"/>
      <c r="D253" s="4"/>
      <c r="E253" s="15"/>
      <c r="F253" s="4"/>
      <c r="G253" s="4"/>
      <c r="H253" s="4"/>
      <c r="I253" s="4"/>
      <c r="J253" s="4"/>
      <c r="K253" s="4"/>
      <c r="L253" s="4"/>
      <c r="M253" s="4"/>
      <c r="N253" s="4"/>
      <c r="O253" s="6"/>
      <c r="P253" s="6"/>
      <c r="Q253" s="4"/>
      <c r="R253" s="7"/>
      <c r="S253" s="4"/>
      <c r="T253" s="3" t="str">
        <f>"[" &amp; _xlfn.TEXTJOIN(", ", TRUE,
    IF(H253&lt;&gt;"", """" &amp; VJDBCore!I$1 &amp; """", ""),
    IF(I253&lt;&gt;"", """" &amp; VJDBCore!J$1 &amp; """", ""),
    IF(J253&lt;&gt;"", """" &amp; VJDBCore!K$1 &amp; """", ""),
    IF(K253&lt;&gt;"", """" &amp; VJDBCore!L$1 &amp; """", ""),
    IF(L253&lt;&gt;"", """" &amp; VJDBCore!M$1 &amp; """", ""),    IF(M253&lt;&gt;"", """" &amp; VJDBCore!N$1 &amp; """", ""),    IF(N253&lt;&gt;"", """" &amp; VJDBCore!O$1 &amp; """", ""),     IF(O253&lt;&gt;"", """" &amp; VJDBCore!P$1 &amp; """", ""),     IF(O253&lt;&gt;"", """" &amp; VJDBCore!P$1 &amp; """", ""),     IF(P253&lt;&gt;"", """" &amp; VJDBCore!Q$1 &amp; """", ""),
    IF(Q257&lt;&gt;"", """" &amp; Q257 &amp; """", ""),
    IF(R253&lt;&gt;"", """" &amp; R253 &amp; """", ""),
    IF(S253&lt;&gt;"", """" &amp; S253 &amp; """", "")
) &amp; "]"</f>
        <v>[]</v>
      </c>
      <c r="U253" s="13"/>
      <c r="V253" s="13"/>
      <c r="W253" s="13"/>
      <c r="X253" s="13"/>
      <c r="Y253" s="13"/>
      <c r="Z253" s="13"/>
      <c r="AA253" s="13"/>
      <c r="AB253" s="13"/>
      <c r="AC253" s="13"/>
      <c r="AD253" s="13"/>
      <c r="AE253" s="13"/>
      <c r="AF253" s="13"/>
      <c r="AG253" s="13"/>
      <c r="AH253" s="13"/>
      <c r="AI253" s="13"/>
      <c r="AJ253" s="13"/>
      <c r="AK253" s="13"/>
      <c r="AL253" s="13"/>
      <c r="AM253" s="13"/>
      <c r="AN253" s="28"/>
    </row>
    <row r="254" spans="1:40" s="10" customFormat="1" ht="23.25" customHeight="1" thickBot="1">
      <c r="A254" s="4"/>
      <c r="B254" s="4"/>
      <c r="C254" s="4"/>
      <c r="D254" s="4"/>
      <c r="E254" s="15"/>
      <c r="F254" s="4"/>
      <c r="G254" s="4"/>
      <c r="H254" s="4"/>
      <c r="I254" s="4"/>
      <c r="J254" s="4"/>
      <c r="K254" s="4"/>
      <c r="L254" s="4"/>
      <c r="M254" s="4"/>
      <c r="N254" s="4"/>
      <c r="O254" s="6"/>
      <c r="P254" s="6"/>
      <c r="Q254" s="4"/>
      <c r="R254" s="7"/>
      <c r="S254" s="4"/>
      <c r="T254" s="3" t="str">
        <f>"[" &amp; _xlfn.TEXTJOIN(", ", TRUE,
    IF(H254&lt;&gt;"", """" &amp; VJDBCore!I$1 &amp; """", ""),
    IF(I254&lt;&gt;"", """" &amp; VJDBCore!J$1 &amp; """", ""),
    IF(J254&lt;&gt;"", """" &amp; VJDBCore!K$1 &amp; """", ""),
    IF(K254&lt;&gt;"", """" &amp; VJDBCore!L$1 &amp; """", ""),
    IF(L254&lt;&gt;"", """" &amp; VJDBCore!M$1 &amp; """", ""),    IF(M254&lt;&gt;"", """" &amp; VJDBCore!N$1 &amp; """", ""),    IF(N254&lt;&gt;"", """" &amp; VJDBCore!O$1 &amp; """", ""),     IF(O254&lt;&gt;"", """" &amp; VJDBCore!P$1 &amp; """", ""),     IF(O254&lt;&gt;"", """" &amp; VJDBCore!P$1 &amp; """", ""),     IF(P254&lt;&gt;"", """" &amp; VJDBCore!Q$1 &amp; """", ""),
    IF(Q258&lt;&gt;"", """" &amp; Q258 &amp; """", ""),
    IF(R254&lt;&gt;"", """" &amp; R254 &amp; """", ""),
    IF(S254&lt;&gt;"", """" &amp; S254 &amp; """", "")
) &amp; "]"</f>
        <v>[]</v>
      </c>
      <c r="U254" s="13"/>
      <c r="V254" s="13"/>
      <c r="W254" s="13"/>
      <c r="X254" s="13"/>
      <c r="Y254" s="13"/>
      <c r="Z254" s="13"/>
      <c r="AA254" s="13"/>
      <c r="AB254" s="13"/>
      <c r="AC254" s="13"/>
      <c r="AD254" s="13"/>
      <c r="AE254" s="13"/>
      <c r="AF254" s="13"/>
      <c r="AG254" s="13"/>
      <c r="AH254" s="13"/>
      <c r="AI254" s="13"/>
      <c r="AJ254" s="13"/>
      <c r="AK254" s="13"/>
      <c r="AL254" s="13"/>
      <c r="AM254" s="13"/>
      <c r="AN254" s="28"/>
    </row>
    <row r="255" spans="1:40" s="10" customFormat="1" ht="23.25" customHeight="1" thickBot="1">
      <c r="A255" s="4"/>
      <c r="B255" s="4"/>
      <c r="C255" s="4"/>
      <c r="D255" s="4"/>
      <c r="E255" s="15"/>
      <c r="F255" s="4"/>
      <c r="G255" s="4"/>
      <c r="H255" s="4"/>
      <c r="I255" s="4"/>
      <c r="J255" s="4"/>
      <c r="K255" s="4"/>
      <c r="L255" s="4"/>
      <c r="M255" s="4"/>
      <c r="N255" s="4"/>
      <c r="O255" s="6"/>
      <c r="P255" s="6"/>
      <c r="Q255" s="4"/>
      <c r="R255" s="7"/>
      <c r="S255" s="4"/>
      <c r="T255" s="3" t="str">
        <f>"[" &amp; _xlfn.TEXTJOIN(", ", TRUE,
    IF(H255&lt;&gt;"", """" &amp; VJDBCore!I$1 &amp; """", ""),
    IF(I255&lt;&gt;"", """" &amp; VJDBCore!J$1 &amp; """", ""),
    IF(J255&lt;&gt;"", """" &amp; VJDBCore!K$1 &amp; """", ""),
    IF(K255&lt;&gt;"", """" &amp; VJDBCore!L$1 &amp; """", ""),
    IF(L255&lt;&gt;"", """" &amp; VJDBCore!M$1 &amp; """", ""),    IF(M255&lt;&gt;"", """" &amp; VJDBCore!N$1 &amp; """", ""),    IF(N255&lt;&gt;"", """" &amp; VJDBCore!O$1 &amp; """", ""),     IF(O255&lt;&gt;"", """" &amp; VJDBCore!P$1 &amp; """", ""),     IF(O255&lt;&gt;"", """" &amp; VJDBCore!P$1 &amp; """", ""),     IF(P255&lt;&gt;"", """" &amp; VJDBCore!Q$1 &amp; """", ""),
    IF(Q259&lt;&gt;"", """" &amp; Q259 &amp; """", ""),
    IF(R255&lt;&gt;"", """" &amp; R255 &amp; """", ""),
    IF(S255&lt;&gt;"", """" &amp; S255 &amp; """", "")
) &amp; "]"</f>
        <v>[]</v>
      </c>
      <c r="U255" s="13"/>
      <c r="V255" s="13"/>
      <c r="W255" s="13"/>
      <c r="X255" s="13"/>
      <c r="Y255" s="13"/>
      <c r="Z255" s="13"/>
      <c r="AA255" s="13"/>
      <c r="AB255" s="13"/>
      <c r="AC255" s="13"/>
      <c r="AD255" s="13"/>
      <c r="AE255" s="13"/>
      <c r="AF255" s="13"/>
      <c r="AG255" s="13"/>
      <c r="AH255" s="13"/>
      <c r="AI255" s="13"/>
      <c r="AJ255" s="13"/>
      <c r="AK255" s="13"/>
      <c r="AL255" s="13"/>
      <c r="AM255" s="13"/>
      <c r="AN255" s="28"/>
    </row>
    <row r="256" spans="1:40" s="10" customFormat="1" ht="23.25" customHeight="1" thickBot="1">
      <c r="A256" s="4"/>
      <c r="B256" s="4"/>
      <c r="C256" s="4"/>
      <c r="D256" s="4"/>
      <c r="E256" s="15"/>
      <c r="F256" s="4"/>
      <c r="G256" s="4"/>
      <c r="H256" s="4"/>
      <c r="I256" s="4"/>
      <c r="J256" s="4"/>
      <c r="K256" s="4"/>
      <c r="L256" s="4"/>
      <c r="M256" s="4"/>
      <c r="N256" s="4"/>
      <c r="O256" s="6"/>
      <c r="P256" s="6"/>
      <c r="Q256" s="4"/>
      <c r="R256" s="7"/>
      <c r="S256" s="4"/>
      <c r="T256" s="3" t="str">
        <f>"[" &amp; _xlfn.TEXTJOIN(", ", TRUE,
    IF(H256&lt;&gt;"", """" &amp; VJDBCore!I$1 &amp; """", ""),
    IF(I256&lt;&gt;"", """" &amp; VJDBCore!J$1 &amp; """", ""),
    IF(J256&lt;&gt;"", """" &amp; VJDBCore!K$1 &amp; """", ""),
    IF(K256&lt;&gt;"", """" &amp; VJDBCore!L$1 &amp; """", ""),
    IF(L256&lt;&gt;"", """" &amp; VJDBCore!M$1 &amp; """", ""),    IF(M256&lt;&gt;"", """" &amp; VJDBCore!N$1 &amp; """", ""),    IF(N256&lt;&gt;"", """" &amp; VJDBCore!O$1 &amp; """", ""),     IF(O256&lt;&gt;"", """" &amp; VJDBCore!P$1 &amp; """", ""),     IF(O256&lt;&gt;"", """" &amp; VJDBCore!P$1 &amp; """", ""),     IF(P256&lt;&gt;"", """" &amp; VJDBCore!Q$1 &amp; """", ""),
    IF(Q260&lt;&gt;"", """" &amp; Q260 &amp; """", ""),
    IF(R256&lt;&gt;"", """" &amp; R256 &amp; """", ""),
    IF(S256&lt;&gt;"", """" &amp; S256 &amp; """", "")
) &amp; "]"</f>
        <v>[]</v>
      </c>
      <c r="U256" s="13"/>
      <c r="V256" s="13"/>
      <c r="W256" s="13"/>
      <c r="X256" s="13"/>
      <c r="Y256" s="13"/>
      <c r="Z256" s="13"/>
      <c r="AA256" s="13"/>
      <c r="AB256" s="13"/>
      <c r="AC256" s="13"/>
      <c r="AD256" s="13"/>
      <c r="AE256" s="13"/>
      <c r="AF256" s="13"/>
      <c r="AG256" s="13"/>
      <c r="AH256" s="13"/>
      <c r="AI256" s="13"/>
      <c r="AJ256" s="13"/>
      <c r="AK256" s="13"/>
      <c r="AL256" s="13"/>
      <c r="AM256" s="13"/>
      <c r="AN256" s="28"/>
    </row>
    <row r="257" spans="1:40" s="10" customFormat="1" ht="23.25" customHeight="1" thickBot="1">
      <c r="A257" s="4"/>
      <c r="B257" s="4"/>
      <c r="C257" s="4"/>
      <c r="D257" s="4"/>
      <c r="E257" s="15"/>
      <c r="F257" s="4"/>
      <c r="G257" s="4"/>
      <c r="H257" s="4"/>
      <c r="I257" s="4"/>
      <c r="J257" s="4"/>
      <c r="K257" s="4"/>
      <c r="L257" s="4"/>
      <c r="M257" s="4"/>
      <c r="N257" s="4"/>
      <c r="O257" s="6"/>
      <c r="P257" s="6"/>
      <c r="Q257" s="4"/>
      <c r="R257" s="7"/>
      <c r="S257" s="4"/>
      <c r="T257" s="3" t="str">
        <f>"[" &amp; _xlfn.TEXTJOIN(", ", TRUE,
    IF(H257&lt;&gt;"", """" &amp; VJDBCore!I$1 &amp; """", ""),
    IF(I257&lt;&gt;"", """" &amp; VJDBCore!J$1 &amp; """", ""),
    IF(J257&lt;&gt;"", """" &amp; VJDBCore!K$1 &amp; """", ""),
    IF(K257&lt;&gt;"", """" &amp; VJDBCore!L$1 &amp; """", ""),
    IF(L257&lt;&gt;"", """" &amp; VJDBCore!M$1 &amp; """", ""),    IF(M257&lt;&gt;"", """" &amp; VJDBCore!N$1 &amp; """", ""),    IF(N257&lt;&gt;"", """" &amp; VJDBCore!O$1 &amp; """", ""),     IF(O257&lt;&gt;"", """" &amp; VJDBCore!P$1 &amp; """", ""),     IF(O257&lt;&gt;"", """" &amp; VJDBCore!P$1 &amp; """", ""),     IF(P257&lt;&gt;"", """" &amp; VJDBCore!Q$1 &amp; """", ""),
    IF(Q261&lt;&gt;"", """" &amp; Q261 &amp; """", ""),
    IF(R257&lt;&gt;"", """" &amp; R257 &amp; """", ""),
    IF(S257&lt;&gt;"", """" &amp; S257 &amp; """", "")
) &amp; "]"</f>
        <v>[]</v>
      </c>
      <c r="U257" s="13"/>
      <c r="V257" s="13"/>
      <c r="W257" s="13"/>
      <c r="X257" s="13"/>
      <c r="Y257" s="13"/>
      <c r="Z257" s="13"/>
      <c r="AA257" s="13"/>
      <c r="AB257" s="13"/>
      <c r="AC257" s="13"/>
      <c r="AD257" s="13"/>
      <c r="AE257" s="13"/>
      <c r="AF257" s="13"/>
      <c r="AG257" s="13"/>
      <c r="AH257" s="13"/>
      <c r="AI257" s="13"/>
      <c r="AJ257" s="13"/>
      <c r="AK257" s="13"/>
      <c r="AL257" s="13"/>
      <c r="AM257" s="13"/>
      <c r="AN257" s="28"/>
    </row>
    <row r="258" spans="1:40" s="10" customFormat="1" ht="23.25" customHeight="1" thickBot="1">
      <c r="A258" s="4"/>
      <c r="B258" s="4"/>
      <c r="C258" s="4"/>
      <c r="D258" s="4"/>
      <c r="E258" s="15"/>
      <c r="F258" s="4"/>
      <c r="G258" s="4"/>
      <c r="H258" s="4"/>
      <c r="I258" s="4"/>
      <c r="J258" s="4"/>
      <c r="K258" s="4"/>
      <c r="L258" s="4"/>
      <c r="M258" s="4"/>
      <c r="N258" s="4"/>
      <c r="O258" s="6"/>
      <c r="P258" s="6"/>
      <c r="Q258" s="4"/>
      <c r="R258" s="7"/>
      <c r="S258" s="4"/>
      <c r="T258" s="3" t="str">
        <f>"[" &amp; _xlfn.TEXTJOIN(", ", TRUE,
    IF(H258&lt;&gt;"", """" &amp; VJDBCore!I$1 &amp; """", ""),
    IF(I258&lt;&gt;"", """" &amp; VJDBCore!J$1 &amp; """", ""),
    IF(J258&lt;&gt;"", """" &amp; VJDBCore!K$1 &amp; """", ""),
    IF(K258&lt;&gt;"", """" &amp; VJDBCore!L$1 &amp; """", ""),
    IF(L258&lt;&gt;"", """" &amp; VJDBCore!M$1 &amp; """", ""),    IF(M258&lt;&gt;"", """" &amp; VJDBCore!N$1 &amp; """", ""),    IF(N258&lt;&gt;"", """" &amp; VJDBCore!O$1 &amp; """", ""),     IF(O258&lt;&gt;"", """" &amp; VJDBCore!P$1 &amp; """", ""),     IF(O258&lt;&gt;"", """" &amp; VJDBCore!P$1 &amp; """", ""),     IF(P258&lt;&gt;"", """" &amp; VJDBCore!Q$1 &amp; """", ""),
    IF(Q262&lt;&gt;"", """" &amp; Q262 &amp; """", ""),
    IF(R258&lt;&gt;"", """" &amp; R258 &amp; """", ""),
    IF(S258&lt;&gt;"", """" &amp; S258 &amp; """", "")
) &amp; "]"</f>
        <v>[]</v>
      </c>
      <c r="U258" s="13"/>
      <c r="V258" s="13"/>
      <c r="W258" s="13"/>
      <c r="X258" s="13"/>
      <c r="Y258" s="13"/>
      <c r="Z258" s="13"/>
      <c r="AA258" s="13"/>
      <c r="AB258" s="13"/>
      <c r="AC258" s="13"/>
      <c r="AD258" s="13"/>
      <c r="AE258" s="13"/>
      <c r="AF258" s="13"/>
      <c r="AG258" s="13"/>
      <c r="AH258" s="13"/>
      <c r="AI258" s="13"/>
      <c r="AJ258" s="13"/>
      <c r="AK258" s="13"/>
      <c r="AL258" s="13"/>
      <c r="AM258" s="13"/>
      <c r="AN258" s="28"/>
    </row>
    <row r="259" spans="1:40" s="10" customFormat="1" ht="23.25" customHeight="1" thickBot="1">
      <c r="A259" s="4"/>
      <c r="B259" s="4"/>
      <c r="C259" s="4"/>
      <c r="D259" s="4"/>
      <c r="E259" s="15"/>
      <c r="F259" s="4"/>
      <c r="G259" s="4"/>
      <c r="H259" s="4"/>
      <c r="I259" s="4"/>
      <c r="J259" s="4"/>
      <c r="K259" s="4"/>
      <c r="L259" s="4"/>
      <c r="M259" s="4"/>
      <c r="N259" s="4"/>
      <c r="O259" s="6"/>
      <c r="P259" s="6"/>
      <c r="Q259" s="4"/>
      <c r="R259" s="7"/>
      <c r="S259" s="4"/>
      <c r="T259" s="3" t="str">
        <f>"[" &amp; _xlfn.TEXTJOIN(", ", TRUE,
    IF(H259&lt;&gt;"", """" &amp; VJDBCore!I$1 &amp; """", ""),
    IF(I259&lt;&gt;"", """" &amp; VJDBCore!J$1 &amp; """", ""),
    IF(J259&lt;&gt;"", """" &amp; VJDBCore!K$1 &amp; """", ""),
    IF(K259&lt;&gt;"", """" &amp; VJDBCore!L$1 &amp; """", ""),
    IF(L259&lt;&gt;"", """" &amp; VJDBCore!M$1 &amp; """", ""),    IF(M259&lt;&gt;"", """" &amp; VJDBCore!N$1 &amp; """", ""),    IF(N259&lt;&gt;"", """" &amp; VJDBCore!O$1 &amp; """", ""),     IF(O259&lt;&gt;"", """" &amp; VJDBCore!P$1 &amp; """", ""),     IF(O259&lt;&gt;"", """" &amp; VJDBCore!P$1 &amp; """", ""),     IF(P259&lt;&gt;"", """" &amp; VJDBCore!Q$1 &amp; """", ""),
    IF(Q263&lt;&gt;"", """" &amp; Q263 &amp; """", ""),
    IF(R259&lt;&gt;"", """" &amp; R259 &amp; """", ""),
    IF(S259&lt;&gt;"", """" &amp; S259 &amp; """", "")
) &amp; "]"</f>
        <v>[]</v>
      </c>
      <c r="U259" s="13"/>
      <c r="V259" s="13"/>
      <c r="W259" s="13"/>
      <c r="X259" s="13"/>
      <c r="Y259" s="13"/>
      <c r="Z259" s="13"/>
      <c r="AA259" s="13"/>
      <c r="AB259" s="13"/>
      <c r="AC259" s="13"/>
      <c r="AD259" s="13"/>
      <c r="AE259" s="13"/>
      <c r="AF259" s="13"/>
      <c r="AG259" s="13"/>
      <c r="AH259" s="13"/>
      <c r="AI259" s="13"/>
      <c r="AJ259" s="13"/>
      <c r="AK259" s="13"/>
      <c r="AL259" s="13"/>
      <c r="AM259" s="13"/>
      <c r="AN259" s="28"/>
    </row>
    <row r="260" spans="1:40" s="10" customFormat="1" ht="23.25" customHeight="1" thickBot="1">
      <c r="A260" s="4"/>
      <c r="B260" s="4"/>
      <c r="C260" s="4"/>
      <c r="D260" s="4"/>
      <c r="E260" s="15"/>
      <c r="F260" s="4"/>
      <c r="G260" s="4"/>
      <c r="H260" s="4"/>
      <c r="I260" s="4"/>
      <c r="J260" s="4"/>
      <c r="K260" s="4"/>
      <c r="L260" s="4"/>
      <c r="M260" s="4"/>
      <c r="N260" s="4"/>
      <c r="O260" s="6"/>
      <c r="P260" s="6"/>
      <c r="Q260" s="4"/>
      <c r="R260" s="7"/>
      <c r="S260" s="4"/>
      <c r="T260" s="3" t="str">
        <f>"[" &amp; _xlfn.TEXTJOIN(", ", TRUE,
    IF(H260&lt;&gt;"", """" &amp; VJDBCore!I$1 &amp; """", ""),
    IF(I260&lt;&gt;"", """" &amp; VJDBCore!J$1 &amp; """", ""),
    IF(J260&lt;&gt;"", """" &amp; VJDBCore!K$1 &amp; """", ""),
    IF(K260&lt;&gt;"", """" &amp; VJDBCore!L$1 &amp; """", ""),
    IF(L260&lt;&gt;"", """" &amp; VJDBCore!M$1 &amp; """", ""),    IF(M260&lt;&gt;"", """" &amp; VJDBCore!N$1 &amp; """", ""),    IF(N260&lt;&gt;"", """" &amp; VJDBCore!O$1 &amp; """", ""),     IF(O260&lt;&gt;"", """" &amp; VJDBCore!P$1 &amp; """", ""),     IF(O260&lt;&gt;"", """" &amp; VJDBCore!P$1 &amp; """", ""),     IF(P260&lt;&gt;"", """" &amp; VJDBCore!Q$1 &amp; """", ""),
    IF(Q264&lt;&gt;"", """" &amp; Q264 &amp; """", ""),
    IF(R260&lt;&gt;"", """" &amp; R260 &amp; """", ""),
    IF(S260&lt;&gt;"", """" &amp; S260 &amp; """", "")
) &amp; "]"</f>
        <v>[]</v>
      </c>
      <c r="U260" s="13"/>
      <c r="V260" s="13"/>
      <c r="W260" s="13"/>
      <c r="X260" s="13"/>
      <c r="Y260" s="13"/>
      <c r="Z260" s="13"/>
      <c r="AA260" s="13"/>
      <c r="AB260" s="13"/>
      <c r="AC260" s="13"/>
      <c r="AD260" s="13"/>
      <c r="AE260" s="13"/>
      <c r="AF260" s="13"/>
      <c r="AG260" s="13"/>
      <c r="AH260" s="13"/>
      <c r="AI260" s="13"/>
      <c r="AJ260" s="13"/>
      <c r="AK260" s="13"/>
      <c r="AL260" s="13"/>
      <c r="AM260" s="13"/>
      <c r="AN260" s="28"/>
    </row>
    <row r="261" spans="1:40" s="10" customFormat="1" ht="23.25" customHeight="1" thickBot="1">
      <c r="A261" s="4"/>
      <c r="B261" s="4"/>
      <c r="C261" s="4"/>
      <c r="D261" s="4"/>
      <c r="E261" s="15"/>
      <c r="F261" s="4"/>
      <c r="G261" s="4"/>
      <c r="H261" s="4"/>
      <c r="I261" s="4"/>
      <c r="J261" s="4"/>
      <c r="K261" s="4"/>
      <c r="L261" s="4"/>
      <c r="M261" s="4"/>
      <c r="N261" s="4"/>
      <c r="O261" s="6"/>
      <c r="P261" s="6"/>
      <c r="Q261" s="4"/>
      <c r="R261" s="7"/>
      <c r="S261" s="4"/>
      <c r="T261" s="3" t="str">
        <f>"[" &amp; _xlfn.TEXTJOIN(", ", TRUE,
    IF(H261&lt;&gt;"", """" &amp; VJDBCore!I$1 &amp; """", ""),
    IF(I261&lt;&gt;"", """" &amp; VJDBCore!J$1 &amp; """", ""),
    IF(J261&lt;&gt;"", """" &amp; VJDBCore!K$1 &amp; """", ""),
    IF(K261&lt;&gt;"", """" &amp; VJDBCore!L$1 &amp; """", ""),
    IF(L261&lt;&gt;"", """" &amp; VJDBCore!M$1 &amp; """", ""),    IF(M261&lt;&gt;"", """" &amp; VJDBCore!N$1 &amp; """", ""),    IF(N261&lt;&gt;"", """" &amp; VJDBCore!O$1 &amp; """", ""),     IF(O261&lt;&gt;"", """" &amp; VJDBCore!P$1 &amp; """", ""),     IF(O261&lt;&gt;"", """" &amp; VJDBCore!P$1 &amp; """", ""),     IF(P261&lt;&gt;"", """" &amp; VJDBCore!Q$1 &amp; """", ""),
    IF(Q265&lt;&gt;"", """" &amp; Q265 &amp; """", ""),
    IF(R261&lt;&gt;"", """" &amp; R261 &amp; """", ""),
    IF(S261&lt;&gt;"", """" &amp; S261 &amp; """", "")
) &amp; "]"</f>
        <v>[]</v>
      </c>
      <c r="U261" s="13"/>
      <c r="V261" s="13"/>
      <c r="W261" s="13"/>
      <c r="X261" s="13"/>
      <c r="Y261" s="13"/>
      <c r="Z261" s="13"/>
      <c r="AA261" s="13"/>
      <c r="AB261" s="13"/>
      <c r="AC261" s="13"/>
      <c r="AD261" s="13"/>
      <c r="AE261" s="13"/>
      <c r="AF261" s="13"/>
      <c r="AG261" s="13"/>
      <c r="AH261" s="13"/>
      <c r="AI261" s="13"/>
      <c r="AJ261" s="13"/>
      <c r="AK261" s="13"/>
      <c r="AL261" s="13"/>
      <c r="AM261" s="13"/>
      <c r="AN261" s="28"/>
    </row>
    <row r="262" spans="1:40" s="10" customFormat="1" ht="23.25" customHeight="1" thickBot="1">
      <c r="A262" s="4"/>
      <c r="B262" s="4"/>
      <c r="C262" s="4"/>
      <c r="D262" s="4"/>
      <c r="E262" s="15"/>
      <c r="F262" s="4"/>
      <c r="G262" s="4"/>
      <c r="H262" s="4"/>
      <c r="I262" s="4"/>
      <c r="J262" s="4"/>
      <c r="K262" s="4"/>
      <c r="L262" s="4"/>
      <c r="M262" s="4"/>
      <c r="N262" s="4"/>
      <c r="O262" s="6"/>
      <c r="P262" s="6"/>
      <c r="Q262" s="4"/>
      <c r="R262" s="7"/>
      <c r="S262" s="4"/>
      <c r="T262" s="3" t="str">
        <f>"[" &amp; _xlfn.TEXTJOIN(", ", TRUE,
    IF(H262&lt;&gt;"", """" &amp; VJDBCore!I$1 &amp; """", ""),
    IF(I262&lt;&gt;"", """" &amp; VJDBCore!J$1 &amp; """", ""),
    IF(J262&lt;&gt;"", """" &amp; VJDBCore!K$1 &amp; """", ""),
    IF(K262&lt;&gt;"", """" &amp; VJDBCore!L$1 &amp; """", ""),
    IF(L262&lt;&gt;"", """" &amp; VJDBCore!M$1 &amp; """", ""),    IF(M262&lt;&gt;"", """" &amp; VJDBCore!N$1 &amp; """", ""),    IF(N262&lt;&gt;"", """" &amp; VJDBCore!O$1 &amp; """", ""),     IF(O262&lt;&gt;"", """" &amp; VJDBCore!P$1 &amp; """", ""),     IF(O262&lt;&gt;"", """" &amp; VJDBCore!P$1 &amp; """", ""),     IF(P262&lt;&gt;"", """" &amp; VJDBCore!Q$1 &amp; """", ""),
    IF(Q266&lt;&gt;"", """" &amp; Q266 &amp; """", ""),
    IF(R262&lt;&gt;"", """" &amp; R262 &amp; """", ""),
    IF(S262&lt;&gt;"", """" &amp; S262 &amp; """", "")
) &amp; "]"</f>
        <v>[]</v>
      </c>
      <c r="U262" s="13"/>
      <c r="V262" s="13"/>
      <c r="W262" s="13"/>
      <c r="X262" s="13"/>
      <c r="Y262" s="13"/>
      <c r="Z262" s="13"/>
      <c r="AA262" s="13"/>
      <c r="AB262" s="13"/>
      <c r="AC262" s="13"/>
      <c r="AD262" s="13"/>
      <c r="AE262" s="13"/>
      <c r="AF262" s="13"/>
      <c r="AG262" s="13"/>
      <c r="AH262" s="13"/>
      <c r="AI262" s="13"/>
      <c r="AJ262" s="13"/>
      <c r="AK262" s="13"/>
      <c r="AL262" s="13"/>
      <c r="AM262" s="13"/>
      <c r="AN262" s="28"/>
    </row>
    <row r="263" spans="1:40" ht="23.25" customHeight="1" thickBot="1">
      <c r="A263" s="6"/>
      <c r="B263" s="6"/>
      <c r="C263" s="6"/>
      <c r="D263" s="6"/>
      <c r="E263" s="15"/>
      <c r="F263" s="6"/>
      <c r="G263" s="6"/>
      <c r="H263" s="6"/>
      <c r="I263" s="6"/>
      <c r="J263" s="6"/>
      <c r="K263" s="6"/>
      <c r="L263" s="6"/>
      <c r="M263" s="6"/>
      <c r="N263" s="6"/>
      <c r="O263" s="6"/>
      <c r="P263" s="6"/>
      <c r="Q263" s="4"/>
      <c r="R263" s="16"/>
      <c r="S263" s="6"/>
      <c r="T263" s="3" t="str">
        <f>"[" &amp; _xlfn.TEXTJOIN(", ", TRUE,
    IF(H263&lt;&gt;"", """" &amp; VJDBCore!I$1 &amp; """", ""),
    IF(I263&lt;&gt;"", """" &amp; VJDBCore!J$1 &amp; """", ""),
    IF(J263&lt;&gt;"", """" &amp; VJDBCore!K$1 &amp; """", ""),
    IF(K263&lt;&gt;"", """" &amp; VJDBCore!L$1 &amp; """", ""),
    IF(L263&lt;&gt;"", """" &amp; VJDBCore!M$1 &amp; """", ""),    IF(M263&lt;&gt;"", """" &amp; VJDBCore!N$1 &amp; """", ""),    IF(N263&lt;&gt;"", """" &amp; VJDBCore!O$1 &amp; """", ""),     IF(O263&lt;&gt;"", """" &amp; VJDBCore!P$1 &amp; """", ""),     IF(O263&lt;&gt;"", """" &amp; VJDBCore!P$1 &amp; """", ""),     IF(P263&lt;&gt;"", """" &amp; VJDBCore!Q$1 &amp; """", ""),
    IF(Q267&lt;&gt;"", """" &amp; Q267 &amp; """", ""),
    IF(R263&lt;&gt;"", """" &amp; R263 &amp; """", ""),
    IF(S263&lt;&gt;"", """" &amp; S263 &amp; """", "")
) &amp; "]"</f>
        <v>[]</v>
      </c>
      <c r="U263" s="13"/>
      <c r="V263" s="13"/>
      <c r="W263" s="13"/>
      <c r="X263" s="13"/>
      <c r="Y263" s="13"/>
      <c r="Z263" s="13"/>
      <c r="AA263" s="13"/>
      <c r="AB263" s="13"/>
      <c r="AC263" s="13"/>
      <c r="AD263" s="13"/>
      <c r="AE263" s="13"/>
      <c r="AF263" s="13"/>
      <c r="AG263" s="13"/>
      <c r="AH263" s="13"/>
      <c r="AI263" s="13"/>
      <c r="AJ263" s="13"/>
      <c r="AK263" s="13"/>
      <c r="AL263" s="13"/>
      <c r="AM263" s="13"/>
      <c r="AN263" s="28"/>
    </row>
    <row r="264" spans="1:40" ht="23.25" customHeight="1" thickBot="1">
      <c r="A264" s="6"/>
      <c r="B264" s="6"/>
      <c r="C264" s="6"/>
      <c r="D264" s="6"/>
      <c r="E264" s="15"/>
      <c r="F264" s="6"/>
      <c r="G264" s="6"/>
      <c r="H264" s="6"/>
      <c r="I264" s="6"/>
      <c r="J264" s="6"/>
      <c r="K264" s="6"/>
      <c r="L264" s="6"/>
      <c r="M264" s="6"/>
      <c r="N264" s="6"/>
      <c r="O264" s="6"/>
      <c r="P264" s="6"/>
      <c r="Q264" s="4"/>
      <c r="R264" s="16"/>
      <c r="S264" s="6"/>
      <c r="T264" s="3" t="str">
        <f>"[" &amp; _xlfn.TEXTJOIN(", ", TRUE,
    IF(H264&lt;&gt;"", """" &amp; VJDBCore!I$1 &amp; """", ""),
    IF(I264&lt;&gt;"", """" &amp; VJDBCore!J$1 &amp; """", ""),
    IF(J264&lt;&gt;"", """" &amp; VJDBCore!K$1 &amp; """", ""),
    IF(K264&lt;&gt;"", """" &amp; VJDBCore!L$1 &amp; """", ""),
    IF(L264&lt;&gt;"", """" &amp; VJDBCore!M$1 &amp; """", ""),    IF(M264&lt;&gt;"", """" &amp; VJDBCore!N$1 &amp; """", ""),    IF(N264&lt;&gt;"", """" &amp; VJDBCore!O$1 &amp; """", ""),     IF(O264&lt;&gt;"", """" &amp; VJDBCore!P$1 &amp; """", ""),     IF(O264&lt;&gt;"", """" &amp; VJDBCore!P$1 &amp; """", ""),     IF(P264&lt;&gt;"", """" &amp; VJDBCore!Q$1 &amp; """", ""),
    IF(Q268&lt;&gt;"", """" &amp; Q268 &amp; """", ""),
    IF(R264&lt;&gt;"", """" &amp; R264 &amp; """", ""),
    IF(S264&lt;&gt;"", """" &amp; S264 &amp; """", "")
) &amp; "]"</f>
        <v>[]</v>
      </c>
      <c r="U264" s="13"/>
      <c r="V264" s="13"/>
      <c r="W264" s="13"/>
      <c r="X264" s="13"/>
      <c r="Y264" s="13"/>
      <c r="Z264" s="13"/>
      <c r="AA264" s="13"/>
      <c r="AB264" s="13"/>
      <c r="AC264" s="13"/>
      <c r="AD264" s="13"/>
      <c r="AE264" s="13"/>
      <c r="AF264" s="13"/>
      <c r="AG264" s="13"/>
      <c r="AH264" s="13"/>
      <c r="AI264" s="13"/>
      <c r="AJ264" s="13"/>
      <c r="AK264" s="13"/>
      <c r="AL264" s="13"/>
      <c r="AM264" s="13"/>
      <c r="AN264" s="28"/>
    </row>
    <row r="265" spans="1:40" ht="23.25" customHeight="1" thickBot="1">
      <c r="A265" s="6"/>
      <c r="B265" s="6"/>
      <c r="C265" s="6"/>
      <c r="D265" s="6"/>
      <c r="E265" s="15"/>
      <c r="F265" s="6"/>
      <c r="G265" s="6"/>
      <c r="H265" s="6"/>
      <c r="I265" s="6"/>
      <c r="J265" s="6"/>
      <c r="K265" s="6"/>
      <c r="L265" s="6"/>
      <c r="M265" s="6"/>
      <c r="N265" s="6"/>
      <c r="O265" s="6"/>
      <c r="P265" s="6"/>
      <c r="Q265" s="4"/>
      <c r="R265" s="16"/>
      <c r="S265" s="6"/>
      <c r="T265" s="3" t="str">
        <f>"[" &amp; _xlfn.TEXTJOIN(", ", TRUE,
    IF(H265&lt;&gt;"", """" &amp; VJDBCore!I$1 &amp; """", ""),
    IF(I265&lt;&gt;"", """" &amp; VJDBCore!J$1 &amp; """", ""),
    IF(J265&lt;&gt;"", """" &amp; VJDBCore!K$1 &amp; """", ""),
    IF(K265&lt;&gt;"", """" &amp; VJDBCore!L$1 &amp; """", ""),
    IF(L265&lt;&gt;"", """" &amp; VJDBCore!M$1 &amp; """", ""),    IF(M265&lt;&gt;"", """" &amp; VJDBCore!N$1 &amp; """", ""),    IF(N265&lt;&gt;"", """" &amp; VJDBCore!O$1 &amp; """", ""),     IF(O265&lt;&gt;"", """" &amp; VJDBCore!P$1 &amp; """", ""),     IF(O265&lt;&gt;"", """" &amp; VJDBCore!P$1 &amp; """", ""),     IF(P265&lt;&gt;"", """" &amp; VJDBCore!Q$1 &amp; """", ""),
    IF(Q269&lt;&gt;"", """" &amp; Q269 &amp; """", ""),
    IF(R265&lt;&gt;"", """" &amp; R265 &amp; """", ""),
    IF(S265&lt;&gt;"", """" &amp; S265 &amp; """", "")
) &amp; "]"</f>
        <v>[]</v>
      </c>
      <c r="U265" s="13"/>
      <c r="V265" s="13"/>
      <c r="W265" s="13"/>
      <c r="X265" s="13"/>
      <c r="Y265" s="13"/>
      <c r="Z265" s="13"/>
      <c r="AA265" s="13"/>
      <c r="AB265" s="13"/>
      <c r="AC265" s="13"/>
      <c r="AD265" s="13"/>
      <c r="AE265" s="13"/>
      <c r="AF265" s="13"/>
      <c r="AG265" s="13"/>
      <c r="AH265" s="13"/>
      <c r="AI265" s="13"/>
      <c r="AJ265" s="13"/>
      <c r="AK265" s="13"/>
      <c r="AL265" s="13"/>
      <c r="AM265" s="13"/>
      <c r="AN265" s="28"/>
    </row>
    <row r="266" spans="1:40" ht="23.25" customHeight="1" thickBot="1">
      <c r="A266" s="6"/>
      <c r="B266" s="6"/>
      <c r="C266" s="6"/>
      <c r="D266" s="6"/>
      <c r="E266" s="15"/>
      <c r="F266" s="6"/>
      <c r="G266" s="6"/>
      <c r="H266" s="6"/>
      <c r="I266" s="6"/>
      <c r="J266" s="6"/>
      <c r="K266" s="6"/>
      <c r="L266" s="6"/>
      <c r="M266" s="6"/>
      <c r="N266" s="6"/>
      <c r="O266" s="6"/>
      <c r="P266" s="6"/>
      <c r="Q266" s="4"/>
      <c r="R266" s="16"/>
      <c r="S266" s="6"/>
      <c r="T266" s="3" t="str">
        <f>"[" &amp; _xlfn.TEXTJOIN(", ", TRUE,
    IF(H266&lt;&gt;"", """" &amp; VJDBCore!I$1 &amp; """", ""),
    IF(I266&lt;&gt;"", """" &amp; VJDBCore!J$1 &amp; """", ""),
    IF(J266&lt;&gt;"", """" &amp; VJDBCore!K$1 &amp; """", ""),
    IF(K266&lt;&gt;"", """" &amp; VJDBCore!L$1 &amp; """", ""),
    IF(L266&lt;&gt;"", """" &amp; VJDBCore!M$1 &amp; """", ""),    IF(M266&lt;&gt;"", """" &amp; VJDBCore!N$1 &amp; """", ""),    IF(N266&lt;&gt;"", """" &amp; VJDBCore!O$1 &amp; """", ""),     IF(O266&lt;&gt;"", """" &amp; VJDBCore!P$1 &amp; """", ""),     IF(O266&lt;&gt;"", """" &amp; VJDBCore!P$1 &amp; """", ""),     IF(P266&lt;&gt;"", """" &amp; VJDBCore!Q$1 &amp; """", ""),
    IF(Q270&lt;&gt;"", """" &amp; Q270 &amp; """", ""),
    IF(R266&lt;&gt;"", """" &amp; R266 &amp; """", ""),
    IF(S266&lt;&gt;"", """" &amp; S266 &amp; """", "")
) &amp; "]"</f>
        <v>[]</v>
      </c>
      <c r="U266" s="13"/>
      <c r="V266" s="13"/>
      <c r="W266" s="13"/>
      <c r="X266" s="13"/>
      <c r="Y266" s="13"/>
      <c r="Z266" s="13"/>
      <c r="AA266" s="13"/>
      <c r="AB266" s="13"/>
      <c r="AC266" s="13"/>
      <c r="AD266" s="13"/>
      <c r="AE266" s="13"/>
      <c r="AF266" s="13"/>
      <c r="AG266" s="13"/>
      <c r="AH266" s="13"/>
      <c r="AI266" s="13"/>
      <c r="AJ266" s="13"/>
      <c r="AK266" s="13"/>
      <c r="AL266" s="13"/>
      <c r="AM266" s="13"/>
      <c r="AN266" s="28"/>
    </row>
    <row r="267" spans="1:40" ht="23.25" customHeight="1" thickBot="1">
      <c r="A267" s="6"/>
      <c r="B267" s="6"/>
      <c r="C267" s="6"/>
      <c r="D267" s="6"/>
      <c r="E267" s="15"/>
      <c r="F267" s="6"/>
      <c r="G267" s="6"/>
      <c r="H267" s="6"/>
      <c r="I267" s="6"/>
      <c r="J267" s="6"/>
      <c r="K267" s="6"/>
      <c r="L267" s="6"/>
      <c r="M267" s="6"/>
      <c r="N267" s="6"/>
      <c r="O267" s="6"/>
      <c r="P267" s="6"/>
      <c r="Q267" s="6"/>
      <c r="R267" s="16"/>
      <c r="S267" s="6"/>
      <c r="T267" s="3" t="str">
        <f>"[" &amp; _xlfn.TEXTJOIN(", ", TRUE,
    IF(H267&lt;&gt;"", """" &amp; VJDBCore!I$1 &amp; """", ""),
    IF(I267&lt;&gt;"", """" &amp; VJDBCore!J$1 &amp; """", ""),
    IF(J267&lt;&gt;"", """" &amp; VJDBCore!K$1 &amp; """", ""),
    IF(K267&lt;&gt;"", """" &amp; VJDBCore!L$1 &amp; """", ""),
    IF(L267&lt;&gt;"", """" &amp; VJDBCore!M$1 &amp; """", ""),    IF(M267&lt;&gt;"", """" &amp; VJDBCore!N$1 &amp; """", ""),    IF(N267&lt;&gt;"", """" &amp; VJDBCore!O$1 &amp; """", ""),     IF(O267&lt;&gt;"", """" &amp; VJDBCore!P$1 &amp; """", ""),     IF(O267&lt;&gt;"", """" &amp; VJDBCore!P$1 &amp; """", ""),     IF(P267&lt;&gt;"", """" &amp; VJDBCore!Q$1 &amp; """", ""),
    IF(Q271&lt;&gt;"", """" &amp; Q271 &amp; """", ""),
    IF(R267&lt;&gt;"", """" &amp; R267 &amp; """", ""),
    IF(S267&lt;&gt;"", """" &amp; S267 &amp; """", "")
) &amp; "]"</f>
        <v>[]</v>
      </c>
      <c r="U267" s="13"/>
      <c r="V267" s="13"/>
      <c r="W267" s="13"/>
      <c r="X267" s="13"/>
      <c r="Y267" s="13"/>
      <c r="Z267" s="13"/>
      <c r="AA267" s="13"/>
      <c r="AB267" s="13"/>
      <c r="AC267" s="13"/>
      <c r="AD267" s="13"/>
      <c r="AE267" s="13"/>
      <c r="AF267" s="13"/>
      <c r="AG267" s="13"/>
      <c r="AH267" s="13"/>
      <c r="AI267" s="13"/>
      <c r="AJ267" s="13"/>
      <c r="AK267" s="13"/>
      <c r="AL267" s="13"/>
      <c r="AM267" s="13"/>
      <c r="AN267" s="28"/>
    </row>
    <row r="268" spans="1:40" ht="23.25" customHeight="1" thickBot="1">
      <c r="A268" s="6"/>
      <c r="B268" s="6"/>
      <c r="C268" s="6"/>
      <c r="D268" s="6"/>
      <c r="E268" s="15"/>
      <c r="F268" s="6"/>
      <c r="G268" s="6"/>
      <c r="H268" s="6"/>
      <c r="I268" s="6"/>
      <c r="J268" s="6"/>
      <c r="K268" s="6"/>
      <c r="L268" s="6"/>
      <c r="M268" s="6"/>
      <c r="N268" s="6"/>
      <c r="O268" s="6"/>
      <c r="P268" s="6"/>
      <c r="Q268" s="6"/>
      <c r="R268" s="16"/>
      <c r="S268" s="6"/>
      <c r="U268" s="13"/>
      <c r="V268" s="13"/>
      <c r="W268" s="13"/>
      <c r="X268" s="13"/>
      <c r="Y268" s="13"/>
      <c r="Z268" s="13"/>
      <c r="AA268" s="13"/>
      <c r="AB268" s="13"/>
      <c r="AC268" s="13"/>
      <c r="AD268" s="13"/>
      <c r="AE268" s="13"/>
      <c r="AF268" s="13"/>
      <c r="AG268" s="13"/>
      <c r="AH268" s="13"/>
      <c r="AI268" s="13"/>
      <c r="AJ268" s="13"/>
      <c r="AK268" s="13"/>
      <c r="AL268" s="13"/>
      <c r="AM268" s="13"/>
      <c r="AN268" s="28"/>
    </row>
    <row r="269" spans="1:40" ht="23.25" customHeight="1" thickBot="1">
      <c r="A269" s="6"/>
      <c r="B269" s="6"/>
      <c r="C269" s="6"/>
      <c r="D269" s="6"/>
      <c r="E269" s="15"/>
      <c r="F269" s="6"/>
      <c r="G269" s="6"/>
      <c r="H269" s="6"/>
      <c r="I269" s="6"/>
      <c r="J269" s="6"/>
      <c r="K269" s="6"/>
      <c r="L269" s="6"/>
      <c r="M269" s="6"/>
      <c r="N269" s="6"/>
      <c r="O269" s="6"/>
      <c r="P269" s="6"/>
      <c r="Q269" s="6"/>
      <c r="R269" s="16"/>
      <c r="S269" s="6"/>
      <c r="U269" s="13"/>
      <c r="V269" s="13"/>
      <c r="W269" s="13"/>
      <c r="X269" s="13"/>
      <c r="Y269" s="13"/>
      <c r="Z269" s="13"/>
      <c r="AA269" s="13"/>
      <c r="AB269" s="13"/>
      <c r="AC269" s="13"/>
      <c r="AD269" s="13"/>
      <c r="AE269" s="13"/>
      <c r="AF269" s="13"/>
      <c r="AG269" s="13"/>
      <c r="AH269" s="13"/>
      <c r="AI269" s="13"/>
      <c r="AJ269" s="13"/>
      <c r="AK269" s="13"/>
      <c r="AL269" s="13"/>
      <c r="AM269" s="13"/>
      <c r="AN269" s="28"/>
    </row>
    <row r="270" spans="1:40" ht="23.25" customHeight="1" thickBot="1">
      <c r="A270" s="6"/>
      <c r="B270" s="6"/>
      <c r="C270" s="6"/>
      <c r="D270" s="6"/>
      <c r="E270" s="15"/>
      <c r="F270" s="6"/>
      <c r="G270" s="6"/>
      <c r="H270" s="6"/>
      <c r="I270" s="6"/>
      <c r="J270" s="6"/>
      <c r="K270" s="6"/>
      <c r="L270" s="6"/>
      <c r="M270" s="6"/>
      <c r="N270" s="6"/>
      <c r="O270" s="6"/>
      <c r="P270" s="6"/>
      <c r="Q270" s="6"/>
      <c r="R270" s="16"/>
      <c r="S270" s="6"/>
      <c r="U270" s="13"/>
      <c r="V270" s="13"/>
      <c r="W270" s="13"/>
      <c r="X270" s="13"/>
      <c r="Y270" s="13"/>
      <c r="Z270" s="13"/>
      <c r="AA270" s="13"/>
      <c r="AB270" s="13"/>
      <c r="AC270" s="13"/>
      <c r="AD270" s="13"/>
      <c r="AE270" s="13"/>
      <c r="AF270" s="13"/>
      <c r="AG270" s="13"/>
      <c r="AH270" s="13"/>
      <c r="AI270" s="13"/>
      <c r="AJ270" s="13"/>
      <c r="AK270" s="13"/>
      <c r="AL270" s="13"/>
      <c r="AM270" s="13"/>
      <c r="AN270" s="28"/>
    </row>
    <row r="271" spans="1:40" ht="23.25" customHeight="1" thickBot="1">
      <c r="A271" s="6"/>
      <c r="B271" s="6"/>
      <c r="C271" s="6"/>
      <c r="D271" s="6"/>
      <c r="E271" s="15"/>
      <c r="F271" s="6"/>
      <c r="G271" s="6"/>
      <c r="H271" s="6"/>
      <c r="I271" s="6"/>
      <c r="J271" s="6"/>
      <c r="K271" s="6"/>
      <c r="L271" s="6"/>
      <c r="M271" s="6"/>
      <c r="N271" s="6"/>
      <c r="O271" s="6"/>
      <c r="P271" s="6"/>
      <c r="Q271" s="6"/>
      <c r="R271" s="16"/>
      <c r="S271" s="6"/>
      <c r="U271" s="13"/>
      <c r="V271" s="13"/>
      <c r="W271" s="13"/>
      <c r="X271" s="13"/>
      <c r="Y271" s="13"/>
      <c r="Z271" s="13"/>
      <c r="AA271" s="13"/>
      <c r="AB271" s="13"/>
      <c r="AC271" s="13"/>
      <c r="AD271" s="13"/>
      <c r="AE271" s="13"/>
      <c r="AF271" s="13"/>
      <c r="AG271" s="13"/>
      <c r="AH271" s="13"/>
      <c r="AI271" s="13"/>
      <c r="AJ271" s="13"/>
      <c r="AK271" s="13"/>
      <c r="AL271" s="13"/>
      <c r="AM271" s="13"/>
      <c r="AN271" s="28"/>
    </row>
    <row r="272" spans="1:40" ht="23.25" customHeight="1" thickBot="1">
      <c r="A272" s="6"/>
      <c r="B272" s="6"/>
      <c r="C272" s="6"/>
      <c r="D272" s="6"/>
      <c r="E272" s="15"/>
      <c r="F272" s="6"/>
      <c r="G272" s="6"/>
      <c r="H272" s="6"/>
      <c r="I272" s="6"/>
      <c r="J272" s="6"/>
      <c r="K272" s="6"/>
      <c r="L272" s="6"/>
      <c r="M272" s="6"/>
      <c r="N272" s="6"/>
      <c r="O272" s="6"/>
      <c r="P272" s="6"/>
      <c r="Q272" s="6"/>
      <c r="R272" s="16"/>
      <c r="S272" s="6"/>
      <c r="U272" s="13"/>
      <c r="V272" s="13"/>
      <c r="W272" s="13"/>
      <c r="X272" s="13"/>
      <c r="Y272" s="13"/>
      <c r="Z272" s="13"/>
      <c r="AA272" s="13"/>
      <c r="AB272" s="13"/>
      <c r="AC272" s="13"/>
      <c r="AD272" s="13"/>
      <c r="AE272" s="13"/>
      <c r="AF272" s="13"/>
      <c r="AG272" s="13"/>
      <c r="AH272" s="13"/>
      <c r="AI272" s="13"/>
      <c r="AJ272" s="13"/>
      <c r="AK272" s="13"/>
      <c r="AL272" s="13"/>
      <c r="AM272" s="13"/>
      <c r="AN272" s="28"/>
    </row>
    <row r="273" spans="1:40" ht="23.25" customHeight="1" thickBot="1">
      <c r="A273" s="6"/>
      <c r="B273" s="6"/>
      <c r="C273" s="6"/>
      <c r="D273" s="6"/>
      <c r="E273" s="15"/>
      <c r="F273" s="6"/>
      <c r="G273" s="6"/>
      <c r="H273" s="6"/>
      <c r="I273" s="6"/>
      <c r="J273" s="6"/>
      <c r="K273" s="6"/>
      <c r="L273" s="6"/>
      <c r="M273" s="6"/>
      <c r="N273" s="6"/>
      <c r="O273" s="6"/>
      <c r="P273" s="6"/>
      <c r="Q273" s="6"/>
      <c r="R273" s="16"/>
      <c r="S273" s="6"/>
      <c r="U273" s="13"/>
      <c r="V273" s="13"/>
      <c r="W273" s="13"/>
      <c r="X273" s="13"/>
      <c r="Y273" s="13"/>
      <c r="Z273" s="13"/>
      <c r="AA273" s="13"/>
      <c r="AB273" s="13"/>
      <c r="AC273" s="13"/>
      <c r="AD273" s="13"/>
      <c r="AE273" s="13"/>
      <c r="AF273" s="13"/>
      <c r="AG273" s="13"/>
      <c r="AH273" s="13"/>
      <c r="AI273" s="13"/>
      <c r="AJ273" s="13"/>
      <c r="AK273" s="13"/>
      <c r="AL273" s="13"/>
      <c r="AM273" s="13"/>
      <c r="AN273" s="28"/>
    </row>
    <row r="274" spans="1:40" ht="23.25" customHeight="1" thickBot="1">
      <c r="A274" s="6"/>
      <c r="B274" s="6"/>
      <c r="C274" s="6"/>
      <c r="D274" s="6"/>
      <c r="E274" s="15"/>
      <c r="F274" s="6"/>
      <c r="G274" s="6"/>
      <c r="H274" s="6"/>
      <c r="I274" s="6"/>
      <c r="J274" s="6"/>
      <c r="K274" s="6"/>
      <c r="L274" s="6"/>
      <c r="M274" s="6"/>
      <c r="N274" s="6"/>
      <c r="O274" s="6"/>
      <c r="P274" s="6"/>
      <c r="Q274" s="6"/>
      <c r="R274" s="16"/>
      <c r="S274" s="6"/>
      <c r="U274" s="13"/>
      <c r="V274" s="13"/>
      <c r="W274" s="13"/>
      <c r="X274" s="13"/>
      <c r="Y274" s="13"/>
      <c r="Z274" s="13"/>
      <c r="AA274" s="13"/>
      <c r="AB274" s="13"/>
      <c r="AC274" s="13"/>
      <c r="AD274" s="13"/>
      <c r="AE274" s="13"/>
      <c r="AF274" s="13"/>
      <c r="AG274" s="13"/>
      <c r="AH274" s="13"/>
      <c r="AI274" s="13"/>
      <c r="AJ274" s="13"/>
      <c r="AK274" s="13"/>
      <c r="AL274" s="13"/>
      <c r="AM274" s="13"/>
      <c r="AN274" s="28"/>
    </row>
    <row r="275" spans="1:40" ht="23.25" customHeight="1" thickBot="1">
      <c r="A275" s="6"/>
      <c r="B275" s="6"/>
      <c r="C275" s="6"/>
      <c r="D275" s="6"/>
      <c r="E275" s="15"/>
      <c r="F275" s="6"/>
      <c r="G275" s="6"/>
      <c r="H275" s="6"/>
      <c r="I275" s="6"/>
      <c r="J275" s="6"/>
      <c r="K275" s="6"/>
      <c r="L275" s="6"/>
      <c r="M275" s="6"/>
      <c r="N275" s="6"/>
      <c r="O275" s="6"/>
      <c r="P275" s="6"/>
      <c r="Q275" s="6"/>
      <c r="R275" s="16"/>
      <c r="S275" s="6"/>
      <c r="U275" s="13"/>
      <c r="V275" s="13"/>
      <c r="W275" s="13"/>
      <c r="X275" s="13"/>
      <c r="Y275" s="13"/>
      <c r="Z275" s="13"/>
      <c r="AA275" s="13"/>
      <c r="AB275" s="13"/>
      <c r="AC275" s="13"/>
      <c r="AD275" s="13"/>
      <c r="AE275" s="13"/>
      <c r="AF275" s="13"/>
      <c r="AG275" s="13"/>
      <c r="AH275" s="13"/>
      <c r="AI275" s="13"/>
      <c r="AJ275" s="13"/>
      <c r="AK275" s="13"/>
      <c r="AL275" s="13"/>
      <c r="AM275" s="13"/>
      <c r="AN275" s="28"/>
    </row>
    <row r="276" spans="1:40" ht="23.25" customHeight="1" thickBot="1">
      <c r="A276" s="6"/>
      <c r="B276" s="6"/>
      <c r="C276" s="6"/>
      <c r="D276" s="6"/>
      <c r="E276" s="15"/>
      <c r="F276" s="6"/>
      <c r="G276" s="6"/>
      <c r="H276" s="6"/>
      <c r="I276" s="6"/>
      <c r="J276" s="6"/>
      <c r="K276" s="6"/>
      <c r="L276" s="6"/>
      <c r="M276" s="6"/>
      <c r="N276" s="6"/>
      <c r="O276" s="6"/>
      <c r="P276" s="6"/>
      <c r="Q276" s="6"/>
      <c r="R276" s="16"/>
      <c r="S276" s="6"/>
      <c r="U276" s="13"/>
      <c r="V276" s="13"/>
      <c r="W276" s="13"/>
      <c r="X276" s="13"/>
      <c r="Y276" s="13"/>
      <c r="Z276" s="13"/>
      <c r="AA276" s="13"/>
      <c r="AB276" s="13"/>
      <c r="AC276" s="13"/>
      <c r="AD276" s="13"/>
      <c r="AE276" s="13"/>
      <c r="AF276" s="13"/>
      <c r="AG276" s="13"/>
      <c r="AH276" s="13"/>
      <c r="AI276" s="13"/>
      <c r="AJ276" s="13"/>
      <c r="AK276" s="13"/>
      <c r="AL276" s="13"/>
      <c r="AM276" s="13"/>
      <c r="AN276" s="28"/>
    </row>
    <row r="277" spans="1:40" ht="23.25" customHeight="1" thickBot="1">
      <c r="A277" s="6"/>
      <c r="B277" s="6"/>
      <c r="C277" s="6"/>
      <c r="D277" s="6"/>
      <c r="E277" s="15"/>
      <c r="F277" s="6"/>
      <c r="G277" s="6"/>
      <c r="H277" s="6"/>
      <c r="I277" s="6"/>
      <c r="J277" s="6"/>
      <c r="K277" s="6"/>
      <c r="L277" s="6"/>
      <c r="M277" s="6"/>
      <c r="N277" s="6"/>
      <c r="O277" s="6"/>
      <c r="P277" s="6"/>
      <c r="Q277" s="6"/>
      <c r="R277" s="16"/>
      <c r="S277" s="6"/>
      <c r="U277" s="13"/>
      <c r="V277" s="13"/>
      <c r="W277" s="13"/>
      <c r="X277" s="13"/>
      <c r="Y277" s="13"/>
      <c r="Z277" s="13"/>
      <c r="AA277" s="13"/>
      <c r="AB277" s="13"/>
      <c r="AC277" s="13"/>
      <c r="AD277" s="13"/>
      <c r="AE277" s="13"/>
      <c r="AF277" s="13"/>
      <c r="AG277" s="13"/>
      <c r="AH277" s="13"/>
      <c r="AI277" s="13"/>
      <c r="AJ277" s="13"/>
      <c r="AK277" s="13"/>
      <c r="AL277" s="13"/>
      <c r="AM277" s="13"/>
      <c r="AN277" s="28"/>
    </row>
    <row r="278" spans="1:40" ht="23.25" customHeight="1" thickBot="1">
      <c r="A278" s="6"/>
      <c r="B278" s="6"/>
      <c r="C278" s="6"/>
      <c r="D278" s="6"/>
      <c r="E278" s="15"/>
      <c r="F278" s="6"/>
      <c r="G278" s="6"/>
      <c r="H278" s="6"/>
      <c r="I278" s="6"/>
      <c r="J278" s="6"/>
      <c r="K278" s="6"/>
      <c r="L278" s="6"/>
      <c r="M278" s="6"/>
      <c r="N278" s="6"/>
      <c r="O278" s="6"/>
      <c r="P278" s="6"/>
      <c r="Q278" s="6"/>
      <c r="R278" s="16"/>
      <c r="S278" s="6"/>
      <c r="U278" s="13"/>
      <c r="V278" s="13"/>
      <c r="W278" s="13"/>
      <c r="X278" s="13"/>
      <c r="Y278" s="13"/>
      <c r="Z278" s="13"/>
      <c r="AA278" s="13"/>
      <c r="AB278" s="13"/>
      <c r="AC278" s="13"/>
      <c r="AD278" s="13"/>
      <c r="AE278" s="13"/>
      <c r="AF278" s="13"/>
      <c r="AG278" s="13"/>
      <c r="AH278" s="13"/>
      <c r="AI278" s="13"/>
      <c r="AJ278" s="13"/>
      <c r="AK278" s="13"/>
      <c r="AL278" s="13"/>
      <c r="AM278" s="13"/>
      <c r="AN278" s="28"/>
    </row>
    <row r="279" spans="1:40" ht="23.25" customHeight="1" thickBot="1">
      <c r="A279" s="6"/>
      <c r="B279" s="6"/>
      <c r="C279" s="6"/>
      <c r="D279" s="6"/>
      <c r="E279" s="15"/>
      <c r="F279" s="6"/>
      <c r="G279" s="6"/>
      <c r="H279" s="6"/>
      <c r="I279" s="6"/>
      <c r="J279" s="6"/>
      <c r="K279" s="6"/>
      <c r="L279" s="6"/>
      <c r="M279" s="6"/>
      <c r="N279" s="6"/>
      <c r="O279" s="6"/>
      <c r="P279" s="6"/>
      <c r="Q279" s="6"/>
      <c r="R279" s="16"/>
      <c r="S279" s="6"/>
      <c r="U279" s="13"/>
      <c r="V279" s="13"/>
      <c r="W279" s="13"/>
      <c r="X279" s="13"/>
      <c r="Y279" s="13"/>
      <c r="Z279" s="13"/>
      <c r="AA279" s="13"/>
      <c r="AB279" s="13"/>
      <c r="AC279" s="13"/>
      <c r="AD279" s="13"/>
      <c r="AE279" s="13"/>
      <c r="AF279" s="13"/>
      <c r="AG279" s="13"/>
      <c r="AH279" s="13"/>
      <c r="AI279" s="13"/>
      <c r="AJ279" s="13"/>
      <c r="AK279" s="13"/>
      <c r="AL279" s="13"/>
      <c r="AM279" s="13"/>
      <c r="AN279" s="28"/>
    </row>
    <row r="280" spans="1:40" ht="23.25" customHeight="1" thickBot="1">
      <c r="A280" s="6"/>
      <c r="B280" s="6"/>
      <c r="C280" s="6"/>
      <c r="D280" s="6"/>
      <c r="E280" s="15"/>
      <c r="F280" s="6"/>
      <c r="G280" s="6"/>
      <c r="H280" s="6"/>
      <c r="I280" s="6"/>
      <c r="J280" s="6"/>
      <c r="K280" s="6"/>
      <c r="L280" s="6"/>
      <c r="M280" s="6"/>
      <c r="N280" s="6"/>
      <c r="O280" s="6"/>
      <c r="P280" s="6"/>
      <c r="Q280" s="6"/>
      <c r="R280" s="16"/>
      <c r="S280" s="6"/>
      <c r="U280" s="13"/>
      <c r="V280" s="13"/>
      <c r="W280" s="13"/>
      <c r="X280" s="13"/>
      <c r="Y280" s="13"/>
      <c r="Z280" s="13"/>
      <c r="AA280" s="13"/>
      <c r="AB280" s="13"/>
      <c r="AC280" s="13"/>
      <c r="AD280" s="13"/>
      <c r="AE280" s="13"/>
      <c r="AF280" s="13"/>
      <c r="AG280" s="13"/>
      <c r="AH280" s="13"/>
      <c r="AI280" s="13"/>
      <c r="AJ280" s="13"/>
      <c r="AK280" s="13"/>
      <c r="AL280" s="13"/>
      <c r="AM280" s="13"/>
      <c r="AN280" s="28"/>
    </row>
    <row r="281" spans="1:40" ht="23.25" customHeight="1" thickBot="1">
      <c r="A281" s="6"/>
      <c r="B281" s="6"/>
      <c r="C281" s="6"/>
      <c r="D281" s="6"/>
      <c r="E281" s="15"/>
      <c r="F281" s="6"/>
      <c r="G281" s="6"/>
      <c r="H281" s="6"/>
      <c r="I281" s="6"/>
      <c r="J281" s="6"/>
      <c r="K281" s="6"/>
      <c r="L281" s="6"/>
      <c r="M281" s="6"/>
      <c r="N281" s="6"/>
      <c r="O281" s="6"/>
      <c r="P281" s="6"/>
      <c r="Q281" s="6"/>
      <c r="R281" s="16"/>
      <c r="S281" s="6"/>
      <c r="U281" s="13"/>
      <c r="V281" s="13"/>
      <c r="W281" s="13"/>
      <c r="X281" s="13"/>
      <c r="Y281" s="13"/>
      <c r="Z281" s="13"/>
      <c r="AA281" s="13"/>
      <c r="AB281" s="13"/>
      <c r="AC281" s="13"/>
      <c r="AD281" s="13"/>
      <c r="AE281" s="13"/>
      <c r="AF281" s="13"/>
      <c r="AG281" s="13"/>
      <c r="AH281" s="13"/>
      <c r="AI281" s="13"/>
      <c r="AJ281" s="13"/>
      <c r="AK281" s="13"/>
      <c r="AL281" s="13"/>
      <c r="AM281" s="13"/>
      <c r="AN281" s="28"/>
    </row>
    <row r="282" spans="1:40" ht="23.25" customHeight="1" thickBot="1">
      <c r="A282" s="6"/>
      <c r="B282" s="6"/>
      <c r="C282" s="6"/>
      <c r="D282" s="6"/>
      <c r="E282" s="15"/>
      <c r="F282" s="6"/>
      <c r="G282" s="6"/>
      <c r="H282" s="6"/>
      <c r="I282" s="6"/>
      <c r="J282" s="6"/>
      <c r="K282" s="6"/>
      <c r="L282" s="6"/>
      <c r="M282" s="6"/>
      <c r="N282" s="6"/>
      <c r="O282" s="6"/>
      <c r="P282" s="6"/>
      <c r="Q282" s="6"/>
      <c r="R282" s="16"/>
      <c r="S282" s="6"/>
      <c r="U282" s="13"/>
      <c r="V282" s="13"/>
      <c r="W282" s="13"/>
      <c r="X282" s="13"/>
      <c r="Y282" s="13"/>
      <c r="Z282" s="13"/>
      <c r="AA282" s="13"/>
      <c r="AB282" s="13"/>
      <c r="AC282" s="13"/>
      <c r="AD282" s="13"/>
      <c r="AE282" s="13"/>
      <c r="AF282" s="13"/>
      <c r="AG282" s="13"/>
      <c r="AH282" s="13"/>
      <c r="AI282" s="13"/>
      <c r="AJ282" s="13"/>
      <c r="AK282" s="13"/>
      <c r="AL282" s="13"/>
      <c r="AM282" s="13"/>
      <c r="AN282" s="28"/>
    </row>
    <row r="283" spans="1:40" ht="23.25" customHeight="1" thickBot="1">
      <c r="A283" s="6"/>
      <c r="B283" s="6"/>
      <c r="C283" s="6"/>
      <c r="D283" s="6"/>
      <c r="E283" s="15"/>
      <c r="F283" s="6"/>
      <c r="G283" s="6"/>
      <c r="H283" s="6"/>
      <c r="I283" s="6"/>
      <c r="J283" s="6"/>
      <c r="K283" s="6"/>
      <c r="L283" s="6"/>
      <c r="M283" s="6"/>
      <c r="N283" s="6"/>
      <c r="O283" s="6"/>
      <c r="P283" s="6"/>
      <c r="Q283" s="6"/>
      <c r="R283" s="16"/>
      <c r="S283" s="6"/>
      <c r="U283" s="13"/>
      <c r="V283" s="13"/>
      <c r="W283" s="13"/>
      <c r="X283" s="13"/>
      <c r="Y283" s="13"/>
      <c r="Z283" s="13"/>
      <c r="AA283" s="13"/>
      <c r="AB283" s="13"/>
      <c r="AC283" s="13"/>
      <c r="AD283" s="13"/>
      <c r="AE283" s="13"/>
      <c r="AF283" s="13"/>
      <c r="AG283" s="13"/>
      <c r="AH283" s="13"/>
      <c r="AI283" s="13"/>
      <c r="AJ283" s="13"/>
      <c r="AK283" s="13"/>
      <c r="AL283" s="13"/>
      <c r="AM283" s="13"/>
      <c r="AN283" s="28"/>
    </row>
    <row r="284" spans="1:40" ht="23.25" customHeight="1" thickBot="1">
      <c r="A284" s="6"/>
      <c r="B284" s="6"/>
      <c r="C284" s="6"/>
      <c r="D284" s="6"/>
      <c r="E284" s="15"/>
      <c r="F284" s="6"/>
      <c r="G284" s="6"/>
      <c r="H284" s="6"/>
      <c r="I284" s="6"/>
      <c r="J284" s="6"/>
      <c r="K284" s="6"/>
      <c r="L284" s="6"/>
      <c r="M284" s="6"/>
      <c r="N284" s="6"/>
      <c r="O284" s="6"/>
      <c r="P284" s="6"/>
      <c r="Q284" s="6"/>
      <c r="R284" s="16"/>
      <c r="S284" s="6"/>
      <c r="U284" s="13"/>
      <c r="V284" s="13"/>
      <c r="W284" s="13"/>
      <c r="X284" s="13"/>
      <c r="Y284" s="13"/>
      <c r="Z284" s="13"/>
      <c r="AA284" s="13"/>
      <c r="AB284" s="13"/>
      <c r="AC284" s="13"/>
      <c r="AD284" s="13"/>
      <c r="AE284" s="13"/>
      <c r="AF284" s="13"/>
      <c r="AG284" s="13"/>
      <c r="AH284" s="13"/>
      <c r="AI284" s="13"/>
      <c r="AJ284" s="13"/>
      <c r="AK284" s="13"/>
      <c r="AL284" s="13"/>
      <c r="AM284" s="13"/>
      <c r="AN284" s="28"/>
    </row>
    <row r="285" spans="1:40" ht="23.25" customHeight="1" thickBot="1">
      <c r="A285" s="6"/>
      <c r="B285" s="6"/>
      <c r="C285" s="6"/>
      <c r="D285" s="6"/>
      <c r="E285" s="15"/>
      <c r="F285" s="6"/>
      <c r="G285" s="6"/>
      <c r="H285" s="6"/>
      <c r="I285" s="6"/>
      <c r="J285" s="6"/>
      <c r="K285" s="6"/>
      <c r="L285" s="6"/>
      <c r="M285" s="6"/>
      <c r="N285" s="6"/>
      <c r="O285" s="6"/>
      <c r="P285" s="6"/>
      <c r="Q285" s="6"/>
      <c r="R285" s="16"/>
      <c r="S285" s="6"/>
      <c r="U285" s="13"/>
      <c r="V285" s="13"/>
      <c r="W285" s="13"/>
      <c r="X285" s="13"/>
      <c r="Y285" s="13"/>
      <c r="Z285" s="13"/>
      <c r="AA285" s="13"/>
      <c r="AB285" s="13"/>
      <c r="AC285" s="13"/>
      <c r="AD285" s="13"/>
      <c r="AE285" s="13"/>
      <c r="AF285" s="13"/>
      <c r="AG285" s="13"/>
      <c r="AH285" s="13"/>
      <c r="AI285" s="13"/>
      <c r="AJ285" s="13"/>
      <c r="AK285" s="13"/>
      <c r="AL285" s="13"/>
      <c r="AM285" s="13"/>
      <c r="AN285" s="28"/>
    </row>
    <row r="286" spans="1:40" ht="23.25" customHeight="1" thickBot="1">
      <c r="A286" s="6"/>
      <c r="B286" s="6"/>
      <c r="C286" s="6"/>
      <c r="D286" s="6"/>
      <c r="E286" s="15"/>
      <c r="F286" s="6"/>
      <c r="G286" s="6"/>
      <c r="H286" s="6"/>
      <c r="I286" s="6"/>
      <c r="J286" s="6"/>
      <c r="K286" s="6"/>
      <c r="L286" s="6"/>
      <c r="M286" s="6"/>
      <c r="N286" s="6"/>
      <c r="O286" s="6"/>
      <c r="P286" s="6"/>
      <c r="Q286" s="6"/>
      <c r="R286" s="16"/>
      <c r="S286" s="6"/>
      <c r="U286" s="13"/>
      <c r="V286" s="13"/>
      <c r="W286" s="13"/>
      <c r="X286" s="13"/>
      <c r="Y286" s="13"/>
      <c r="Z286" s="13"/>
      <c r="AA286" s="13"/>
      <c r="AB286" s="13"/>
      <c r="AC286" s="13"/>
      <c r="AD286" s="13"/>
      <c r="AE286" s="13"/>
      <c r="AF286" s="13"/>
      <c r="AG286" s="13"/>
      <c r="AH286" s="13"/>
      <c r="AI286" s="13"/>
      <c r="AJ286" s="13"/>
      <c r="AK286" s="13"/>
      <c r="AL286" s="13"/>
      <c r="AM286" s="13"/>
      <c r="AN286" s="28"/>
    </row>
    <row r="287" spans="1:40" ht="23.25" customHeight="1" thickBot="1">
      <c r="A287" s="6"/>
      <c r="B287" s="6"/>
      <c r="C287" s="6"/>
      <c r="D287" s="6"/>
      <c r="E287" s="15"/>
      <c r="F287" s="6"/>
      <c r="G287" s="6"/>
      <c r="H287" s="6"/>
      <c r="I287" s="6"/>
      <c r="J287" s="6"/>
      <c r="K287" s="6"/>
      <c r="L287" s="6"/>
      <c r="M287" s="6"/>
      <c r="N287" s="6"/>
      <c r="O287" s="6"/>
      <c r="P287" s="6"/>
      <c r="Q287" s="6"/>
      <c r="R287" s="16"/>
      <c r="S287" s="6"/>
      <c r="U287" s="13"/>
      <c r="V287" s="13"/>
      <c r="W287" s="13"/>
      <c r="X287" s="13"/>
      <c r="Y287" s="13"/>
      <c r="Z287" s="13"/>
      <c r="AA287" s="13"/>
      <c r="AB287" s="13"/>
      <c r="AC287" s="13"/>
      <c r="AD287" s="13"/>
      <c r="AE287" s="13"/>
      <c r="AF287" s="13"/>
      <c r="AG287" s="13"/>
      <c r="AH287" s="13"/>
      <c r="AI287" s="13"/>
      <c r="AJ287" s="13"/>
      <c r="AK287" s="13"/>
      <c r="AL287" s="13"/>
      <c r="AM287" s="13"/>
      <c r="AN287" s="28"/>
    </row>
    <row r="288" spans="1:40" ht="23.25" customHeight="1" thickBot="1">
      <c r="A288" s="6"/>
      <c r="B288" s="6"/>
      <c r="C288" s="6"/>
      <c r="D288" s="6"/>
      <c r="E288" s="15"/>
      <c r="F288" s="6"/>
      <c r="G288" s="6"/>
      <c r="H288" s="6"/>
      <c r="I288" s="6"/>
      <c r="J288" s="6"/>
      <c r="K288" s="6"/>
      <c r="L288" s="6"/>
      <c r="M288" s="6"/>
      <c r="N288" s="6"/>
      <c r="O288" s="6"/>
      <c r="P288" s="6"/>
      <c r="Q288" s="6"/>
      <c r="R288" s="16"/>
      <c r="S288" s="6"/>
      <c r="U288" s="13"/>
      <c r="V288" s="13"/>
      <c r="W288" s="13"/>
      <c r="X288" s="13"/>
      <c r="Y288" s="13"/>
      <c r="Z288" s="13"/>
      <c r="AA288" s="13"/>
      <c r="AB288" s="13"/>
      <c r="AC288" s="13"/>
      <c r="AD288" s="13"/>
      <c r="AE288" s="13"/>
      <c r="AF288" s="13"/>
      <c r="AG288" s="13"/>
      <c r="AH288" s="13"/>
      <c r="AI288" s="13"/>
      <c r="AJ288" s="13"/>
      <c r="AK288" s="13"/>
      <c r="AL288" s="13"/>
      <c r="AM288" s="13"/>
      <c r="AN288" s="28"/>
    </row>
    <row r="289" spans="1:40" ht="23.25" customHeight="1" thickBot="1">
      <c r="A289" s="6"/>
      <c r="B289" s="6"/>
      <c r="C289" s="6"/>
      <c r="D289" s="6"/>
      <c r="E289" s="15"/>
      <c r="F289" s="6"/>
      <c r="G289" s="6"/>
      <c r="H289" s="6"/>
      <c r="I289" s="6"/>
      <c r="J289" s="6"/>
      <c r="K289" s="6"/>
      <c r="L289" s="6"/>
      <c r="M289" s="6"/>
      <c r="N289" s="6"/>
      <c r="O289" s="6"/>
      <c r="P289" s="6"/>
      <c r="Q289" s="6"/>
      <c r="R289" s="16"/>
      <c r="S289" s="6"/>
      <c r="U289" s="13"/>
      <c r="V289" s="13"/>
      <c r="W289" s="13"/>
      <c r="X289" s="13"/>
      <c r="Y289" s="13"/>
      <c r="Z289" s="13"/>
      <c r="AA289" s="13"/>
      <c r="AB289" s="13"/>
      <c r="AC289" s="13"/>
      <c r="AD289" s="13"/>
      <c r="AE289" s="13"/>
      <c r="AF289" s="13"/>
      <c r="AG289" s="13"/>
      <c r="AH289" s="13"/>
      <c r="AI289" s="13"/>
      <c r="AJ289" s="13"/>
      <c r="AK289" s="13"/>
      <c r="AL289" s="13"/>
      <c r="AM289" s="13"/>
      <c r="AN289" s="28"/>
    </row>
    <row r="290" spans="1:40" ht="23.25" customHeight="1" thickBot="1">
      <c r="A290" s="6"/>
      <c r="B290" s="6"/>
      <c r="C290" s="6"/>
      <c r="D290" s="6"/>
      <c r="E290" s="15"/>
      <c r="F290" s="6"/>
      <c r="G290" s="6"/>
      <c r="H290" s="6"/>
      <c r="I290" s="6"/>
      <c r="J290" s="6"/>
      <c r="K290" s="6"/>
      <c r="L290" s="6"/>
      <c r="M290" s="6"/>
      <c r="N290" s="6"/>
      <c r="O290" s="6"/>
      <c r="P290" s="6"/>
      <c r="Q290" s="6"/>
      <c r="R290" s="16"/>
      <c r="S290" s="6"/>
      <c r="U290" s="13"/>
      <c r="V290" s="13"/>
      <c r="W290" s="13"/>
      <c r="X290" s="13"/>
      <c r="Y290" s="13"/>
      <c r="Z290" s="13"/>
      <c r="AA290" s="13"/>
      <c r="AB290" s="13"/>
      <c r="AC290" s="13"/>
      <c r="AD290" s="13"/>
      <c r="AE290" s="13"/>
      <c r="AF290" s="13"/>
      <c r="AG290" s="13"/>
      <c r="AH290" s="13"/>
      <c r="AI290" s="13"/>
      <c r="AJ290" s="13"/>
      <c r="AK290" s="13"/>
      <c r="AL290" s="13"/>
      <c r="AM290" s="13"/>
      <c r="AN290" s="28"/>
    </row>
    <row r="291" spans="1:40" ht="23.25" customHeight="1" thickBot="1">
      <c r="A291" s="6"/>
      <c r="B291" s="6"/>
      <c r="C291" s="6"/>
      <c r="D291" s="6"/>
      <c r="E291" s="15"/>
      <c r="F291" s="6"/>
      <c r="G291" s="6"/>
      <c r="H291" s="6"/>
      <c r="I291" s="6"/>
      <c r="J291" s="6"/>
      <c r="K291" s="6"/>
      <c r="L291" s="6"/>
      <c r="M291" s="6"/>
      <c r="N291" s="6"/>
      <c r="O291" s="6"/>
      <c r="P291" s="6"/>
      <c r="Q291" s="6"/>
      <c r="R291" s="16"/>
      <c r="S291" s="6"/>
      <c r="U291" s="13"/>
      <c r="V291" s="13"/>
      <c r="W291" s="13"/>
      <c r="X291" s="13"/>
      <c r="Y291" s="13"/>
      <c r="Z291" s="13"/>
      <c r="AA291" s="13"/>
      <c r="AB291" s="13"/>
      <c r="AC291" s="13"/>
      <c r="AD291" s="13"/>
      <c r="AE291" s="13"/>
      <c r="AF291" s="13"/>
      <c r="AG291" s="13"/>
      <c r="AH291" s="13"/>
      <c r="AI291" s="13"/>
      <c r="AJ291" s="13"/>
      <c r="AK291" s="13"/>
      <c r="AL291" s="13"/>
      <c r="AM291" s="13"/>
      <c r="AN291" s="28"/>
    </row>
    <row r="292" spans="1:40" ht="23.25" customHeight="1" thickBot="1">
      <c r="A292" s="6"/>
      <c r="B292" s="6"/>
      <c r="C292" s="6"/>
      <c r="D292" s="6"/>
      <c r="E292" s="15"/>
      <c r="F292" s="6"/>
      <c r="G292" s="6"/>
      <c r="H292" s="6"/>
      <c r="I292" s="6"/>
      <c r="J292" s="6"/>
      <c r="K292" s="6"/>
      <c r="L292" s="6"/>
      <c r="M292" s="6"/>
      <c r="N292" s="6"/>
      <c r="O292" s="6"/>
      <c r="P292" s="6"/>
      <c r="Q292" s="6"/>
      <c r="R292" s="16"/>
      <c r="S292" s="6"/>
      <c r="U292" s="13"/>
      <c r="V292" s="13"/>
      <c r="W292" s="13"/>
      <c r="X292" s="13"/>
      <c r="Y292" s="13"/>
      <c r="Z292" s="13"/>
      <c r="AA292" s="13"/>
      <c r="AB292" s="13"/>
      <c r="AC292" s="13"/>
      <c r="AD292" s="13"/>
      <c r="AE292" s="13"/>
      <c r="AF292" s="13"/>
      <c r="AG292" s="13"/>
      <c r="AH292" s="13"/>
      <c r="AI292" s="13"/>
      <c r="AJ292" s="13"/>
      <c r="AK292" s="13"/>
      <c r="AL292" s="13"/>
      <c r="AM292" s="13"/>
      <c r="AN292" s="28"/>
    </row>
    <row r="293" spans="1:40" ht="18.75" customHeight="1">
      <c r="Q293" s="6"/>
    </row>
    <row r="294" spans="1:40" ht="18.75" customHeight="1">
      <c r="Q294" s="6"/>
    </row>
    <row r="295" spans="1:40" ht="18.75" customHeight="1">
      <c r="Q295" s="6"/>
    </row>
    <row r="296" spans="1:40" ht="18.75" customHeight="1">
      <c r="Q296" s="6"/>
    </row>
  </sheetData>
  <conditionalFormatting sqref="F2 F5:F117 F125:F292">
    <cfRule type="expression" dxfId="0" priority="4">
      <formula>COUNTIF(F:F, F2) &gt; 1</formula>
    </cfRule>
  </conditionalFormatting>
  <hyperlinks>
    <hyperlink ref="AK2" r:id="rId1" display="https://github.com/ELIXIR-Belgium/ENA-metadata-templates/tree/main/templates/ERC000033" xr:uid="{00000000-0004-0000-0100-000000000000}"/>
    <hyperlink ref="AN2" r:id="rId2" display="https://github.com/ELIXIR-Belgium/ENA-metadata-templates/tree/main/templates/ERC000032" xr:uid="{00000000-0004-0000-0100-000001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Kilian Ossetek</dc:creator>
  <cp:keywords/>
  <dc:description/>
  <cp:lastModifiedBy/>
  <cp:revision/>
  <dcterms:created xsi:type="dcterms:W3CDTF">2025-03-26T15:55:25Z</dcterms:created>
  <dcterms:modified xsi:type="dcterms:W3CDTF">2026-03-20T09:45:16Z</dcterms:modified>
  <cp:category/>
  <cp:contentStatus/>
</cp:coreProperties>
</file>