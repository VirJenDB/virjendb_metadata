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xr:revisionPtr revIDLastSave="0" documentId="8_{DE2FB830-7967-4A9E-934D-5F078ADA9EED}"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7" i="1" l="1"/>
  <c r="C3" i="1"/>
  <c r="D3" i="1"/>
  <c r="E3" i="1"/>
  <c r="F3" i="1"/>
  <c r="G3" i="1"/>
  <c r="H3" i="1"/>
  <c r="I3" i="1"/>
  <c r="J3" i="1"/>
  <c r="K3" i="1"/>
  <c r="L3" i="1"/>
  <c r="M3" i="1"/>
  <c r="N3" i="1"/>
  <c r="O3" i="1"/>
  <c r="P3" i="1"/>
  <c r="Q3" i="1"/>
  <c r="R3" i="1"/>
  <c r="S3" i="1"/>
  <c r="T3" i="1"/>
  <c r="U3" i="1"/>
  <c r="V3" i="1"/>
  <c r="W3" i="1"/>
  <c r="X3" i="1"/>
  <c r="Y3" i="1"/>
  <c r="Z3" i="1"/>
  <c r="AA3" i="1"/>
  <c r="AB3" i="1"/>
  <c r="AC3" i="1"/>
  <c r="AD3" i="1"/>
  <c r="AE3" i="1"/>
  <c r="AF3" i="1"/>
  <c r="AG3" i="1"/>
  <c r="AH3" i="1"/>
  <c r="AI3" i="1"/>
  <c r="AJ3" i="1"/>
  <c r="AK3" i="1"/>
  <c r="AL3" i="1"/>
  <c r="AM3" i="1"/>
  <c r="AN3" i="1"/>
  <c r="AO3" i="1"/>
  <c r="AP3" i="1"/>
  <c r="AQ3" i="1"/>
  <c r="AR3" i="1"/>
  <c r="AS3" i="1"/>
  <c r="AT3" i="1"/>
  <c r="AU3" i="1"/>
  <c r="AV3" i="1"/>
  <c r="AW3" i="1"/>
  <c r="AX3" i="1"/>
  <c r="AY3" i="1"/>
  <c r="AZ3" i="1"/>
  <c r="BA3" i="1"/>
  <c r="BB3" i="1"/>
  <c r="BC3" i="1"/>
  <c r="B3" i="1"/>
  <c r="A4" i="1"/>
  <c r="A3" i="1"/>
  <c r="BC4" i="1"/>
  <c r="BB4" i="1"/>
  <c r="Y97" i="1"/>
  <c r="Y96" i="1"/>
  <c r="Y196" i="1"/>
  <c r="Y197" i="1"/>
  <c r="Y95" i="1"/>
  <c r="Y22" i="1"/>
  <c r="Y94" i="1"/>
  <c r="Y26" i="1"/>
  <c r="Y126" i="1"/>
  <c r="Y25" i="1"/>
  <c r="Y81" i="1"/>
  <c r="Y93" i="1"/>
  <c r="Y17" i="1"/>
  <c r="Y24" i="1"/>
  <c r="Y23" i="1"/>
  <c r="Y13" i="1"/>
  <c r="Y200" i="1"/>
  <c r="Y91" i="1"/>
  <c r="Y63" i="1"/>
  <c r="Y21" i="1"/>
  <c r="Y163" i="1"/>
  <c r="Y167" i="1"/>
  <c r="Y171" i="1"/>
  <c r="Y169" i="1"/>
  <c r="Y68" i="1"/>
  <c r="Y172" i="1"/>
  <c r="Y222" i="1"/>
  <c r="Y158" i="1"/>
  <c r="Y162" i="1"/>
  <c r="Y166" i="1"/>
  <c r="Y181" i="1"/>
  <c r="Y180" i="1"/>
  <c r="Y160" i="1"/>
  <c r="Y223" i="1"/>
  <c r="Y170" i="1"/>
  <c r="Y221" i="1"/>
  <c r="Y168" i="1"/>
  <c r="Y164" i="1"/>
  <c r="Y220" i="1"/>
  <c r="Y18" i="1"/>
  <c r="Y174" i="1"/>
  <c r="Y5" i="1"/>
  <c r="Y148" i="1"/>
  <c r="Y152" i="1"/>
  <c r="Y156" i="1"/>
  <c r="Y154" i="1"/>
  <c r="Y157" i="1"/>
  <c r="Y143" i="1"/>
  <c r="Y147" i="1"/>
  <c r="Y151" i="1"/>
  <c r="Y182" i="1"/>
  <c r="Y145" i="1"/>
  <c r="Y185" i="1"/>
  <c r="Y155" i="1"/>
  <c r="Y153" i="1"/>
  <c r="Y183" i="1"/>
  <c r="Y149" i="1"/>
  <c r="Y53" i="1"/>
  <c r="Y210" i="1"/>
  <c r="Y54" i="1"/>
  <c r="Y207" i="1"/>
  <c r="Y193" i="1"/>
  <c r="Y205" i="1"/>
  <c r="Y16" i="1"/>
  <c r="Y206" i="1"/>
  <c r="Y204" i="1"/>
  <c r="Y203" i="1"/>
  <c r="Y209" i="1"/>
  <c r="Y218" i="1"/>
  <c r="Y178" i="1"/>
  <c r="Y201" i="1"/>
  <c r="Y173" i="1"/>
  <c r="Y19" i="1"/>
  <c r="Y12" i="1"/>
  <c r="Y73" i="1"/>
  <c r="Y10" i="1"/>
  <c r="Y27" i="1"/>
  <c r="Y15" i="1"/>
  <c r="Y9" i="1"/>
  <c r="Y217" i="1"/>
  <c r="Y198" i="1"/>
  <c r="Y199" i="1"/>
  <c r="Y60" i="1"/>
  <c r="Y55" i="1"/>
  <c r="Y48" i="1"/>
  <c r="Y188" i="1"/>
  <c r="Y34" i="1"/>
  <c r="Y8" i="1"/>
  <c r="Y7" i="1"/>
  <c r="Y72" i="1"/>
  <c r="Y6" i="1"/>
  <c r="Y31" i="1"/>
  <c r="Y52" i="1"/>
  <c r="Y51" i="1"/>
  <c r="Y50" i="1"/>
  <c r="Y176" i="1"/>
  <c r="Y175" i="1"/>
  <c r="Y104" i="1"/>
  <c r="Y103" i="1"/>
  <c r="Y33" i="1"/>
  <c r="Y32" i="1"/>
  <c r="Y30" i="1"/>
  <c r="Y192" i="1"/>
  <c r="Y92" i="1"/>
  <c r="Y80" i="1"/>
  <c r="Y76" i="1"/>
  <c r="Y74" i="1"/>
  <c r="Y137" i="1"/>
  <c r="Y138" i="1"/>
  <c r="Y98" i="1"/>
  <c r="Y184" i="1"/>
  <c r="Y136" i="1"/>
  <c r="Y135" i="1"/>
  <c r="Y134" i="1"/>
  <c r="Y191" i="1"/>
  <c r="Y142" i="1"/>
  <c r="Y79" i="1"/>
  <c r="Y133" i="1"/>
  <c r="Y189" i="1"/>
  <c r="Y129" i="1"/>
  <c r="Y128" i="1"/>
  <c r="Y130" i="1"/>
  <c r="Y127" i="1"/>
  <c r="Y125" i="1"/>
  <c r="Y69" i="1"/>
  <c r="Y140" i="1"/>
  <c r="Y75" i="1"/>
  <c r="Y139" i="1"/>
  <c r="Y132" i="1"/>
  <c r="Y123" i="1"/>
  <c r="Y71" i="1"/>
  <c r="Y124" i="1"/>
  <c r="Y122" i="1"/>
  <c r="Y67" i="1"/>
  <c r="Y66" i="1"/>
  <c r="Y65" i="1"/>
  <c r="Y213" i="1"/>
  <c r="Y78" i="1"/>
  <c r="Y77" i="1"/>
  <c r="Y208" i="1"/>
  <c r="Y121" i="1"/>
  <c r="Y212" i="1"/>
  <c r="Y64" i="1"/>
  <c r="Y62" i="1"/>
  <c r="Y61" i="1"/>
  <c r="Y120" i="1"/>
  <c r="Y28" i="1"/>
  <c r="Y159" i="1"/>
  <c r="Y161" i="1"/>
  <c r="Y165" i="1"/>
  <c r="Y119" i="1"/>
  <c r="Y38" i="1"/>
  <c r="Y118" i="1"/>
  <c r="Y90" i="1"/>
  <c r="Y89" i="1"/>
  <c r="Y88" i="1"/>
  <c r="Y87" i="1"/>
  <c r="Y86" i="1"/>
  <c r="Y85" i="1"/>
  <c r="Y84" i="1"/>
  <c r="Y37" i="1"/>
  <c r="Y179" i="1"/>
  <c r="Y83" i="1"/>
  <c r="Y141" i="1"/>
  <c r="Y82" i="1"/>
  <c r="Y117" i="1"/>
  <c r="Y116" i="1"/>
  <c r="Y115" i="1"/>
  <c r="Y114" i="1"/>
  <c r="Y59" i="1"/>
  <c r="Y113" i="1"/>
  <c r="Y112" i="1"/>
  <c r="Y58" i="1"/>
  <c r="Y57" i="1"/>
  <c r="Y111" i="1"/>
  <c r="Y216" i="1"/>
  <c r="Y110" i="1"/>
  <c r="Y109" i="1"/>
  <c r="Y108" i="1"/>
  <c r="Y187" i="1"/>
  <c r="Y144" i="1"/>
  <c r="Y146" i="1"/>
  <c r="Y150" i="1"/>
  <c r="Y215" i="1"/>
  <c r="Y214" i="1"/>
  <c r="Y211" i="1"/>
  <c r="Y186" i="1"/>
  <c r="Y56" i="1"/>
  <c r="Y36" i="1"/>
  <c r="Y49" i="1"/>
  <c r="Y47" i="1"/>
  <c r="Y46" i="1"/>
  <c r="Y45" i="1"/>
  <c r="Y107" i="1"/>
  <c r="Y219" i="1"/>
  <c r="Y44" i="1"/>
  <c r="Y202" i="1"/>
  <c r="Y177" i="1"/>
  <c r="Y106" i="1"/>
  <c r="Y105" i="1"/>
  <c r="Y195" i="1"/>
  <c r="Y194" i="1"/>
  <c r="Y20" i="1"/>
  <c r="Y11" i="1"/>
  <c r="Y131" i="1"/>
  <c r="Y43" i="1"/>
  <c r="Y42" i="1"/>
  <c r="Y190" i="1"/>
  <c r="Y41" i="1"/>
  <c r="Y40" i="1"/>
  <c r="Y39" i="1"/>
  <c r="Y35" i="1"/>
  <c r="Y14" i="1"/>
  <c r="Y236" i="1"/>
  <c r="Y228" i="1"/>
  <c r="Y230" i="1"/>
  <c r="Y225" i="1"/>
  <c r="Y226" i="1"/>
  <c r="Y231" i="1"/>
  <c r="Y235" i="1"/>
  <c r="Y229" i="1"/>
  <c r="Y227" i="1"/>
  <c r="Y224" i="1"/>
  <c r="Y234" i="1"/>
  <c r="Y233" i="1"/>
  <c r="Y232" i="1"/>
  <c r="Y102" i="1"/>
  <c r="Y101" i="1"/>
  <c r="Y100" i="1"/>
  <c r="Y99" i="1"/>
  <c r="Y29" i="1"/>
  <c r="Y70" i="1"/>
  <c r="BA4" i="1"/>
  <c r="AZ4" i="1"/>
  <c r="E4"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D4" i="1"/>
  <c r="C4"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8"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9"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0"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27"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51" authorId="0" shapeId="0" xr:uid="{00000000-0006-0000-0000-000005000000}">
      <text>
        <r>
          <rPr>
            <sz val="11"/>
            <color theme="1"/>
            <rFont val="Aptos Narrow"/>
            <family val="2"/>
            <scheme val="minor"/>
          </rPr>
          <t>Kilian Ossetek:
Report the host's taxonomic name and/or NCBI taxonomy ID</t>
        </r>
      </text>
    </comment>
    <comment ref="I52" authorId="0" shapeId="0" xr:uid="{00000000-0006-0000-0000-000006000000}">
      <text>
        <r>
          <rPr>
            <sz val="11"/>
            <color theme="1"/>
            <rFont val="Aptos Narrow"/>
            <family val="2"/>
            <scheme val="minor"/>
          </rPr>
          <t>Kilian Ossetek:
Report the host's taxonomic name and/or NCBI taxonomy ID</t>
        </r>
      </text>
    </comment>
    <comment ref="I53" authorId="0" shapeId="0" xr:uid="{00000000-0006-0000-0000-00000B000000}">
      <text>
        <r>
          <rPr>
            <sz val="11"/>
            <color theme="1"/>
            <rFont val="Aptos Narrow"/>
            <family val="2"/>
            <scheme val="minor"/>
          </rPr>
          <t>Kilian Ossetek:
Report the host's taxonomic name and/or NCBI taxonomy ID</t>
        </r>
      </text>
    </comment>
    <comment ref="I54" authorId="0" shapeId="0" xr:uid="{00000000-0006-0000-0000-00000C000000}">
      <text>
        <r>
          <rPr>
            <sz val="11"/>
            <color theme="1"/>
            <rFont val="Aptos Narrow"/>
            <family val="2"/>
            <scheme val="minor"/>
          </rPr>
          <t>Kilian Ossetek:
Report the host's taxonomic name and/or NCBI taxonomy ID</t>
        </r>
      </text>
    </comment>
    <comment ref="I69"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74"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77" authorId="0" shapeId="0" xr:uid="{00000000-0006-0000-0000-000002000000}">
      <text>
        <r>
          <rPr>
            <sz val="11"/>
            <color theme="1"/>
            <rFont val="Aptos Narrow"/>
            <family val="2"/>
            <scheme val="minor"/>
          </rPr>
          <t>Kilian Ossetek:
A related resource that is referenced, cited, or otherwise associated to the sequence</t>
        </r>
      </text>
    </comment>
    <comment ref="I78" authorId="0" shapeId="0" xr:uid="{00000000-0006-0000-0000-000003000000}">
      <text>
        <r>
          <rPr>
            <sz val="11"/>
            <color theme="1"/>
            <rFont val="Aptos Narrow"/>
            <family val="2"/>
            <scheme val="minor"/>
          </rPr>
          <t>Kilian Ossetek:
A related resource that is referenced, cited, or otherwise associated to the sequence</t>
        </r>
      </text>
    </comment>
    <comment ref="I173"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<sst xmlns="http://schemas.openxmlformats.org/spreadsheetml/2006/main" count="5036" uniqueCount="1804">
  <si>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</si>
  <si>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</si>
  <si>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</si>
  <si>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</si>
  <si>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</si>
  <si>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</si>
  <si>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</si>
  <si>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</si>
  <si>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</si>
  <si>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</si>
  <si>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</si>
  <si>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</si>
  <si>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</si>
  <si>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</si>
  <si>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</si>
  <si>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</si>
  <si>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</si>
  <si>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</si>
  <si>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</si>
  <si>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</si>
  <si>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</si>
  <si>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</si>
  <si>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</si>
  <si>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</si>
  <si>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</si>
  <si>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</si>
  <si>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</si>
  <si>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</si>
  <si>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</si>
  <si>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</si>
  <si>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</si>
  <si>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</si>
  <si>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</si>
  <si>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</si>
  <si>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</si>
  <si>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</si>
  <si>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</si>
  <si>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</si>
  <si>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</si>
  <si>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</si>
  <si>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</si>
  <si>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</si>
  <si>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</si>
  <si>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</si>
  <si>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</si>
  <si>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</si>
  <si>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</si>
  <si>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</si>
  <si>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</si>
  <si>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</si>
  <si>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</si>
  <si>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</si>
  <si>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</si>
  <si>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</si>
  <si>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</si>
  <si>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</si>
  <si>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</si>
  <si>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</si>
  <si>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</si>
  <si>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0aa</t>
  </si>
  <si>
    <t>insdc_accession</t>
  </si>
  <si>
    <t>INSDC Accession</t>
  </si>
  <si>
    <t>GenBank Accession of the virus sequence. It equals NCBI Nucleotide Accession, ENA Accession, and DDBJ Accession, which are part of the INSDC.</t>
  </si>
  <si>
    <t>keyword</t>
  </si>
  <si>
    <t>public</t>
  </si>
  <si>
    <t>Accession</t>
  </si>
  <si>
    <t>GenBank Accessions</t>
  </si>
  <si>
    <t>insdc_accession_id</t>
  </si>
  <si>
    <t>Organizational</t>
  </si>
  <si>
    <t>Identifiers</t>
  </si>
  <si>
    <t>NCBI Virus|BVBRC</t>
  </si>
  <si>
    <t>no example needed</t>
  </si>
  <si>
    <t>A unique identifier (Nucleotide, Protein or Assembly Accession, depending on the selected tab) assigned to the sequence record in GenBank.</t>
  </si>
  <si>
    <t>DB Cross Reference</t>
  </si>
  <si>
    <t>genbank_accessions</t>
  </si>
  <si>
    <t>string_ci</t>
  </si>
  <si>
    <t>text</t>
  </si>
  <si>
    <t>unique</t>
  </si>
  <si>
    <t>Virus GENBANK accession</t>
  </si>
  <si>
    <t>The GenBank (nucleotide) accession number (or numbers separted by a semicolon) for that virus isolate. In some cases a range within the accession sequence is specified by a "(startPos.endPos)" suffix.</t>
  </si>
  <si>
    <t>true</t>
  </si>
  <si>
    <t>0ab</t>
  </si>
  <si>
    <t>assembly_accession</t>
  </si>
  <si>
    <t>Assembly Accession</t>
  </si>
  <si>
    <t>NCBI Assembly Accession of the virus sequence.</t>
  </si>
  <si>
    <t>Assembly</t>
  </si>
  <si>
    <t>assembly_accession_id</t>
  </si>
  <si>
    <t>ENA Analysis</t>
  </si>
  <si>
    <t>VJDB Analysis</t>
  </si>
  <si>
    <t>NCBI Virus Assembly accession number. For more information about NCBI Virus assembly, see Data Model, Type of Data and Dataflow section.</t>
  </si>
  <si>
    <t>string</t>
  </si>
  <si>
    <t>without version</t>
  </si>
  <si>
    <t>0ac</t>
  </si>
  <si>
    <t>bioproject_accession</t>
  </si>
  <si>
    <t>Bioproject Accession</t>
  </si>
  <si>
    <t xml:space="preserve">References the BioProject Accession that the virus sequence is a part of (INSDC). </t>
  </si>
  <si>
    <t>study accession</t>
  </si>
  <si>
    <t>BioProject</t>
  </si>
  <si>
    <t>BioProject Accession</t>
  </si>
  <si>
    <t>ENA Study</t>
  </si>
  <si>
    <t>The BioProject accession number associated with the sequence.</t>
  </si>
  <si>
    <t>mandatory</t>
  </si>
  <si>
    <t>0ad</t>
  </si>
  <si>
    <t>biosample_accession</t>
  </si>
  <si>
    <t>Biosample Accession</t>
  </si>
  <si>
    <t>References the BioSample Accession that the virus sequence is a part of (INSDC).</t>
  </si>
  <si>
    <t>sample accession</t>
  </si>
  <si>
    <t>source_mat_id?</t>
  </si>
  <si>
    <t>BioSample</t>
  </si>
  <si>
    <t>BioSample Accession</t>
  </si>
  <si>
    <t>ENA Sample</t>
  </si>
  <si>
    <t>VJDB Sample</t>
  </si>
  <si>
    <t>The BioSample accession number associated with the sequence.</t>
  </si>
  <si>
    <t>0ae</t>
  </si>
  <si>
    <t>collection_date</t>
  </si>
  <si>
    <t>Collection Date</t>
  </si>
  <si>
    <t>Date when the sample the virus sequence originates from was collected or sampled.</t>
  </si>
  <si>
    <t>date</t>
  </si>
  <si>
    <t>collection date</t>
  </si>
  <si>
    <t>SEQUENCE. DATE_OF_SAMPLING</t>
  </si>
  <si>
    <t>collection_date; has intervall</t>
  </si>
  <si>
    <t>Collection_Date</t>
  </si>
  <si>
    <t>Sample</t>
  </si>
  <si>
    <t>Collection</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</si>
  <si>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</si>
  <si>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</si>
  <si>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</si>
  <si>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</si>
  <si>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</si>
  <si>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TEXT_FIELD</t>
  </si>
  <si>
    <t>2023-05-28</t>
  </si>
  <si>
    <t>YYYY-MM-DD; Some browsers can display dates in a different format, but it is still correct</t>
  </si>
  <si>
    <t>freetext</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</si>
  <si>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</si>
  <si>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</si>
  <si>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</si>
  <si>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</si>
  <si>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</si>
  <si>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</si>
  <si>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</si>
  <si>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</si>
  <si>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split Geo_Location and compare to collection_country , ingest to collection_region and collection_city</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</si>
  <si>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</si>
  <si>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</si>
  <si>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</si>
  <si>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TEXT_CHOICE_FIELD</t>
  </si>
  <si>
    <t>Germany</t>
  </si>
  <si>
    <t>Defined list of countries, provided by the INSDC</t>
  </si>
  <si>
    <t>combo</t>
  </si>
  <si>
    <t>controlled_vocabulary</t>
  </si>
  <si>
    <t>0ag</t>
  </si>
  <si>
    <t>genbank_title</t>
  </si>
  <si>
    <t>GenBank Title</t>
  </si>
  <si>
    <t>Genbank title of the sequence.</t>
  </si>
  <si>
    <t>internal</t>
  </si>
  <si>
    <t>GenBank_Title</t>
  </si>
  <si>
    <t>Sequence</t>
  </si>
  <si>
    <t>The title of the GenBank record associated with the sequence.</t>
  </si>
  <si>
    <t>0ah</t>
  </si>
  <si>
    <t>is_genbank_sequence</t>
  </si>
  <si>
    <t>GenBank Sequence</t>
  </si>
  <si>
    <t>True if this virus sequence is available in Genbank.</t>
  </si>
  <si>
    <t>boolean</t>
  </si>
  <si>
    <t>GenBank_RefSeq</t>
  </si>
  <si>
    <t>Source</t>
  </si>
  <si>
    <t>Flags</t>
  </si>
  <si>
    <t>GenBank/RefSeq</t>
  </si>
  <si>
    <t>Specifies if the sequence is from GenBank or RefSeq database.</t>
  </si>
  <si>
    <t>convert GenBank/RefSeq input to boolean</t>
  </si>
  <si>
    <t>boolean value(!)</t>
  </si>
  <si>
    <t>0ai</t>
  </si>
  <si>
    <t>is_refseq_sequence</t>
  </si>
  <si>
    <t>RefSeq Sequence</t>
  </si>
  <si>
    <t>Determines if this virus sequence is a reference sequence in the RefSeq database.</t>
  </si>
  <si>
    <t>Reference</t>
  </si>
  <si>
    <t>Type Info</t>
  </si>
  <si>
    <t>reference_genome</t>
  </si>
  <si>
    <t>if reference sequence, value = "Reference"</t>
  </si>
  <si>
    <t>0aj</t>
  </si>
  <si>
    <t>collection_city</t>
  </si>
  <si>
    <t>Collection City</t>
  </si>
  <si>
    <t>City where the sample the sequence originates from was collected or sampled.</t>
  </si>
  <si>
    <t>geographic location (region and locality)</t>
  </si>
  <si>
    <t>Geo_Location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</si>
  <si>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</si>
  <si>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</si>
  <si>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recommended</t>
  </si>
  <si>
    <t>Jena</t>
  </si>
  <si>
    <t>Defined list of Cities (!)</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</si>
  <si>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</si>
  <si>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</si>
  <si>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</si>
  <si>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</si>
  <si>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</si>
  <si>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</si>
  <si>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</si>
  <si>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</si>
  <si>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</si>
  <si>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</si>
  <si>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</si>
  <si>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host_common_name</t>
  </si>
  <si>
    <t>Host Common Name</t>
  </si>
  <si>
    <t>Common name of the host the virus sequence was collected from, e.g. human. Currently (v1.1) no ontology is applied.</t>
  </si>
  <si>
    <t>host common name</t>
  </si>
  <si>
    <t>Host</t>
  </si>
  <si>
    <t>Host Taxonomy</t>
  </si>
  <si>
    <t>The host organism from which the virus was isolated. This is the submitter-provided host organism, not the full host range known for the virus. For more information, see Glossary: Host.</t>
  </si>
  <si>
    <t>Host Info</t>
  </si>
  <si>
    <t>(Mandatory) Common name of the host, e.g. human</t>
  </si>
  <si>
    <t>human</t>
  </si>
  <si>
    <t>Free text</t>
  </si>
  <si>
    <t>suggestion</t>
  </si>
  <si>
    <t>0am</t>
  </si>
  <si>
    <t>sequence_length</t>
  </si>
  <si>
    <t>Sequence Length</t>
  </si>
  <si>
    <t>Length of the virus sequence in basepairs (bp).</t>
  </si>
  <si>
    <t>integer</t>
  </si>
  <si>
    <t>Length</t>
  </si>
  <si>
    <t>Size</t>
  </si>
  <si>
    <t>Workflows</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</si>
  <si>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</si>
  <si>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</si>
  <si>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</si>
  <si>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</si>
  <si>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</si>
  <si>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</si>
  <si>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</si>
  <si>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</si>
  <si>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molecule_type</t>
  </si>
  <si>
    <t>Molecule Type</t>
  </si>
  <si>
    <t>Molecule type of the sequence, e.g. ssRNA. Note that there are 15 molecule types corresponding to combinations of the Baltimore Classifications, from NCBI GenBank.</t>
  </si>
  <si>
    <t>molecule type</t>
  </si>
  <si>
    <t>Molecule_type</t>
  </si>
  <si>
    <t>Virus Info</t>
  </si>
  <si>
    <t xml:space="preserve">Should be curated into Baltimore classes; Is this a sequence attribute or sample or both? Represent in naming?; </t>
  </si>
  <si>
    <t>Genome molecule type, type of viral nucleic acid, as provided by ICTV. For more information, see Glossary: Genome Molecule Type.</t>
  </si>
  <si>
    <t>optional</t>
  </si>
  <si>
    <t>ssRNA(+)</t>
  </si>
  <si>
    <t>Defined list of values(!)</t>
  </si>
  <si>
    <t>Genome</t>
  </si>
  <si>
    <t>The nature of the virus genome packaged into virions. Possible values are:
- dsDNA
- dsDNA-RT
- dsDNA; ssDNA
- dsRNA
- ssDNA
- ssDNA(-)
- ssDNA(+)
- ssDNA(+/-)
- ssRNA
- ssRNA-RT
- ssRNA(-)
- ssRNA(+)
- ssRNA(+/-)
- ssRNA(-); ssRNA(+/-)</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</si>
  <si>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</si>
  <si>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</si>
  <si>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</si>
  <si>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</si>
  <si>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</si>
  <si>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</si>
  <si>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</si>
  <si>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</si>
  <si>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</si>
  <si>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0ap</t>
  </si>
  <si>
    <t>genome_completeness_percentage</t>
  </si>
  <si>
    <t>Genome Completeness Percentage</t>
  </si>
  <si>
    <t>The level of the sequence completeness compare to the representative sequence in refseq in percentage</t>
  </si>
  <si>
    <t>float</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</si>
  <si>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</si>
  <si>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</si>
  <si>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</si>
  <si>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</si>
  <si>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</si>
  <si>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</si>
  <si>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</si>
  <si>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</si>
  <si>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</si>
  <si>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</si>
  <si>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</si>
  <si>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submitter_organization</t>
  </si>
  <si>
    <t>Submitter Organization</t>
  </si>
  <si>
    <t>Organization the submitter(s) is(are) affiliated with.</t>
  </si>
  <si>
    <t>Organization</t>
  </si>
  <si>
    <t>VJDB Study</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</si>
  <si>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</si>
  <si>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</si>
  <si>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</si>
  <si>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</si>
  <si>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</si>
  <si>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</si>
  <si>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</si>
  <si>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</si>
  <si>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</si>
  <si>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</si>
  <si>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</si>
  <si>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</si>
  <si>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2023-05-20</t>
  </si>
  <si>
    <t>YYYY-MM-DD; Some browsers can display dates in a different format, but it is still correct(!)</t>
  </si>
  <si>
    <t>0at</t>
  </si>
  <si>
    <t>segment_name</t>
  </si>
  <si>
    <t>Segment Name</t>
  </si>
  <si>
    <t>Name or number of the virus segment.</t>
  </si>
  <si>
    <t>Segment</t>
  </si>
  <si>
    <t>Segment name or number representing a genome segment. For more information, see Clossary: Segment.</t>
  </si>
  <si>
    <t>spike; 1; whole genome</t>
  </si>
  <si>
    <t>0au</t>
  </si>
  <si>
    <t>sra_accession</t>
  </si>
  <si>
    <t>SRA Accession</t>
  </si>
  <si>
    <t>NCBI Sequence Read Archive (SRA) Accession.</t>
  </si>
  <si>
    <t>SRA_Accession</t>
  </si>
  <si>
    <t>SRA accession</t>
  </si>
  <si>
    <t>NCBI Sequence Read Archive (SRA) accession number.</t>
  </si>
  <si>
    <t>0av</t>
  </si>
  <si>
    <t>submitter</t>
  </si>
  <si>
    <t>Submitter</t>
  </si>
  <si>
    <t>Name(s) of the submitter(s) of the virus sequence.</t>
  </si>
  <si>
    <t>Submitters</t>
  </si>
  <si>
    <t>Authors who submitted the sequences.</t>
  </si>
  <si>
    <t>Zuckerman,N., Mandelboim,M.</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</si>
  <si>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</si>
  <si>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</si>
  <si>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</si>
  <si>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</si>
  <si>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</si>
  <si>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</si>
  <si>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env_medium? more or less</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</si>
  <si>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</si>
  <si>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</si>
  <si>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</si>
  <si>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</si>
  <si>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</si>
  <si>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split Tissue_Specimen_Source to collection_source_environment and collection_source_host_tissue</t>
  </si>
  <si>
    <t>(Recommended) Name of host tissue or organ sampled for analysis. example: tracheal tissue</t>
  </si>
  <si>
    <t>brain; water; venom gland</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</si>
  <si>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</si>
  <si>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</si>
  <si>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</si>
  <si>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</si>
  <si>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</si>
  <si>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</si>
  <si>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</si>
  <si>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</si>
  <si>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</si>
  <si>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</si>
  <si>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</si>
  <si>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0ay</t>
  </si>
  <si>
    <t>analysis_accession</t>
  </si>
  <si>
    <t>Analysis Accession</t>
  </si>
  <si>
    <t>ENA analysis object Accession.</t>
  </si>
  <si>
    <t>analysis accession</t>
  </si>
  <si>
    <t>keep internally</t>
  </si>
  <si>
    <t>0az</t>
  </si>
  <si>
    <t>assembly_level</t>
  </si>
  <si>
    <t>Assembly Level</t>
  </si>
  <si>
    <t>The level of the Assembly (contig, scaffold, chromosome, complete genome).</t>
  </si>
  <si>
    <t>private</t>
  </si>
  <si>
    <t>assembly level</t>
  </si>
  <si>
    <t>Internal</t>
  </si>
  <si>
    <t>apply customization to vjdb , e.g. chromosome to genome or something; input not yet defined</t>
  </si>
  <si>
    <t>0ba</t>
  </si>
  <si>
    <t>min_gap_length</t>
  </si>
  <si>
    <t>Min Gap Length</t>
  </si>
  <si>
    <t>Minimum length of consecutive Ns to be considered a gap.</t>
  </si>
  <si>
    <t>assembly description</t>
  </si>
  <si>
    <t>not sure</t>
  </si>
  <si>
    <t>0bb</t>
  </si>
  <si>
    <t>assembly_program</t>
  </si>
  <si>
    <t>Assembly Program</t>
  </si>
  <si>
    <t>The program used for genome assembly.</t>
  </si>
  <si>
    <t>assembly program</t>
  </si>
  <si>
    <t>assembly_software</t>
  </si>
  <si>
    <t>Assembly Method</t>
  </si>
  <si>
    <t>BVBRC</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</si>
  <si>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</si>
  <si>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</si>
  <si>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</si>
  <si>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</si>
  <si>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</si>
  <si>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</si>
  <si>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</si>
  <si>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</si>
  <si>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</si>
  <si>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</si>
  <si>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0bd</t>
  </si>
  <si>
    <t>accession_bvbrc</t>
  </si>
  <si>
    <t>Accession BV-BRC</t>
  </si>
  <si>
    <t>Accession of the sequence in the BV-BRC database.</t>
  </si>
  <si>
    <t>Genome ID</t>
  </si>
  <si>
    <t>Change id and name to BVBRC_genome_id</t>
  </si>
  <si>
    <t>General Info</t>
  </si>
  <si>
    <t>genome_id</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</si>
  <si>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</si>
  <si>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</si>
  <si>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</si>
  <si>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</si>
  <si>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</si>
  <si>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</si>
  <si>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</si>
  <si>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</si>
  <si>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</si>
  <si>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</si>
  <si>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</si>
  <si>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</si>
  <si>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</si>
  <si>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</si>
  <si>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</si>
  <si>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Defined list of values, provided by the ENA</t>
  </si>
  <si>
    <t>0bg</t>
  </si>
  <si>
    <t>ictv_vmr_version</t>
  </si>
  <si>
    <t>ICTV VMR Version</t>
  </si>
  <si>
    <t>The list of the VMR files that contains this record as exampler sequence</t>
  </si>
  <si>
    <t>0bh</t>
  </si>
  <si>
    <t>collection_geopoint</t>
  </si>
  <si>
    <t>Collection GeoPoint</t>
  </si>
  <si>
    <t>The geographic location by longitude, where the sample the sequence originates from was collected. (DD)</t>
  </si>
  <si>
    <t>geo_point</t>
  </si>
  <si>
    <t>geographic location (longitude)</t>
  </si>
  <si>
    <t>lat_lon</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</si>
  <si>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</si>
  <si>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</si>
  <si>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</si>
  <si>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</si>
  <si>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</si>
  <si>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</si>
  <si>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</si>
  <si>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</si>
  <si>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</si>
  <si>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</si>
  <si>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</si>
  <si>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</si>
  <si>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</si>
  <si>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</si>
  <si>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</si>
  <si>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</si>
  <si>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</si>
  <si>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as it is, for revision with data; not sure</t>
  </si>
  <si>
    <t>collection_source_non-host_associated</t>
  </si>
  <si>
    <t>(Recommended) Describes the physical, environmental and/or local geographical source of the biological sample from which the sample was derived. example: soil</t>
  </si>
  <si>
    <t>0bk</t>
  </si>
  <si>
    <t>collector_name</t>
  </si>
  <si>
    <t>Collector Name</t>
  </si>
  <si>
    <t>Name of the person that collected the sample</t>
  </si>
  <si>
    <t>collector name</t>
  </si>
  <si>
    <t>(Mandatory) Name of the person who collected the specimen. example: john smith</t>
  </si>
  <si>
    <t>Zuckerman,N.</t>
  </si>
  <si>
    <t>0bl</t>
  </si>
  <si>
    <t>cutoff_for_seropositive_sample</t>
  </si>
  <si>
    <t>Cutoff for Seropositive Sample</t>
  </si>
  <si>
    <t>The cuttoff used to determine if the sample is seropositive.</t>
  </si>
  <si>
    <t>definition for seropositive sample</t>
  </si>
  <si>
    <t>Clinical</t>
  </si>
  <si>
    <t>(Recommended) The cut off value used by an investigatior in determining that a sample was seropositive.</t>
  </si>
  <si>
    <t>0bm</t>
  </si>
  <si>
    <t>experiment_accession</t>
  </si>
  <si>
    <t>Experiment Accession</t>
  </si>
  <si>
    <t>References an ENA assembly to an ENA Experiment.</t>
  </si>
  <si>
    <t>experiment accession?</t>
  </si>
  <si>
    <t>0bn</t>
  </si>
  <si>
    <t>host_behaviour</t>
  </si>
  <si>
    <t>Host Behaviour</t>
  </si>
  <si>
    <t>Natural behaviour of the sampled host.</t>
  </si>
  <si>
    <t>host behaviour</t>
  </si>
  <si>
    <t>(Recommended) Natural behaviour of the host.</t>
  </si>
  <si>
    <t>domestic; wild</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</si>
  <si>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</si>
  <si>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</si>
  <si>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</si>
  <si>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</si>
  <si>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</si>
  <si>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</si>
  <si>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</si>
  <si>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</si>
  <si>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</si>
  <si>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</si>
  <si>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</si>
  <si>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</si>
  <si>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</si>
  <si>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</si>
  <si>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</si>
  <si>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</si>
  <si>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</si>
  <si>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0br</t>
  </si>
  <si>
    <t>host_group_bvbrc</t>
  </si>
  <si>
    <t>Host Group BV-BRC</t>
  </si>
  <si>
    <t>The host's broader group association in a taxonomic context from BV-BRC.</t>
  </si>
  <si>
    <t>Host Group</t>
  </si>
  <si>
    <t>host_group</t>
  </si>
  <si>
    <t>vertebrates; plants</t>
  </si>
  <si>
    <t>Defined list of values, provided by the BVBRC(!)</t>
  </si>
  <si>
    <t>0bs</t>
  </si>
  <si>
    <t>host_habitat</t>
  </si>
  <si>
    <t>Host Habitat</t>
  </si>
  <si>
    <t>Natural habitat of the avian or mammalian host</t>
  </si>
  <si>
    <t>host habitat</t>
  </si>
  <si>
    <t>(Recommended) Natural habitat of the avian or mammalian host.</t>
  </si>
  <si>
    <t>domestic:free-range farm; wild:resident</t>
  </si>
  <si>
    <t>0bt</t>
  </si>
  <si>
    <t>lab_host_common_name_bvbrc</t>
  </si>
  <si>
    <t>Lab Host Common Name BV-BRC</t>
  </si>
  <si>
    <t>BVBRC Lab Host, common name of the lab host.</t>
  </si>
  <si>
    <t>Lab Host</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</si>
  <si>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</si>
  <si>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</si>
  <si>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</si>
  <si>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</si>
  <si>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</si>
  <si>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</si>
  <si>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</si>
  <si>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</si>
  <si>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</si>
  <si>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</si>
  <si>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</si>
  <si>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</si>
  <si>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</si>
  <si>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</si>
  <si>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</si>
  <si>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</si>
  <si>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</si>
  <si>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</si>
  <si>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</si>
  <si>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</si>
  <si>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</si>
  <si>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</si>
  <si>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</si>
  <si>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</si>
  <si>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</si>
  <si>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</si>
  <si>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host_ncbi_tax_id</t>
  </si>
  <si>
    <t>Host NCBI Tax ID</t>
  </si>
  <si>
    <t>The host sequence NCBI Taxonomy ID. Can be based on the mapping by GTDB of the GTDB Species Name to the NCBI Taxonomy ID.</t>
  </si>
  <si>
    <t>NCBI Taxonomy</t>
  </si>
  <si>
    <t>(Optional) Scientific name of the laboratory host used to propagate the source organism from which the sample was obtained</t>
  </si>
  <si>
    <t>9606</t>
  </si>
  <si>
    <t>Whole number value. Defined by the NCBI Taxonomy</t>
  </si>
  <si>
    <t>0by</t>
  </si>
  <si>
    <t>host_sex_bvbrc</t>
  </si>
  <si>
    <t>Host Sex BV-BRC</t>
  </si>
  <si>
    <t>Sex of the sampled host from the BV-BRC.</t>
  </si>
  <si>
    <t>host sex</t>
  </si>
  <si>
    <t>Host Gender</t>
  </si>
  <si>
    <t>host_gender</t>
  </si>
  <si>
    <t>(Mandatory) Gender or sex of the host.</t>
  </si>
  <si>
    <t>female; hermaphrodite</t>
  </si>
  <si>
    <t>0bz</t>
  </si>
  <si>
    <t>host_subject_id</t>
  </si>
  <si>
    <t>Host Subject ID</t>
  </si>
  <si>
    <t>The unique ID of the sampled host from the BV-BRC.</t>
  </si>
  <si>
    <t>host subject id</t>
  </si>
  <si>
    <t xml:space="preserve">Clinical </t>
  </si>
  <si>
    <t>(Mandatory) A unique identifier by which each subject can be referred to, de-identified, e.g. #131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</si>
  <si>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</si>
  <si>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</si>
  <si>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</si>
  <si>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</si>
  <si>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</si>
  <si>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</si>
  <si>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</si>
  <si>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</si>
  <si>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</si>
  <si>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</si>
  <si>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</si>
  <si>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</si>
  <si>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</si>
  <si>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</si>
  <si>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</si>
  <si>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</si>
  <si>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</si>
  <si>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influenza_virus_type</t>
  </si>
  <si>
    <t>Influenza Virus Type</t>
  </si>
  <si>
    <t>Influenza virus type classification: A, B or C.</t>
  </si>
  <si>
    <t>influenza virus type</t>
  </si>
  <si>
    <t>(Recommended) One of the three influenza virus classification types.</t>
  </si>
  <si>
    <t>A; B; C</t>
  </si>
  <si>
    <t>0cd</t>
  </si>
  <si>
    <t>is_bvbrc_sequence</t>
  </si>
  <si>
    <t>Sequence BV-BRC</t>
  </si>
  <si>
    <t>Flag indicating if this virus sequence is available in BV-BRC.</t>
  </si>
  <si>
    <t>add is_bvbrc</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</si>
  <si>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</si>
  <si>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</si>
  <si>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</si>
  <si>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</si>
  <si>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</si>
  <si>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</si>
  <si>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</si>
  <si>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</si>
  <si>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</si>
  <si>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</si>
  <si>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</si>
  <si>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</si>
  <si>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</si>
  <si>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</si>
  <si>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</si>
  <si>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</si>
  <si>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0cg</t>
  </si>
  <si>
    <t>pangolin_lineage</t>
  </si>
  <si>
    <t>Pangolin Lineage</t>
  </si>
  <si>
    <t>Lineage as determined by Pangolin.</t>
  </si>
  <si>
    <t>PANGOLIN. LINEAGE_LATEST</t>
  </si>
  <si>
    <t>Lineage</t>
  </si>
  <si>
    <t>Analysis</t>
  </si>
  <si>
    <t>depends on how to treat RKI data, they have pangolin leange in json format that includes version and also method information, we could either include that (bad readabiliy, or splt the relevant information for these fields)</t>
  </si>
  <si>
    <t>lineage</t>
  </si>
  <si>
    <t>0ch</t>
  </si>
  <si>
    <t>pangolin_version</t>
  </si>
  <si>
    <t>Pangolin Version</t>
  </si>
  <si>
    <t>Pangolin version used to determine the lineage.</t>
  </si>
  <si>
    <t>PANGOLIN. PANGOLIN_VERSION _LATEST</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</si>
  <si>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</si>
  <si>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</si>
  <si>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</si>
  <si>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</si>
  <si>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</si>
  <si>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</si>
  <si>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0cj</t>
  </si>
  <si>
    <t>rki_accession</t>
  </si>
  <si>
    <t>RKI Accession</t>
  </si>
  <si>
    <t>RKI Accession of the virus sequence.</t>
  </si>
  <si>
    <t>SEQUENCE.ID</t>
  </si>
  <si>
    <t>0ck</t>
  </si>
  <si>
    <t>run_accession</t>
  </si>
  <si>
    <t>Run Accession</t>
  </si>
  <si>
    <t>References a ENA assembly to an ENA Run object.</t>
  </si>
  <si>
    <t>run ref</t>
  </si>
  <si>
    <t>0cl</t>
  </si>
  <si>
    <t>tax_id_ncbi</t>
  </si>
  <si>
    <t>Tax ID NCBI</t>
  </si>
  <si>
    <t>The virus species NCBI Taxonomy ID.</t>
  </si>
  <si>
    <t>tax_id</t>
  </si>
  <si>
    <t>samp_taxon_id</t>
  </si>
  <si>
    <t>NCBI Taxon ID</t>
  </si>
  <si>
    <t>taxon_id</t>
  </si>
  <si>
    <t>sample_ncbi_tax_id</t>
  </si>
  <si>
    <t>ncbi_tax_id</t>
  </si>
  <si>
    <t>Taxonomy</t>
  </si>
  <si>
    <t xml:space="preserve">Taxonomy Descision; </t>
  </si>
  <si>
    <t>Taxonomy Info</t>
  </si>
  <si>
    <t>(Mandatory) Ncbi taxonomy identifier. this is appropriate for individual organisms and some environmental samples.</t>
  </si>
  <si>
    <t>197911</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</si>
  <si>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</si>
  <si>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</si>
  <si>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</si>
  <si>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</si>
  <si>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</si>
  <si>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</si>
  <si>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</si>
  <si>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</si>
  <si>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</si>
  <si>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</si>
  <si>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</si>
  <si>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Abbreviation</t>
  </si>
  <si>
    <t>Common abbreviations of the virus species name.</t>
  </si>
  <si>
    <t>ICTV Taxonomy</t>
  </si>
  <si>
    <t>ICTV</t>
  </si>
  <si>
    <t>tbd</t>
  </si>
  <si>
    <t>HPV</t>
  </si>
  <si>
    <t>Free text, common virus name abbreviations were collected by the ICTV</t>
  </si>
  <si>
    <t>Virus name abbreviation(s)</t>
  </si>
  <si>
    <t>0co</t>
  </si>
  <si>
    <t>sample_species_tax_id</t>
  </si>
  <si>
    <t>Sample Species Tax ID</t>
  </si>
  <si>
    <t>Temporary NCBI Tax ID used for mapping the taxonomy tree to the metadata table.</t>
  </si>
  <si>
    <t>No mapping, seems to  be NCBI Tax ID; not sure</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</si>
  <si>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</si>
  <si>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</si>
  <si>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</si>
  <si>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</si>
  <si>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</si>
  <si>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</si>
  <si>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</si>
  <si>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</si>
  <si>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</si>
  <si>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</si>
  <si>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0cq</t>
  </si>
  <si>
    <t>gc_content_bvbrc</t>
  </si>
  <si>
    <t>GC Content BV-BRC</t>
  </si>
  <si>
    <t>Percentage of G and C nucleotides in the sequence from BVBRC.</t>
  </si>
  <si>
    <t>GC Content</t>
  </si>
  <si>
    <t>gc_content</t>
  </si>
  <si>
    <t>37.355248</t>
  </si>
  <si>
    <t>Decimal number value, describes a percentage(!)</t>
  </si>
  <si>
    <t>0cr</t>
  </si>
  <si>
    <t>n_perc_bvbrc</t>
  </si>
  <si>
    <t>N Percentage BVBRC</t>
  </si>
  <si>
    <t>Percentage of Ns within the whole sequence from BVBRC.</t>
  </si>
  <si>
    <t>NA</t>
  </si>
  <si>
    <t>compl_score; only half of the definition is used</t>
  </si>
  <si>
    <t>remove; change the name and id: sequence_perc_N</t>
  </si>
  <si>
    <t>0cs</t>
  </si>
  <si>
    <t>sequence_name</t>
  </si>
  <si>
    <t>Sequence Name</t>
  </si>
  <si>
    <t>Generic name of the sequence (Name of the entry).</t>
  </si>
  <si>
    <t>assembly_name</t>
  </si>
  <si>
    <t>Genome Name</t>
  </si>
  <si>
    <t>change to BVBRC_genome_name</t>
  </si>
  <si>
    <t>genome_name</t>
  </si>
  <si>
    <t>change name; keep private; compare to Organism Name from NCBI Virus</t>
  </si>
  <si>
    <t>0ct</t>
  </si>
  <si>
    <t>number_of_contigs</t>
  </si>
  <si>
    <t>Number of Contigs</t>
  </si>
  <si>
    <t>Number of contigs in the sequence file.</t>
  </si>
  <si>
    <t>number_contig</t>
  </si>
  <si>
    <t>1;13</t>
  </si>
  <si>
    <t>Whole number value(!)</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</si>
  <si>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</si>
  <si>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</si>
  <si>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</si>
  <si>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</si>
  <si>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</si>
  <si>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</si>
  <si>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</si>
  <si>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</si>
  <si>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</si>
  <si>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</si>
  <si>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</si>
  <si>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</si>
  <si>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needs curation before public; no example needed</t>
  </si>
  <si>
    <t>publication</t>
  </si>
  <si>
    <t>multiple; to curate (compare with the number of pubs with ncbi virus)</t>
  </si>
  <si>
    <t>0cw</t>
  </si>
  <si>
    <t>bvbrc_update_date</t>
  </si>
  <si>
    <t>Update Date</t>
  </si>
  <si>
    <t>Last update date of the sequence in BVBRC (whole entry).</t>
  </si>
  <si>
    <t>Date Modified</t>
  </si>
  <si>
    <t>update definition: last update date of the record in bvbrc)</t>
  </si>
  <si>
    <t>Additional Info</t>
  </si>
  <si>
    <t>date_modified</t>
  </si>
  <si>
    <t>pdate</t>
  </si>
  <si>
    <t>0cx</t>
  </si>
  <si>
    <t>sequence_version</t>
  </si>
  <si>
    <t>Sequence Version</t>
  </si>
  <si>
    <t>Version of the sequence (whole entry).</t>
  </si>
  <si>
    <t>SEQUENCE.VERSION</t>
  </si>
  <si>
    <t>0cy</t>
  </si>
  <si>
    <t>sequencing_center</t>
  </si>
  <si>
    <t>Sequencing Center</t>
  </si>
  <si>
    <t>Institution that sequenced the collected sample.</t>
  </si>
  <si>
    <t>sequencing_centers</t>
  </si>
  <si>
    <t>US Food and Drug Administration</t>
  </si>
  <si>
    <t>0cz</t>
  </si>
  <si>
    <t>insert_size</t>
  </si>
  <si>
    <t>Insert Size</t>
  </si>
  <si>
    <t>Insert size for paired reads.</t>
  </si>
  <si>
    <t>insert size</t>
  </si>
  <si>
    <t>ENA Experiment</t>
  </si>
  <si>
    <t>VJDB Experiment</t>
  </si>
  <si>
    <t>(Optional) Insert size for paired reads</t>
  </si>
  <si>
    <t>0da</t>
  </si>
  <si>
    <t>sequencing_instrument</t>
  </si>
  <si>
    <t>Sequencing Instrument</t>
  </si>
  <si>
    <t>Instrument model used for sequencing.</t>
  </si>
  <si>
    <t>instrument model</t>
  </si>
  <si>
    <t>seq_meth</t>
  </si>
  <si>
    <t>instrument_model</t>
  </si>
  <si>
    <t>(Mandatory) Model of the sequencing instrument.</t>
  </si>
  <si>
    <t>AB 310 Genetic Analyzer</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</si>
  <si>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</si>
  <si>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</si>
  <si>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</si>
  <si>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</si>
  <si>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</si>
  <si>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</si>
  <si>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</si>
  <si>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</si>
  <si>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</si>
  <si>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</si>
  <si>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</si>
  <si>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</si>
  <si>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</si>
  <si>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</si>
  <si>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</si>
  <si>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</si>
  <si>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</si>
  <si>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</si>
  <si>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</si>
  <si>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</si>
  <si>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</si>
  <si>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</si>
  <si>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</si>
  <si>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</si>
  <si>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</si>
  <si>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</si>
  <si>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</si>
  <si>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</si>
  <si>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</si>
  <si>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</si>
  <si>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</si>
  <si>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</si>
  <si>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</si>
  <si>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</si>
  <si>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</si>
  <si>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</si>
  <si>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</si>
  <si>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</si>
  <si>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</si>
  <si>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</si>
  <si>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</si>
  <si>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</si>
  <si>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</si>
  <si>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</si>
  <si>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</si>
  <si>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</si>
  <si>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</si>
  <si>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</si>
  <si>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</si>
  <si>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</si>
  <si>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</si>
  <si>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</si>
  <si>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</si>
  <si>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</si>
  <si>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</si>
  <si>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</si>
  <si>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CAPILLARY</t>
  </si>
  <si>
    <t>0dj</t>
  </si>
  <si>
    <t>sequencing_reason</t>
  </si>
  <si>
    <t>Sequencing Reason</t>
  </si>
  <si>
    <t>Why was the collected sample sequenced?</t>
  </si>
  <si>
    <t>sample capture status</t>
  </si>
  <si>
    <t>SEQUENCE. SEQUENCING_REASON; different vocabulary</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</si>
  <si>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</si>
  <si>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</si>
  <si>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</si>
  <si>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</si>
  <si>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</si>
  <si>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0dl</t>
  </si>
  <si>
    <t>submitter_country</t>
  </si>
  <si>
    <t>Submitter Country</t>
  </si>
  <si>
    <t>Country of the submitter's organization.</t>
  </si>
  <si>
    <t>Org_location</t>
  </si>
  <si>
    <t>0dm</t>
  </si>
  <si>
    <t>submitter_region</t>
  </si>
  <si>
    <t>Submitter Region</t>
  </si>
  <si>
    <t>Region or location of the organization of the submitters.</t>
  </si>
  <si>
    <t>split organization to submitter_region</t>
  </si>
  <si>
    <t>0dn</t>
  </si>
  <si>
    <t>virjendb_accession</t>
  </si>
  <si>
    <t>VirJenDB Accession</t>
  </si>
  <si>
    <t>Unique identifier of the virus sequence, assigned by VirJenDB.</t>
  </si>
  <si>
    <t>10580360</t>
  </si>
  <si>
    <t>Whole number value</t>
  </si>
  <si>
    <t>0do</t>
  </si>
  <si>
    <t>virjendb_metadata_version</t>
  </si>
  <si>
    <t>VirJenDB Metadata Version</t>
  </si>
  <si>
    <t>Version of the virus sequence record, including metadata, assigned by VirJenDB.</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</si>
  <si>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</si>
  <si>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</si>
  <si>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</si>
  <si>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</si>
  <si>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</si>
  <si>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</si>
  <si>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</si>
  <si>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</si>
  <si>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</si>
  <si>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</si>
  <si>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</si>
  <si>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</si>
  <si>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</si>
  <si>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</si>
  <si>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</si>
  <si>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</si>
  <si>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</si>
  <si>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</si>
  <si>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</si>
  <si>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</si>
  <si>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</si>
  <si>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</si>
  <si>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</si>
  <si>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</si>
  <si>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</si>
  <si>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</si>
  <si>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</si>
  <si>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</si>
  <si>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</si>
  <si>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</si>
  <si>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</si>
  <si>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</si>
  <si>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</si>
  <si>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</si>
  <si>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</si>
  <si>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</si>
  <si>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</si>
  <si>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</si>
  <si>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</si>
  <si>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</si>
  <si>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</si>
  <si>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</si>
  <si>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</si>
  <si>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</si>
  <si>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</si>
  <si>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</si>
  <si>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</si>
  <si>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</si>
  <si>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</si>
  <si>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</si>
  <si>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</si>
  <si>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</si>
  <si>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</si>
  <si>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</si>
  <si>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</si>
  <si>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</si>
  <si>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</si>
  <si>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</si>
  <si>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</si>
  <si>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</si>
  <si>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</si>
  <si>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</si>
  <si>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</si>
  <si>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0dy</t>
  </si>
  <si>
    <t>host_description</t>
  </si>
  <si>
    <t>Host Description</t>
  </si>
  <si>
    <t>Other descriptive information relating to the host.</t>
  </si>
  <si>
    <t>host description</t>
  </si>
  <si>
    <t>(Optional) Other descriptive information relating to the host.</t>
  </si>
  <si>
    <t>textarea</t>
  </si>
  <si>
    <t>0dz</t>
  </si>
  <si>
    <t>illness_duration</t>
  </si>
  <si>
    <t>Illness Duration</t>
  </si>
  <si>
    <t>The number of days the illness lasted. example: 4</t>
  </si>
  <si>
    <t>illness duration</t>
  </si>
  <si>
    <t>(Optional) The number of days the illness lasted. example: 4</t>
  </si>
  <si>
    <t>4</t>
  </si>
  <si>
    <t>0ea</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</si>
  <si>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</si>
  <si>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</si>
  <si>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</si>
  <si>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</si>
  <si>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</si>
  <si>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</si>
  <si>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</si>
  <si>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</si>
  <si>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</si>
  <si>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</si>
  <si>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</si>
  <si>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</si>
  <si>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</si>
  <si>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</si>
  <si>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</si>
  <si>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</si>
  <si>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</si>
  <si>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</si>
  <si>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</si>
  <si>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</si>
  <si>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</si>
  <si>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</si>
  <si>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</si>
  <si>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</si>
  <si>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</si>
  <si>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</si>
  <si>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</si>
  <si>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</si>
  <si>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</si>
  <si>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</si>
  <si>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</si>
  <si>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</si>
  <si>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</si>
  <si>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</si>
  <si>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</si>
  <si>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</si>
  <si>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</si>
  <si>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</si>
  <si>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</si>
  <si>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</si>
  <si>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</si>
  <si>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</si>
  <si>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</si>
  <si>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</si>
  <si>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</si>
  <si>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</si>
  <si>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</si>
  <si>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</si>
  <si>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</si>
  <si>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</si>
  <si>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</si>
  <si>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</si>
  <si>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</si>
  <si>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</si>
  <si>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</si>
  <si>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</si>
  <si>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</si>
  <si>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</si>
  <si>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</si>
  <si>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</si>
  <si>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</si>
  <si>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</si>
  <si>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</si>
  <si>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</si>
  <si>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</si>
  <si>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meaning_of_cut_off_value</t>
  </si>
  <si>
    <t>Meaning of Cut Off Value</t>
  </si>
  <si>
    <t>Description helping to explain what the cut off value means.</t>
  </si>
  <si>
    <t>meaning of cut off value</t>
  </si>
  <si>
    <t>(Optional) Description helping to explain what the cut off value means.</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</si>
  <si>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</si>
  <si>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</si>
  <si>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</si>
  <si>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</si>
  <si>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</si>
  <si>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</si>
  <si>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</si>
  <si>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</si>
  <si>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</si>
  <si>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</si>
  <si>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</si>
  <si>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</si>
  <si>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</si>
  <si>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</si>
  <si>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</si>
  <si>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sample_capture_status</t>
  </si>
  <si>
    <t>Sample Capture Status</t>
  </si>
  <si>
    <t>Reason for the sample collection.</t>
  </si>
  <si>
    <t>(Recommended) Reason for the sample collection.</t>
  </si>
  <si>
    <t>active surveillance in response to outbreak; market sample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</si>
  <si>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</si>
  <si>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</si>
  <si>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</si>
  <si>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</si>
  <si>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</si>
  <si>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</si>
  <si>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</si>
  <si>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</si>
  <si>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sample_description</t>
  </si>
  <si>
    <t>Sample Description</t>
  </si>
  <si>
    <t>Free-form text describing the sample, its origin, and its method of isolation.</t>
  </si>
  <si>
    <t>(Optional) Free-form text describing the sample, its origin, and its method of isolation.</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</si>
  <si>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</si>
  <si>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</si>
  <si>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</si>
  <si>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</si>
  <si>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</si>
  <si>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</si>
  <si>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</si>
  <si>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0er</t>
  </si>
  <si>
    <t>strain</t>
  </si>
  <si>
    <t>Strain</t>
  </si>
  <si>
    <t>Name of the virus strain associated with the sample from which the virus sequence was obtained.</t>
  </si>
  <si>
    <t>(Optional) Name of the strain from which the sample was obtained.</t>
  </si>
  <si>
    <t>0es</t>
  </si>
  <si>
    <t>study_description</t>
  </si>
  <si>
    <t>Study Description</t>
  </si>
  <si>
    <t>Briefly describes the goals, purpose, and scope of the study.  this need not be listed if it can be inherited from a referenced publication.</t>
  </si>
  <si>
    <t>study_abstract</t>
  </si>
  <si>
    <t>Study</t>
  </si>
  <si>
    <t>(Optional) Briefly describes the goals, purpose, and scope of the study. this need not be listed if it can be inherited from a referenced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</si>
  <si>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</si>
  <si>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</si>
  <si>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</si>
  <si>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</si>
  <si>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</si>
  <si>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</si>
  <si>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</si>
  <si>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</si>
  <si>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</si>
  <si>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</si>
  <si>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</si>
  <si>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</si>
  <si>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</si>
  <si>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</si>
  <si>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</si>
  <si>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</si>
  <si>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</si>
  <si>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study_title</t>
  </si>
  <si>
    <t>Study Title</t>
  </si>
  <si>
    <t>Clear and useful title of the study/project, e.g. a title usable for a publication or the purpose of the project and its timeframe.</t>
  </si>
  <si>
    <t>title</t>
  </si>
  <si>
    <t>(Mandatory) Title of the study as would be used in a publication.</t>
  </si>
  <si>
    <t>0ew</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</si>
  <si>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</si>
  <si>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</si>
  <si>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</si>
  <si>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</si>
  <si>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</si>
  <si>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</si>
  <si>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</si>
  <si>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</si>
  <si>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</si>
  <si>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</si>
  <si>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</si>
  <si>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</si>
  <si>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</si>
  <si>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</si>
  <si>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</si>
  <si>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</si>
  <si>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</si>
  <si>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</si>
  <si>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</si>
  <si>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</si>
  <si>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</si>
  <si>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</si>
  <si>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</si>
  <si>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</si>
  <si>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</si>
  <si>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</si>
  <si>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</si>
  <si>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</si>
  <si>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</si>
  <si>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</si>
  <si>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</si>
  <si>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</si>
  <si>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</si>
  <si>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</si>
  <si>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</si>
  <si>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</si>
  <si>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</si>
  <si>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</si>
  <si>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</si>
  <si>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</si>
  <si>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</si>
  <si>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</si>
  <si>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</si>
  <si>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</si>
  <si>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</si>
  <si>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virus_old_names</t>
  </si>
  <si>
    <t>Virus Old Names</t>
  </si>
  <si>
    <t>Collection of outdated names for a particular virus.</t>
  </si>
  <si>
    <t>0fe</t>
  </si>
  <si>
    <t>sequence_byte_range</t>
  </si>
  <si>
    <t>Sequence Byte Range</t>
  </si>
  <si>
    <t>Byte range data of the sample in the sequence file without the header</t>
  </si>
  <si>
    <t>0ff</t>
  </si>
  <si>
    <t>sequence_path</t>
  </si>
  <si>
    <t>Sequence Path</t>
  </si>
  <si>
    <t xml:space="preserve">The file location of the multiseq fasta file including the parent folder name </t>
  </si>
  <si>
    <t>0fg</t>
  </si>
  <si>
    <t>insertion_date</t>
  </si>
  <si>
    <t>Insertion Date</t>
  </si>
  <si>
    <t>Date of the insertion into the VirJenDB</t>
  </si>
  <si>
    <t>0fh</t>
  </si>
  <si>
    <t>update_date</t>
  </si>
  <si>
    <t>VirJenDB Update Date</t>
  </si>
  <si>
    <t>The last date the metadata was updated in the VirJen database.</t>
  </si>
  <si>
    <t>0fi</t>
  </si>
  <si>
    <t>realm_ictv</t>
  </si>
  <si>
    <t>Realm ICTV</t>
  </si>
  <si>
    <t>A 'Realm' is the highest taxonomic rank into which a virus sequence can be classified. Defined by the ICTV.</t>
  </si>
  <si>
    <t>ictv_realm</t>
  </si>
  <si>
    <t>Virus Taxonomy</t>
  </si>
  <si>
    <t>Realm</t>
  </si>
  <si>
    <t>0fj</t>
  </si>
  <si>
    <t>subrealm_ictv</t>
  </si>
  <si>
    <t>Subrealm ICTV</t>
  </si>
  <si>
    <t>A 'Subrealm' is a rank in the taxonomic hierarchy into which virus species can be classified. Defined by the ICTV.</t>
  </si>
  <si>
    <t>ictv_subrealm</t>
  </si>
  <si>
    <t>Subrealm</t>
  </si>
  <si>
    <t>0fk</t>
  </si>
  <si>
    <t>kingdom_ictv</t>
  </si>
  <si>
    <t>Kingdom ICTV</t>
  </si>
  <si>
    <t>A 'Kingdom' is a rank in the taxonomic hierarchy into which a virus sequence can be classified. Defined by the ICTV.</t>
  </si>
  <si>
    <t>ictv_kingdom</t>
  </si>
  <si>
    <t>Kingdom</t>
  </si>
  <si>
    <t>0fl</t>
  </si>
  <si>
    <t>subkingdom_ictv</t>
  </si>
  <si>
    <t>Subkingdom ICTV</t>
  </si>
  <si>
    <t>A 'Subkingdom' is a rank in the taxonomic hierarchy into which virus species can be classified. Defined by the ICTV.</t>
  </si>
  <si>
    <t>ictv_subkingdom</t>
  </si>
  <si>
    <t>Subkingdom</t>
  </si>
  <si>
    <t>0fm</t>
  </si>
  <si>
    <t>phylum_ictv</t>
  </si>
  <si>
    <t>Phylum ICTV</t>
  </si>
  <si>
    <t>A 'Phylum' is a rank in the taxonomic hierarchy into which a virus sequence can be classified. Defined by the ICTV.</t>
  </si>
  <si>
    <t>ictv_phylum</t>
  </si>
  <si>
    <t>Phylum</t>
  </si>
  <si>
    <t>0fn</t>
  </si>
  <si>
    <t>subphylum_ictv</t>
  </si>
  <si>
    <t>Subphylum ICTV</t>
  </si>
  <si>
    <t>A 'Subphylum' is a rank in the taxonomic hierarchy into which a virus sequence can be classified. Defined by the ICTV.</t>
  </si>
  <si>
    <t>ictv_subphylum</t>
  </si>
  <si>
    <t>Subphylum</t>
  </si>
  <si>
    <t>0fo</t>
  </si>
  <si>
    <t>class_ictv</t>
  </si>
  <si>
    <t>Class ICTV</t>
  </si>
  <si>
    <t>A 'Class' is a rank in the taxonomic hierarchy into which a virus sequence can be classified. Defined by the ICTV.</t>
  </si>
  <si>
    <t>ictv_class</t>
  </si>
  <si>
    <t>Class</t>
  </si>
  <si>
    <t>0fp</t>
  </si>
  <si>
    <t>subclass_ictv</t>
  </si>
  <si>
    <t>Subclass ICTV</t>
  </si>
  <si>
    <t>A 'Subclass' is a rank in the taxonomic hierarchy into which virus species can be classified. Defined by the ICTV.</t>
  </si>
  <si>
    <t>ictv_subclass</t>
  </si>
  <si>
    <t>Subclass</t>
  </si>
  <si>
    <t>0fq</t>
  </si>
  <si>
    <t>order_ictv</t>
  </si>
  <si>
    <t>Order ICTV</t>
  </si>
  <si>
    <t>A 'Order' is a rank in the taxonomic hierarchy into which a virus sequence can be classified. Defined by the ICTV.</t>
  </si>
  <si>
    <t>ictv_order</t>
  </si>
  <si>
    <t>Order</t>
  </si>
  <si>
    <t>0fr</t>
  </si>
  <si>
    <t>suborder_ictv</t>
  </si>
  <si>
    <t>Suborder ICTV</t>
  </si>
  <si>
    <t>A 'suborder' is a rank in the taxonomic hierarchy into which a virus sequence can be classified. Defined by the ICTV.</t>
  </si>
  <si>
    <t>ictv_suborder</t>
  </si>
  <si>
    <t>Suborder</t>
  </si>
  <si>
    <t>0fs</t>
  </si>
  <si>
    <t>family_ictv</t>
  </si>
  <si>
    <t>Family ICTV</t>
  </si>
  <si>
    <t>A 'Family' is a rank in the taxonomic hierarchy into which a virus sequence can be classified. Defined by the ICTV.</t>
  </si>
  <si>
    <t>ictv_family</t>
  </si>
  <si>
    <t>Family</t>
  </si>
  <si>
    <t>0ft</t>
  </si>
  <si>
    <t>subfamily_ictv</t>
  </si>
  <si>
    <t>Subfamily ICTV</t>
  </si>
  <si>
    <t>A 'Subfamily' is a rank in the taxonomic hierarchy into which a virus sequence can be classified. Defined by the ICTV.</t>
  </si>
  <si>
    <t>ictv_subfamily</t>
  </si>
  <si>
    <t>Subfamily</t>
  </si>
  <si>
    <t>0fu</t>
  </si>
  <si>
    <t>genus_ictv</t>
  </si>
  <si>
    <t>Genus ICTV</t>
  </si>
  <si>
    <t>A 'Genus' is a rank in the taxonomic hierarchy into which a virus sequence can be classified. Defined by the ICTV.</t>
  </si>
  <si>
    <t>ictv_genus</t>
  </si>
  <si>
    <t>Genus</t>
  </si>
  <si>
    <t>0fv</t>
  </si>
  <si>
    <t>subgenus_ictv</t>
  </si>
  <si>
    <t>Subgenus ICTV</t>
  </si>
  <si>
    <t>A 'Subgenus' is a rank in the taxonomic hierarchy into which a virus sequence can be classified. Defined by the ICTV.</t>
  </si>
  <si>
    <t>ictv_subgenus</t>
  </si>
  <si>
    <t>Subgenus</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</si>
  <si>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</si>
  <si>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</si>
  <si>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</si>
  <si>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</si>
  <si>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</si>
  <si>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</si>
  <si>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</si>
  <si>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0fx</t>
  </si>
  <si>
    <t>realm_ncbi</t>
  </si>
  <si>
    <t>Realm NCBI</t>
  </si>
  <si>
    <t>A 'Realm' is the highest taxonomic rank into which virus species can be classified. Defined by the NCBI.</t>
  </si>
  <si>
    <t>ncbi_realm</t>
  </si>
  <si>
    <t>0fy</t>
  </si>
  <si>
    <t>ncbi_subrealm</t>
  </si>
  <si>
    <t>NCBI Subrealm</t>
  </si>
  <si>
    <t>A 'Subrealm' is a rank in the taxonomic hierarchy into which virus species can be classified. Defined by the NCBI.</t>
  </si>
  <si>
    <t>0fz</t>
  </si>
  <si>
    <t>kingdom_ncbi</t>
  </si>
  <si>
    <t>Kingdom NCBI</t>
  </si>
  <si>
    <t>A 'Kingdom' is a rank in the taxonomic hierarchy into which a virus sequence can be classified. Defined by the NCBI.</t>
  </si>
  <si>
    <t>ncbi_kingdom</t>
  </si>
  <si>
    <t>kingdom</t>
  </si>
  <si>
    <t>0ga</t>
  </si>
  <si>
    <t>ncbi_subkingdom</t>
  </si>
  <si>
    <t>NCBI Subkingdom</t>
  </si>
  <si>
    <t>A 'Subkingdom' is a rank in the taxonomic hierarchy into which virus species can be classified. Defined by the NCBI.</t>
  </si>
  <si>
    <t>0gb</t>
  </si>
  <si>
    <t>phylum_ncbi</t>
  </si>
  <si>
    <t>Phylum NCBI</t>
  </si>
  <si>
    <t>A 'Phylum' is a rank in the taxonomic hierarchy into which a virus sequence can be classified. Defined by the NCBI.</t>
  </si>
  <si>
    <t>ncbi_phylum</t>
  </si>
  <si>
    <t>phylum</t>
  </si>
  <si>
    <t>0gc</t>
  </si>
  <si>
    <t>subphylum_ncbi</t>
  </si>
  <si>
    <t>Subphylum NCBI</t>
  </si>
  <si>
    <t>A 'Subphylum' is a rank in the taxonomic hierarchy into which a virus sequence can be classified. Defined by the NCBI.</t>
  </si>
  <si>
    <t>ncbi_subphylum</t>
  </si>
  <si>
    <t>0gd</t>
  </si>
  <si>
    <t>class_ncbi</t>
  </si>
  <si>
    <t>Class NCBI</t>
  </si>
  <si>
    <t>A 'Class' is a rank in the taxonomic hierarchy into which a virus sequence can be classified. Defined by the NCBI.</t>
  </si>
  <si>
    <t>ncbi_class</t>
  </si>
  <si>
    <t>class</t>
  </si>
  <si>
    <t>0ge</t>
  </si>
  <si>
    <t>ncbi_subclass</t>
  </si>
  <si>
    <t>NCBI Subclass</t>
  </si>
  <si>
    <t>A 'Subclass' is a rank in the taxonomic hierarchy into which virus species can be classified. Defined by the NCBI.</t>
  </si>
  <si>
    <t>0gf</t>
  </si>
  <si>
    <t>order_ncbi</t>
  </si>
  <si>
    <t>Order NCBI</t>
  </si>
  <si>
    <t>A 'Order' is a rank in the taxonomic hierarchy into which a virus sequence can be classified. Defined by the NCBI.</t>
  </si>
  <si>
    <t>ncbi_order</t>
  </si>
  <si>
    <t>order</t>
  </si>
  <si>
    <t>0gg</t>
  </si>
  <si>
    <t>suborder_ncbi</t>
  </si>
  <si>
    <t>Suborder NCBI</t>
  </si>
  <si>
    <t>A 'suborder' is a rank in the taxonomic hierarchy into which a virus sequence can be classified. Defined by the NCBI.</t>
  </si>
  <si>
    <t>ncbi_suborder</t>
  </si>
  <si>
    <t>0gh</t>
  </si>
  <si>
    <t>family_ncbi</t>
  </si>
  <si>
    <t>Family NCBI</t>
  </si>
  <si>
    <t>A 'Family' is a rank in the taxonomic hierarchy into which a virus sequence can be classified. Defined by the NCBI.</t>
  </si>
  <si>
    <t>ncbi_family</t>
  </si>
  <si>
    <t>Family name, as identified by NCBI Taxonomy.</t>
  </si>
  <si>
    <t>family</t>
  </si>
  <si>
    <t>0gi</t>
  </si>
  <si>
    <t>subfamily_ncbi</t>
  </si>
  <si>
    <t>Subfamily NCBI</t>
  </si>
  <si>
    <t>A 'Subfamily' is a rank in the taxonomic hierarchy into which a virus sequence can be classified. Defined by the NCBI.</t>
  </si>
  <si>
    <t>ncbi_subfamily</t>
  </si>
  <si>
    <t>0gj</t>
  </si>
  <si>
    <t>genus_ncbi</t>
  </si>
  <si>
    <t>Genus NCBI</t>
  </si>
  <si>
    <t>A 'Genus' is a rank in the taxonomic hierarchy into which virus a sequence can be classified. Defined by the NCBI.</t>
  </si>
  <si>
    <t>ncbi_genus</t>
  </si>
  <si>
    <t>Genus name, as identified by NCBI Taxonomy.</t>
  </si>
  <si>
    <t>genus</t>
  </si>
  <si>
    <t>0gk</t>
  </si>
  <si>
    <t>subgenus_ncbi</t>
  </si>
  <si>
    <t>Subgenus NCBI</t>
  </si>
  <si>
    <t>A 'Subgenus' is a rank in the taxonomic hierarchy into which a virus sequence can be classified. Defined by the NCBI.</t>
  </si>
  <si>
    <t>ncbi_subgenus</t>
  </si>
  <si>
    <t xml:space="preserve">NCBI </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</si>
  <si>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</si>
  <si>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</si>
  <si>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</si>
  <si>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</si>
  <si>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</si>
  <si>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</si>
  <si>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</si>
  <si>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</si>
  <si>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</si>
  <si>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</si>
  <si>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</si>
  <si>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</si>
  <si>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</si>
  <si>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</si>
  <si>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</si>
  <si>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</si>
  <si>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</si>
  <si>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</si>
  <si>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</si>
  <si>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</si>
  <si>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</si>
  <si>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</si>
  <si>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</si>
  <si>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</si>
  <si>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</si>
  <si>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</si>
  <si>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</si>
  <si>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</si>
  <si>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</si>
  <si>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</si>
  <si>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</si>
  <si>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</si>
  <si>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</si>
  <si>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</si>
  <si>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</si>
  <si>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</si>
  <si>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0gq</t>
  </si>
  <si>
    <t>host_age_normalized</t>
  </si>
  <si>
    <t>Host Age Normalized</t>
  </si>
  <si>
    <t>Host Age with a uniform unit, TBD</t>
  </si>
  <si>
    <t>Use for sorting by host age, and relevant for plotting; not sure</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</si>
  <si>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</si>
  <si>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</si>
  <si>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</si>
  <si>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</si>
  <si>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</si>
  <si>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</si>
  <si>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</si>
  <si>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</si>
  <si>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</si>
  <si>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0gs</t>
  </si>
  <si>
    <t>lab_passaged</t>
  </si>
  <si>
    <t>Lab Passaged</t>
  </si>
  <si>
    <t>Indicator that sequences came from samples from a laboratory setting, and not from a wild host.</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</si>
  <si>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</si>
  <si>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</si>
  <si>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</si>
  <si>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</si>
  <si>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</si>
  <si>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</si>
  <si>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</si>
  <si>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</si>
  <si>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</si>
  <si>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</si>
  <si>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</si>
  <si>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</si>
  <si>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</si>
  <si>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</si>
  <si>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0gv</t>
  </si>
  <si>
    <t>lineage_names_ictv</t>
  </si>
  <si>
    <t>Lineage Names ICTV</t>
  </si>
  <si>
    <t>Aggregation of the ICTV Taxonomy Names associated with the virus sequence.</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</si>
  <si>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</si>
  <si>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</si>
  <si>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</si>
  <si>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</si>
  <si>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</si>
  <si>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</si>
  <si>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0gx</t>
  </si>
  <si>
    <t>is_viralzone_page</t>
  </si>
  <si>
    <t>ViralZone Page</t>
  </si>
  <si>
    <t>Flag indicating yes if there is one page in Viralzone associated to this Taxon ID.</t>
  </si>
  <si>
    <t>ViralZone</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</si>
  <si>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</si>
  <si>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</si>
  <si>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</si>
  <si>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</si>
  <si>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</si>
  <si>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</si>
  <si>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</si>
  <si>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0gz</t>
  </si>
  <si>
    <t>ictv_id</t>
  </si>
  <si>
    <t>ICTV ID</t>
  </si>
  <si>
    <t>ICTV ID from Master_Species_List file</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</si>
  <si>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</si>
  <si>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</si>
  <si>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0ha</t>
  </si>
  <si>
    <t>virus_name_ictv</t>
  </si>
  <si>
    <t>Virus name ICTV</t>
  </si>
  <si>
    <t>Commonly used virus name (or names separated by a semi-colon).</t>
  </si>
  <si>
    <t>Virus name(s)</t>
  </si>
  <si>
    <t>0hb</t>
  </si>
  <si>
    <t>host_age_bvbrc</t>
  </si>
  <si>
    <t>Host Age BV-BRC</t>
  </si>
  <si>
    <t>Host Age with unit from BV-BRC.</t>
  </si>
  <si>
    <t>Seperation of values good for submission, display should be in one, needs curation from ENA values, seperate Fields for submission?</t>
  </si>
  <si>
    <t>0hc</t>
  </si>
  <si>
    <t>taxonomy_tree_hash</t>
  </si>
  <si>
    <t>Taxonomy Tree Hash</t>
  </si>
  <si>
    <t>Hash ontent for the rank in the taxonomy tree.</t>
  </si>
  <si>
    <t>0hd</t>
  </si>
  <si>
    <t>is_current_version</t>
  </si>
  <si>
    <t>Current Record Version</t>
  </si>
  <si>
    <t>A flag that indicates if the record is the latest update in VirJenDB database</t>
  </si>
  <si>
    <t>0he</t>
  </si>
  <si>
    <t>change_log</t>
  </si>
  <si>
    <t>Change Log</t>
  </si>
  <si>
    <t>List of VirJenDB metadata fields and their content when they are updated in each release in compare to the previous version</t>
  </si>
  <si>
    <t>nested</t>
  </si>
  <si>
    <t>0hf</t>
  </si>
  <si>
    <t>analysis_title</t>
  </si>
  <si>
    <t>Analysis Title</t>
  </si>
  <si>
    <t>Clear and useful title to identify the analysis of your sequencing experiment. This title will not be submitted to the ENA on submission.</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</si>
  <si>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</si>
  <si>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</si>
  <si>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</si>
  <si>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</si>
  <si>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</si>
  <si>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</si>
  <si>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</si>
  <si>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IMG/VR|PhiSpy|PhD</t>
  </si>
  <si>
    <t>0hh</t>
  </si>
  <si>
    <t>genome_sequence</t>
  </si>
  <si>
    <t>Genome Sequence</t>
  </si>
  <si>
    <t>Virus genome sequence</t>
  </si>
  <si>
    <t>NCBI Virus|BVBRC|GTDB</t>
  </si>
  <si>
    <t>0hi</t>
  </si>
  <si>
    <t>genome_sequence_hash</t>
  </si>
  <si>
    <t>Genome Sequence Hash</t>
  </si>
  <si>
    <t>VIrus genome sequence hash SHA256</t>
  </si>
  <si>
    <t>0hj</t>
  </si>
  <si>
    <t>is_unique_representative</t>
  </si>
  <si>
    <t>Unique Representative</t>
  </si>
  <si>
    <t>Flag indicating yes if the sequence is a representative for a group of identical VirJenDB sequences.</t>
  </si>
  <si>
    <t>0hk</t>
  </si>
  <si>
    <t>unique_reference</t>
  </si>
  <si>
    <t>Unique Reference</t>
  </si>
  <si>
    <t>The VirJenDB ID for the unique representative sequence. For the non-phages, the smallest Accession in the group.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</si>
  <si>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</si>
  <si>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</si>
  <si>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</si>
  <si>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</si>
  <si>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0hm</t>
  </si>
  <si>
    <t>cluster_reference</t>
  </si>
  <si>
    <t>Cluster Reference</t>
  </si>
  <si>
    <t>The VirJenDB ID of the representative of its cluster. See documentation for selection details.</t>
  </si>
  <si>
    <t>0hn</t>
  </si>
  <si>
    <t>virus_prediction_method</t>
  </si>
  <si>
    <t>Virus Prediction Method</t>
  </si>
  <si>
    <t xml:space="preserve">The tool used to predict the virus sequence. No value means that it is not a predicted virus sequence. </t>
  </si>
  <si>
    <t>0ho</t>
  </si>
  <si>
    <t>host_accession</t>
  </si>
  <si>
    <t>Host Accession</t>
  </si>
  <si>
    <t>Host Accession from NCBI GenBank that refers to the host sequence from which the prophage was predicted.</t>
  </si>
  <si>
    <t>host_insdc_accession_id</t>
  </si>
  <si>
    <t>0hp</t>
  </si>
  <si>
    <t>host_assembly_program</t>
  </si>
  <si>
    <t>Host Assembly Program</t>
  </si>
  <si>
    <t>The program used for host genome assembly.</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</si>
  <si>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</si>
  <si>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</si>
  <si>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</si>
  <si>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</si>
  <si>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</si>
  <si>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</si>
  <si>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</si>
  <si>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</si>
  <si>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</si>
  <si>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</si>
  <si>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0hs</t>
  </si>
  <si>
    <t>host_country</t>
  </si>
  <si>
    <t>Host Country</t>
  </si>
  <si>
    <t>Country or sea area origin of the sample from which the host sequence originates.</t>
  </si>
  <si>
    <t>host_collection_country</t>
  </si>
  <si>
    <t>0ht</t>
  </si>
  <si>
    <t>host_collection_date</t>
  </si>
  <si>
    <t>Host Collection Date</t>
  </si>
  <si>
    <t>Date of collection of the sample from which the host sequence originates.</t>
  </si>
  <si>
    <t>2023-05-23</t>
  </si>
  <si>
    <t>0hu</t>
  </si>
  <si>
    <t>host_imgm_taxon_oid</t>
  </si>
  <si>
    <t>Host IMGM Taxon OID</t>
  </si>
  <si>
    <t>Associated Host IMGM Taxon OID from which the virus sequence was extracted by IMG/VR.</t>
  </si>
  <si>
    <t>host_imgvr_taxon_oid</t>
  </si>
  <si>
    <t>0hv</t>
  </si>
  <si>
    <t>phage_id</t>
  </si>
  <si>
    <t>phage id</t>
  </si>
  <si>
    <t>phage id internal identifier</t>
  </si>
  <si>
    <t>From Malte's dataset, deprecated (VirJenDB Accession as new Identifier), soon to be removed</t>
  </si>
  <si>
    <t>0hw</t>
  </si>
  <si>
    <t>host_average_sequence_depth</t>
  </si>
  <si>
    <t>Host Average Sequence Depth</t>
  </si>
  <si>
    <t xml:space="preserve">Average sequencing depth across the host sequence. Multiple host associations/predictions separated by semicolons. </t>
  </si>
  <si>
    <t>host_sequence_average_depth_coverage</t>
  </si>
  <si>
    <t>0hx</t>
  </si>
  <si>
    <t>host_sequencing_platform</t>
  </si>
  <si>
    <t>Host Sequencing Platform</t>
  </si>
  <si>
    <t xml:space="preserve">Instrument or sequencing platform used for host sequencing. Multiple host associations/predictions separated by semicolons. </t>
  </si>
  <si>
    <t>0hy</t>
  </si>
  <si>
    <t>lineage_hash_list_ictv</t>
  </si>
  <si>
    <t>Lineage Hash List ICTV</t>
  </si>
  <si>
    <t>The list of the hash for the lineage of the rank in the ICTV VMR.</t>
  </si>
  <si>
    <t>0hz</t>
  </si>
  <si>
    <t>parent_hash</t>
  </si>
  <si>
    <t>Parent Hash</t>
  </si>
  <si>
    <t>Taxonomy Table Hash ID of the Parent Rank</t>
  </si>
  <si>
    <t>0ia</t>
  </si>
  <si>
    <t>rank_hash</t>
  </si>
  <si>
    <t>Rank Hash</t>
  </si>
  <si>
    <t>Taxonomy Table Hash ID of the Rank</t>
  </si>
  <si>
    <t>0ib</t>
  </si>
  <si>
    <t>rank_name_ictv</t>
  </si>
  <si>
    <t>Rank Name ICTV</t>
  </si>
  <si>
    <t>ICTV Rank Name</t>
  </si>
  <si>
    <t>0ic</t>
  </si>
  <si>
    <t>rank_type_ictv</t>
  </si>
  <si>
    <t>Rank Type ICTV</t>
  </si>
  <si>
    <t>ICTV Rank Type</t>
  </si>
  <si>
    <t>0id</t>
  </si>
  <si>
    <t>imgvr_uvig_id</t>
  </si>
  <si>
    <t>IMGVR UVIG ID</t>
  </si>
  <si>
    <t>Identifier</t>
  </si>
  <si>
    <t>0ie</t>
  </si>
  <si>
    <t>is_coding_strand</t>
  </si>
  <si>
    <t>Coding Strand</t>
  </si>
  <si>
    <t>True if the current virus sequence is a coding strand. Calculated by part of the ViralClust tool suite. Only intended for ssRNA viruses.</t>
  </si>
  <si>
    <t>TRUE</t>
  </si>
  <si>
    <t>TRUE: is coding strand
FALSE: is reverse complement</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</si>
  <si>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</si>
  <si>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</si>
  <si>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</si>
  <si>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</si>
  <si>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</si>
  <si>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</si>
  <si>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</si>
  <si>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</si>
  <si>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0ih</t>
  </si>
  <si>
    <t>clade_ncbi</t>
  </si>
  <si>
    <t>Clade NCBI</t>
  </si>
  <si>
    <t>Sub-species designation of the virus sequence, from NCBI GenBank field "clade".</t>
  </si>
  <si>
    <t>0ii</t>
  </si>
  <si>
    <t>genotype_ncbi</t>
  </si>
  <si>
    <t>Genotype NCBI</t>
  </si>
  <si>
    <t>Sub-species designation of the virus sequence, from NCBI GenBank field "genotype".</t>
  </si>
  <si>
    <t>0ij</t>
  </si>
  <si>
    <t>serotype_ncbi</t>
  </si>
  <si>
    <t>Serotype NCBI</t>
  </si>
  <si>
    <t>Sub-species designation of the virus sequence, from NCBI GenBank field "serotype".</t>
  </si>
  <si>
    <t>0ik</t>
  </si>
  <si>
    <t>isolate_ncbi</t>
  </si>
  <si>
    <t>Isolate NCBI</t>
  </si>
  <si>
    <t>Sub-species designation of the virus sequence, from NCBI GenBank field "isolate".</t>
  </si>
  <si>
    <t>0il</t>
  </si>
  <si>
    <t>contig_length_checkv</t>
  </si>
  <si>
    <t>Contig Length CheckV</t>
  </si>
  <si>
    <t>Length of the sequence as calculated by CheckV v1.1.1 against the default CheckV database v1.5. For more information about CheckV please see the tool page at: https://bitbucket.org/berkeleylab/checkv/src/master</t>
  </si>
  <si>
    <t>0im</t>
  </si>
  <si>
    <t>provirus_checkv</t>
  </si>
  <si>
    <t>Provirus CheckV</t>
  </si>
  <si>
    <t>Prediction of whether the sequence is a provirus by CheckV v1.1.1 against the default CheckV database v1.5. [Yes/No] For more information about CheckV please see the tool page at: https://bitbucket.org/berkeleylab/checkv/src/master</t>
  </si>
  <si>
    <t>0in</t>
  </si>
  <si>
    <t>proviral_length_checkv</t>
  </si>
  <si>
    <t>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</si>
  <si>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</si>
  <si>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0io</t>
  </si>
  <si>
    <t>gene_count_checkv</t>
  </si>
  <si>
    <t>Gene Count CheckV</t>
  </si>
  <si>
    <t>The number of genes in the virus sequence as calculated by CheckV v1.1.1 against the default CheckV database v1.5. For more information about CheckV please see the tool page at: https://bitbucket.org/berkeleylab/checkv/src/master</t>
  </si>
  <si>
    <t>0ip</t>
  </si>
  <si>
    <t>viral_genes_checkv</t>
  </si>
  <si>
    <t>Viral Genes CheckV</t>
  </si>
  <si>
    <t>The number of virus genes in the virus sequence as calculated by CheckV v1.1.1 against the default CheckV database v1.5. For more information about CheckV please see the tool page at: https://bitbucket.org/berkeleylab/checkv/src/master</t>
  </si>
  <si>
    <t>0iq</t>
  </si>
  <si>
    <t>host_genes_checkv</t>
  </si>
  <si>
    <t>Host Genes CheckV</t>
  </si>
  <si>
    <t>The number of host genes as calculated by CheckV v1.1.1 against the default CheckV database v1.5. For more information about CheckV please see the tool page at: https://bitbucket.org/berkeleylab/checkv/src/master</t>
  </si>
  <si>
    <t>0ir</t>
  </si>
  <si>
    <t>quality_checkv</t>
  </si>
  <si>
    <t>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</si>
  <si>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</si>
  <si>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</si>
  <si>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miuvig_quality_checkv</t>
  </si>
  <si>
    <t>MIUVIG Quality CheckV</t>
  </si>
  <si>
    <t>MIUVIG quality as noted by CheckV v1.1.1 against the default CheckV database v1.5. For more information about CheckV please see the tool page at: https://bitbucket.org/berkeleylab/checkv/src/master</t>
  </si>
  <si>
    <t>0it</t>
  </si>
  <si>
    <t>completeness_checkv</t>
  </si>
  <si>
    <t>Completeness CheckV</t>
  </si>
  <si>
    <t>Completeness of the virus genome sequenceas calculated by CheckV v1.1.1 against the default CheckV database v1.5. For more information about CheckV please see the tool page at: https://bitbucket.org/berkeleylab/checkv/src/master</t>
  </si>
  <si>
    <t>0iu</t>
  </si>
  <si>
    <t>completeness_method_checkv</t>
  </si>
  <si>
    <t>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</si>
  <si>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</si>
  <si>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</si>
  <si>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</si>
  <si>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Contamination CheckV</t>
  </si>
  <si>
    <t>Amount of virus genome sequence contamination as calculated by CheckV v1.1.1 against the default CheckV database v1.5. For more information about CheckV please see the tool page at: https://bitbucket.org/berkeleylab/checkv/src/master</t>
  </si>
  <si>
    <t>0iw</t>
  </si>
  <si>
    <t>kmer_freq_checkv</t>
  </si>
  <si>
    <t>Kmer Freq CheckV</t>
  </si>
  <si>
    <t>Number of times the virus genome was found in the as calculated by CheckV v1.1.1 against the default CheckV database v1.5. For more information about CheckV please see the tool page at: https://bitbucket.org/berkeleylab/checkv/src/master</t>
  </si>
  <si>
    <t>0ix</t>
  </si>
  <si>
    <t>warnings_checkv</t>
  </si>
  <si>
    <t>Warnings CheckV</t>
  </si>
  <si>
    <t>Warnings generated by running CheckV v1.1.1 against the default CheckV database v1.5. For more information about CheckV please see the tool page at: https://bitbucket.org/berkeleylab/checkv/src/master</t>
  </si>
  <si>
    <t>0iy</t>
  </si>
  <si>
    <t>checkv_version</t>
  </si>
  <si>
    <t>CheckV Version</t>
  </si>
  <si>
    <t>CheckV run version and CheckV database version used for evaluation of the record.</t>
  </si>
  <si>
    <t>Checkv Version</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</si>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</sst>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b/>
      <sz val="12"/>
      <color rgb="FF000000"/>
      <name val="Arial"/>
    </font>
    <font>
      <sz val="10"/>
      <color theme="1"/>
      <name val="Arial"/>
    </font>
    <font>
      <sz val="10"/>
      <color rgb="FF000000"/>
      <name val="Arial"/>
    </font>
    <font>
      <sz val="10"/>
      <color rgb="FF242424"/>
      <name val="Arial"/>
    </font>
  </fonts>
  <fills count="10">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s>
  <cellStyleXfs count="2">
    <xf numFmtId="0" fontId="0" fillId="0" borderId="0"/>
    <xf numFmtId="0" fontId="5" fillId="0" borderId="0"/>
  </cellStyleXfs>
  <cellXfs count="76">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7" fillId="5"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0" fontId="16" fillId="0" borderId="0" xfId="0" applyFont="1" applyAlignment="1">
      <alignment horizontal="center" vertical="center"/>
    </xf>
    <xf numFmtId="0" fontId="15"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horizontal="left" vertical="center"/>
    </xf>
    <xf numFmtId="0" fontId="19" fillId="0" borderId="0" xfId="0" applyFont="1" applyAlignment="1">
      <alignment horizontal="left" vertical="center" wrapText="1"/>
    </xf>
    <xf numFmtId="0" fontId="19" fillId="0" borderId="0" xfId="0" applyFont="1" applyAlignment="1">
      <alignment horizontal="left" vertical="center"/>
    </xf>
    <xf numFmtId="49" fontId="19" fillId="0" borderId="0" xfId="0" applyNumberFormat="1" applyFont="1" applyAlignment="1">
      <alignment horizontal="left" vertical="center"/>
    </xf>
    <xf numFmtId="0" fontId="21" fillId="0" borderId="0" xfId="0" applyFont="1"/>
    <xf numFmtId="0" fontId="18" fillId="0" borderId="0" xfId="0" applyFont="1"/>
    <xf numFmtId="49" fontId="15" fillId="0" borderId="0" xfId="0" applyNumberFormat="1" applyFont="1" applyAlignment="1">
      <alignment horizontal="left" vertical="center"/>
    </xf>
    <xf numFmtId="0" fontId="14" fillId="0" borderId="0" xfId="0" applyFont="1" applyAlignment="1">
      <alignment horizontal="left" vertical="center"/>
    </xf>
    <xf numFmtId="0" fontId="19" fillId="0" borderId="0" xfId="0" applyFont="1" applyAlignment="1">
      <alignment horizontal="left" vertical="center" readingOrder="1"/>
    </xf>
    <xf numFmtId="0" fontId="18" fillId="0" borderId="0" xfId="0" applyFont="1" applyAlignment="1">
      <alignment wrapText="1"/>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9" fillId="0" borderId="0" xfId="0" applyFont="1" applyAlignment="1">
      <alignment horizontal="center" vertical="center"/>
    </xf>
    <xf numFmtId="0" fontId="17" fillId="0" borderId="0" xfId="0" applyFont="1" applyAlignment="1">
      <alignment horizontal="left" vertical="center"/>
    </xf>
    <xf numFmtId="0" fontId="20" fillId="0" borderId="0" xfId="0" applyFont="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left" vertical="center" wrapText="1"/>
    </xf>
    <xf numFmtId="0" fontId="15" fillId="5" borderId="0" xfId="0" applyFont="1" applyFill="1" applyAlignment="1">
      <alignment horizontal="left" vertical="center"/>
    </xf>
    <xf numFmtId="0" fontId="17" fillId="5" borderId="0" xfId="0" applyFont="1" applyFill="1" applyAlignment="1">
      <alignment horizontal="center" vertical="top" wrapText="1"/>
    </xf>
    <xf numFmtId="0" fontId="22"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2" fillId="0" borderId="0" xfId="0" applyFont="1" applyAlignment="1">
      <alignment horizontal="left" vertical="top" wrapText="1" readingOrder="1"/>
    </xf>
    <xf numFmtId="0" fontId="22" fillId="0" borderId="0" xfId="0" applyFont="1" applyAlignment="1">
      <alignment horizontal="left" vertical="top"/>
    </xf>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7"/>
  <sheetViews>
    <sheetView tabSelected="1" topLeftCell="A220" zoomScaleNormal="100" workbookViewId="0">
      <selection activeCell="D36" sqref="D36"/>
    </sheetView>
  </sheetViews>
  <sheetFormatPr defaultColWidth="23.5703125" defaultRowHeight="25.5" customHeight="1"/>
  <cols>
    <col min="1" max="1" width="24.140625" style="67" bestFit="1" customWidth="1"/>
    <col min="2" max="2" width="27.85546875" style="67" customWidth="1"/>
    <col min="3" max="3" width="32.42578125" style="50" customWidth="1"/>
    <col min="4" max="4" width="51" style="68" customWidth="1"/>
    <col min="5" max="5" width="23.5703125" style="50" customWidth="1"/>
    <col min="6" max="6" width="20" style="50" bestFit="1" customWidth="1"/>
    <col min="7" max="7" width="42.5703125" style="50" bestFit="1" customWidth="1"/>
    <col min="8" max="8" width="62.85546875" style="50" bestFit="1" customWidth="1"/>
    <col min="9" max="9" width="47.42578125" style="50" bestFit="1" customWidth="1"/>
    <col min="10" max="10" width="21.5703125" style="50" bestFit="1" customWidth="1"/>
    <col min="11" max="11" width="17" style="50" bestFit="1" customWidth="1"/>
    <col min="12" max="12" width="38.28515625" style="50" bestFit="1" customWidth="1"/>
    <col min="13" max="13" width="24.5703125" style="50" bestFit="1" customWidth="1"/>
    <col min="14" max="14" width="58.28515625" style="50" bestFit="1" customWidth="1"/>
    <col min="15" max="15" width="47.5703125" style="50" bestFit="1" customWidth="1"/>
    <col min="16" max="16" width="44.28515625" style="50" bestFit="1" customWidth="1"/>
    <col min="17" max="17" width="25.7109375" style="50" bestFit="1" customWidth="1"/>
    <col min="18" max="18" width="44.28515625" style="50" bestFit="1" customWidth="1"/>
    <col min="19" max="19" width="19.7109375" style="50" bestFit="1" customWidth="1"/>
    <col min="20" max="20" width="43.42578125" style="50" bestFit="1" customWidth="1"/>
    <col min="21" max="21" width="44.140625" style="50" bestFit="1" customWidth="1"/>
    <col min="22" max="24" width="19.7109375" style="50" bestFit="1" customWidth="1"/>
    <col min="25" max="25" width="84.28515625" style="50" customWidth="1"/>
    <col min="26" max="26" width="28" style="50" bestFit="1" customWidth="1"/>
    <col min="27" max="27" width="184.140625" style="50" customWidth="1"/>
    <col min="28" max="28" width="69.5703125" style="50" bestFit="1" customWidth="1"/>
    <col min="29" max="29" width="29.140625" style="50" bestFit="1" customWidth="1"/>
    <col min="30" max="30" width="328.85546875" style="50" bestFit="1" customWidth="1"/>
    <col min="31" max="31" width="21.7109375" style="50" bestFit="1" customWidth="1"/>
    <col min="32" max="32" width="105.85546875" style="50" bestFit="1" customWidth="1"/>
    <col min="33" max="33" width="22.7109375" style="50" bestFit="1" customWidth="1"/>
    <col min="34" max="34" width="32.140625" style="50" bestFit="1" customWidth="1"/>
    <col min="35" max="35" width="23.5703125" style="50" customWidth="1"/>
    <col min="36" max="36" width="23.28515625" style="50" bestFit="1" customWidth="1"/>
    <col min="37" max="37" width="17.140625" style="50" bestFit="1" customWidth="1"/>
    <col min="38" max="38" width="77.85546875" style="50" bestFit="1" customWidth="1"/>
    <col min="39" max="39" width="328.85546875" style="50" bestFit="1" customWidth="1"/>
    <col min="40" max="40" width="39" style="50" bestFit="1" customWidth="1"/>
    <col min="41" max="41" width="24.85546875" style="50" bestFit="1" customWidth="1"/>
    <col min="42" max="42" width="328.85546875" style="50" bestFit="1" customWidth="1"/>
    <col min="43" max="43" width="39" style="50" bestFit="1" customWidth="1"/>
    <col min="44" max="44" width="25.42578125" style="50" bestFit="1" customWidth="1"/>
    <col min="45" max="45" width="35.5703125" style="50" bestFit="1" customWidth="1"/>
    <col min="46" max="46" width="36.28515625" style="50" bestFit="1" customWidth="1"/>
    <col min="47" max="47" width="62.140625" style="58" bestFit="1" customWidth="1"/>
    <col min="48" max="48" width="197.28515625" style="50" bestFit="1" customWidth="1"/>
    <col min="49" max="49" width="30.42578125" style="50" bestFit="1" customWidth="1"/>
    <col min="50" max="50" width="31.7109375" style="50" bestFit="1" customWidth="1"/>
    <col min="51" max="51" width="29.140625" style="50" bestFit="1" customWidth="1"/>
    <col min="52" max="16384" width="23.5703125" style="50"/>
  </cols>
  <sheetData>
    <row r="1" spans="1:180" s="47" customFormat="1" ht="25.5" customHeight="1">
      <c r="A1" s="44" t="s">
        <v>0</v>
      </c>
      <c r="B1" s="44" t="s">
        <v>0</v>
      </c>
      <c r="C1" s="44" t="s">
        <v>0</v>
      </c>
      <c r="D1" s="45" t="s">
        <v>0</v>
      </c>
      <c r="E1" s="44" t="s">
        <v>0</v>
      </c>
      <c r="F1" s="44" t="s">
        <v>0</v>
      </c>
      <c r="G1" s="44" t="s">
        <v>1</v>
      </c>
      <c r="H1" s="44" t="s">
        <v>2</v>
      </c>
      <c r="I1" s="44" t="s">
        <v>3</v>
      </c>
      <c r="J1" s="44" t="s">
        <v>4</v>
      </c>
      <c r="K1" s="44" t="s">
        <v>5</v>
      </c>
      <c r="L1" s="44" t="s">
        <v>6</v>
      </c>
      <c r="M1" s="44" t="s">
        <v>7</v>
      </c>
      <c r="N1" s="44" t="s">
        <v>8</v>
      </c>
      <c r="O1" s="44" t="s">
        <v>9</v>
      </c>
      <c r="P1" s="44" t="s">
        <v>10</v>
      </c>
      <c r="Q1" s="44" t="s">
        <v>11</v>
      </c>
      <c r="R1" s="44" t="s">
        <v>12</v>
      </c>
      <c r="S1" s="44" t="s">
        <v>13</v>
      </c>
      <c r="T1" s="45" t="s">
        <v>14</v>
      </c>
      <c r="U1" s="45" t="s">
        <v>15</v>
      </c>
      <c r="V1" s="44" t="s">
        <v>0</v>
      </c>
      <c r="W1" s="44" t="s">
        <v>0</v>
      </c>
      <c r="X1" s="44" t="s">
        <v>0</v>
      </c>
      <c r="Y1" s="44" t="s">
        <v>0</v>
      </c>
      <c r="Z1" s="44" t="s">
        <v>0</v>
      </c>
      <c r="AA1" s="44" t="s">
        <v>0</v>
      </c>
      <c r="AB1" s="44" t="s">
        <v>0</v>
      </c>
      <c r="AC1" s="44" t="s">
        <v>6</v>
      </c>
      <c r="AD1" s="44" t="s">
        <v>6</v>
      </c>
      <c r="AE1" s="44" t="s">
        <v>6</v>
      </c>
      <c r="AF1" s="44" t="s">
        <v>6</v>
      </c>
      <c r="AG1" s="44" t="s">
        <v>7</v>
      </c>
      <c r="AH1" s="44" t="s">
        <v>7</v>
      </c>
      <c r="AI1" s="44" t="s">
        <v>7</v>
      </c>
      <c r="AJ1" s="44" t="s">
        <v>7</v>
      </c>
      <c r="AK1" s="44" t="s">
        <v>7</v>
      </c>
      <c r="AL1" s="44" t="s">
        <v>7</v>
      </c>
      <c r="AM1" s="44" t="s">
        <v>8</v>
      </c>
      <c r="AN1" s="44" t="s">
        <v>8</v>
      </c>
      <c r="AO1" s="44" t="s">
        <v>8</v>
      </c>
      <c r="AP1" s="44" t="s">
        <v>9</v>
      </c>
      <c r="AQ1" s="44" t="s">
        <v>9</v>
      </c>
      <c r="AR1" s="44" t="s">
        <v>9</v>
      </c>
      <c r="AS1" s="44" t="s">
        <v>1</v>
      </c>
      <c r="AT1" s="44" t="s">
        <v>16</v>
      </c>
      <c r="AU1" s="46" t="s">
        <v>16</v>
      </c>
      <c r="AV1" s="44" t="s">
        <v>16</v>
      </c>
      <c r="AW1" s="44" t="s">
        <v>1</v>
      </c>
      <c r="AX1" s="44" t="s">
        <v>1</v>
      </c>
      <c r="AY1" s="44" t="s">
        <v>17</v>
      </c>
      <c r="AZ1" s="44" t="s">
        <v>18</v>
      </c>
      <c r="BA1" s="44" t="s">
        <v>18</v>
      </c>
      <c r="BB1" s="44" t="s">
        <v>0</v>
      </c>
      <c r="BC1" s="44" t="s">
        <v>0</v>
      </c>
    </row>
    <row r="2" spans="1:180" s="69" customFormat="1" ht="25.5" customHeight="1">
      <c r="A2" s="44" t="s">
        <v>19</v>
      </c>
      <c r="B2" s="44" t="s">
        <v>20</v>
      </c>
      <c r="C2" s="44" t="s">
        <v>21</v>
      </c>
      <c r="D2" s="45" t="s">
        <v>22</v>
      </c>
      <c r="E2" s="44" t="s">
        <v>23</v>
      </c>
      <c r="F2" s="44" t="s">
        <v>24</v>
      </c>
      <c r="G2" s="44" t="s">
        <v>20</v>
      </c>
      <c r="H2" s="44" t="s">
        <v>20</v>
      </c>
      <c r="I2" s="44" t="s">
        <v>20</v>
      </c>
      <c r="J2" s="44" t="s">
        <v>20</v>
      </c>
      <c r="K2" s="44" t="s">
        <v>20</v>
      </c>
      <c r="L2" s="44" t="s">
        <v>25</v>
      </c>
      <c r="M2" s="44" t="s">
        <v>26</v>
      </c>
      <c r="N2" s="44" t="s">
        <v>27</v>
      </c>
      <c r="O2" s="44" t="s">
        <v>27</v>
      </c>
      <c r="P2" s="44" t="s">
        <v>27</v>
      </c>
      <c r="Q2" s="44" t="s">
        <v>27</v>
      </c>
      <c r="R2" s="44" t="s">
        <v>27</v>
      </c>
      <c r="S2" s="44" t="s">
        <v>27</v>
      </c>
      <c r="T2" s="45" t="s">
        <v>28</v>
      </c>
      <c r="U2" s="45" t="s">
        <v>28</v>
      </c>
      <c r="V2" s="44" t="s">
        <v>29</v>
      </c>
      <c r="W2" s="44" t="s">
        <v>30</v>
      </c>
      <c r="X2" s="44" t="s">
        <v>31</v>
      </c>
      <c r="Y2" s="44" t="s">
        <v>32</v>
      </c>
      <c r="Z2" s="44" t="s">
        <v>33</v>
      </c>
      <c r="AA2" s="44" t="s">
        <v>34</v>
      </c>
      <c r="AB2" s="44" t="s">
        <v>35</v>
      </c>
      <c r="AC2" s="44" t="s">
        <v>36</v>
      </c>
      <c r="AD2" s="44" t="s">
        <v>37</v>
      </c>
      <c r="AE2" s="44" t="s">
        <v>38</v>
      </c>
      <c r="AF2" s="44" t="s">
        <v>39</v>
      </c>
      <c r="AG2" s="44" t="s">
        <v>40</v>
      </c>
      <c r="AH2" s="44" t="s">
        <v>41</v>
      </c>
      <c r="AI2" s="44" t="s">
        <v>42</v>
      </c>
      <c r="AJ2" s="44" t="s">
        <v>43</v>
      </c>
      <c r="AK2" s="44" t="s">
        <v>44</v>
      </c>
      <c r="AL2" s="44" t="s">
        <v>45</v>
      </c>
      <c r="AM2" s="44" t="s">
        <v>46</v>
      </c>
      <c r="AN2" s="44" t="s">
        <v>47</v>
      </c>
      <c r="AO2" s="48" t="s">
        <v>48</v>
      </c>
      <c r="AP2" s="44" t="s">
        <v>46</v>
      </c>
      <c r="AQ2" s="44" t="s">
        <v>47</v>
      </c>
      <c r="AR2" s="48" t="s">
        <v>48</v>
      </c>
      <c r="AS2" s="44" t="s">
        <v>49</v>
      </c>
      <c r="AT2" s="44" t="s">
        <v>49</v>
      </c>
      <c r="AU2" s="46" t="s">
        <v>50</v>
      </c>
      <c r="AV2" s="44" t="s">
        <v>51</v>
      </c>
      <c r="AW2" s="44" t="s">
        <v>52</v>
      </c>
      <c r="AX2" s="44" t="s">
        <v>53</v>
      </c>
      <c r="AY2" s="44" t="s">
        <v>54</v>
      </c>
      <c r="AZ2" s="44" t="s">
        <v>55</v>
      </c>
      <c r="BA2" s="44" t="s">
        <v>56</v>
      </c>
      <c r="BB2" s="44" t="s">
        <v>57</v>
      </c>
      <c r="BC2" s="44" t="s">
        <v>58</v>
      </c>
    </row>
    <row r="3" spans="1:180" s="69" customFormat="1" ht="25.5" customHeight="1">
      <c r="A3" s="44" t="str">
        <f>_xlfn.TEXTJOIN(" ", TRUE, LOWER(A1), LOWER(A2))</f>
        <v>vjdbv1.1 field index</v>
      </c>
      <c r="B3" s="44" t="str">
        <f>_xlfn.TEXTJOIN(" ", TRUE, LOWER(B1), LOWER(B2))</f>
        <v>vjdbv1.1 field id</v>
      </c>
      <c r="C3" s="44" t="str">
        <f t="shared" ref="C3:BC3" si="0">_xlfn.TEXTJOIN(" ", TRUE, LOWER(C1), LOWER(C2))</f>
        <v>vjdbv1.1 name</v>
      </c>
      <c r="D3" s="44" t="str">
        <f t="shared" si="0"/>
        <v>vjdbv1.1 description</v>
      </c>
      <c r="E3" s="44" t="str">
        <f t="shared" si="0"/>
        <v>vjdbv1.1 fields_type</v>
      </c>
      <c r="F3" s="44" t="str">
        <f t="shared" si="0"/>
        <v>vjdbv1.1 privacy</v>
      </c>
      <c r="G3" s="44" t="str">
        <f t="shared" si="0"/>
        <v>ena field id</v>
      </c>
      <c r="H3" s="44" t="str">
        <f t="shared" si="0"/>
        <v>rki field id</v>
      </c>
      <c r="I3" s="44" t="str">
        <f t="shared" si="0"/>
        <v>migs-vi field id</v>
      </c>
      <c r="J3" s="44" t="str">
        <f t="shared" si="0"/>
        <v>migs-uvig field id</v>
      </c>
      <c r="K3" s="44" t="str">
        <f t="shared" si="0"/>
        <v>env-o field id</v>
      </c>
      <c r="L3" s="44" t="str">
        <f t="shared" si="0"/>
        <v>ncbi virus n nucleotide field id</v>
      </c>
      <c r="M3" s="44" t="str">
        <f t="shared" si="0"/>
        <v>bv-brc b field name</v>
      </c>
      <c r="N3" s="44" t="str">
        <f t="shared" si="0"/>
        <v>ena erc32 field name</v>
      </c>
      <c r="O3" s="44" t="str">
        <f t="shared" si="0"/>
        <v>ena erc33 field name</v>
      </c>
      <c r="P3" s="44" t="str">
        <f t="shared" si="0"/>
        <v>img/vr field name</v>
      </c>
      <c r="Q3" s="44" t="str">
        <f t="shared" si="0"/>
        <v>phd field name</v>
      </c>
      <c r="R3" s="44" t="str">
        <f t="shared" si="0"/>
        <v>phispy field name</v>
      </c>
      <c r="S3" s="44" t="str">
        <f t="shared" si="0"/>
        <v>gtdb field name</v>
      </c>
      <c r="T3" s="44" t="str">
        <f t="shared" si="0"/>
        <v>ena submission object object name</v>
      </c>
      <c r="U3" s="44" t="str">
        <f t="shared" si="0"/>
        <v>vjbd submission object object name</v>
      </c>
      <c r="V3" s="44" t="str">
        <f t="shared" si="0"/>
        <v>vjdbv1.1 group1</v>
      </c>
      <c r="W3" s="44" t="str">
        <f t="shared" si="0"/>
        <v>vjdbv1.1 group2</v>
      </c>
      <c r="X3" s="44" t="str">
        <f t="shared" si="0"/>
        <v>vjdbv1.1 group3</v>
      </c>
      <c r="Y3" s="44" t="str">
        <f t="shared" si="0"/>
        <v>vjdbv1.1 tags</v>
      </c>
      <c r="Z3" s="44" t="str">
        <f t="shared" si="0"/>
        <v>vjdbv1.1 input source</v>
      </c>
      <c r="AA3" s="44" t="str">
        <f t="shared" si="0"/>
        <v>vjdbv1.1 notes</v>
      </c>
      <c r="AB3" s="44" t="str">
        <f t="shared" si="0"/>
        <v>vjdbv1.1 changes</v>
      </c>
      <c r="AC3" s="44" t="str">
        <f t="shared" si="0"/>
        <v>ncbi virus n field name</v>
      </c>
      <c r="AD3" s="44" t="str">
        <f t="shared" si="0"/>
        <v>ncbi virus n field description</v>
      </c>
      <c r="AE3" s="44" t="str">
        <f t="shared" si="0"/>
        <v>ncbi virus n type</v>
      </c>
      <c r="AF3" s="44" t="str">
        <f t="shared" si="0"/>
        <v>ncbi virus n curation notes</v>
      </c>
      <c r="AG3" s="44" t="str">
        <f t="shared" si="0"/>
        <v>bv-brc b category</v>
      </c>
      <c r="AH3" s="44" t="str">
        <f t="shared" si="0"/>
        <v>bv-brc b schema category</v>
      </c>
      <c r="AI3" s="44" t="str">
        <f t="shared" si="0"/>
        <v>bv-brc b field id</v>
      </c>
      <c r="AJ3" s="44" t="str">
        <f t="shared" si="0"/>
        <v>bv-brc b field type</v>
      </c>
      <c r="AK3" s="44" t="str">
        <f t="shared" si="0"/>
        <v>bv-brc b type</v>
      </c>
      <c r="AL3" s="44" t="str">
        <f t="shared" si="0"/>
        <v>bv-brc b curation notes</v>
      </c>
      <c r="AM3" s="44" t="str">
        <f t="shared" si="0"/>
        <v>ena erc32 field description</v>
      </c>
      <c r="AN3" s="44" t="str">
        <f t="shared" si="0"/>
        <v>ena erc32 controlled vocabulary</v>
      </c>
      <c r="AO3" s="44" t="str">
        <f t="shared" si="0"/>
        <v>ena erc32 field type</v>
      </c>
      <c r="AP3" s="44" t="str">
        <f t="shared" si="0"/>
        <v>ena erc33 field description</v>
      </c>
      <c r="AQ3" s="44" t="str">
        <f t="shared" si="0"/>
        <v>ena erc33 controlled vocabulary</v>
      </c>
      <c r="AR3" s="44" t="str">
        <f t="shared" si="0"/>
        <v>ena erc33 field type</v>
      </c>
      <c r="AS3" s="44" t="str">
        <f t="shared" si="0"/>
        <v>ena submission requiredness</v>
      </c>
      <c r="AT3" s="44" t="str">
        <f t="shared" si="0"/>
        <v>vjdb submission requiredness</v>
      </c>
      <c r="AU3" s="44" t="str">
        <f t="shared" si="0"/>
        <v>vjdb example</v>
      </c>
      <c r="AV3" s="44" t="str">
        <f t="shared" si="0"/>
        <v>vjdb validation rules</v>
      </c>
      <c r="AW3" s="44" t="str">
        <f t="shared" si="0"/>
        <v>ena submission fieldtype</v>
      </c>
      <c r="AX3" s="44" t="str">
        <f t="shared" si="0"/>
        <v>ena submission validation</v>
      </c>
      <c r="AY3" s="44" t="str">
        <f t="shared" si="0"/>
        <v>ictv40 i field name</v>
      </c>
      <c r="AZ3" s="44" t="str">
        <f t="shared" si="0"/>
        <v>ictv_msl41.v1 i field heading</v>
      </c>
      <c r="BA3" s="44" t="str">
        <f t="shared" si="0"/>
        <v>ictv_msl41.v1 i field description</v>
      </c>
      <c r="BB3" s="44" t="str">
        <f t="shared" si="0"/>
        <v>vjdbv1.1 facet fields</v>
      </c>
      <c r="BC3" s="44" t="str">
        <f t="shared" si="0"/>
        <v>vjdbv1.1 default search</v>
      </c>
    </row>
    <row r="4" spans="1:180" s="69" customFormat="1" ht="25.5" customHeight="1">
      <c r="A4" s="44" t="str">
        <f>SUBSTITUTE(A3, " ", "_")</f>
        <v>vjdbv1.1_field_index</v>
      </c>
      <c r="B4" s="44" t="str">
        <f>SUBSTITUTE(B3, " ", "_")</f>
        <v>vjdbv1.1_field_id</v>
      </c>
      <c r="C4" s="44" t="str">
        <f>SUBSTITUTE(C3, " ", "_")</f>
        <v>vjdbv1.1_name</v>
      </c>
      <c r="D4" s="70" t="str">
        <f>SUBSTITUTE(D3, " ", "_")</f>
        <v>vjdbv1.1_description</v>
      </c>
      <c r="E4" s="45" t="str">
        <f>SUBSTITUTE(E3, " ", "_")</f>
        <v>vjdbv1.1_fields_type</v>
      </c>
      <c r="F4" s="44" t="str">
        <f>SUBSTITUTE(F3, " ", "_")</f>
        <v>vjdbv1.1_privacy</v>
      </c>
      <c r="G4" s="44" t="str">
        <f>SUBSTITUTE(G3, " ", "_")</f>
        <v>ena_field_id</v>
      </c>
      <c r="H4" s="44" t="str">
        <f>SUBSTITUTE(H3, " ", "_")</f>
        <v>rki_field_id</v>
      </c>
      <c r="I4" s="44" t="str">
        <f>SUBSTITUTE(I3, " ", "_")</f>
        <v>migs-vi_field_id</v>
      </c>
      <c r="J4" s="44" t="str">
        <f>SUBSTITUTE(J3, " ", "_")</f>
        <v>migs-uvig_field_id</v>
      </c>
      <c r="K4" s="44" t="str">
        <f>SUBSTITUTE(K3, " ", "_")</f>
        <v>env-o_field_id</v>
      </c>
      <c r="L4" s="44" t="str">
        <f>SUBSTITUTE(L3, " ", "_")</f>
        <v>ncbi_virus_n_nucleotide_field_id</v>
      </c>
      <c r="M4" s="44" t="str">
        <f>SUBSTITUTE(M3, " ", "_")</f>
        <v>bv-brc_b_field_name</v>
      </c>
      <c r="N4" s="44" t="str">
        <f>SUBSTITUTE(N3, " ", "_")</f>
        <v>ena_erc32_field_name</v>
      </c>
      <c r="O4" s="44" t="str">
        <f>SUBSTITUTE(O3, " ", "_")</f>
        <v>ena_erc33_field_name</v>
      </c>
      <c r="P4" s="44" t="str">
        <f>SUBSTITUTE(P3, " ", "_")</f>
        <v>img/vr_field_name</v>
      </c>
      <c r="Q4" s="44" t="str">
        <f>SUBSTITUTE(Q3, " ", "_")</f>
        <v>phd_field_name</v>
      </c>
      <c r="R4" s="44" t="str">
        <f>SUBSTITUTE(R3, " ", "_")</f>
        <v>phispy_field_name</v>
      </c>
      <c r="S4" s="44" t="str">
        <f>SUBSTITUTE(S3, " ", "_")</f>
        <v>gtdb_field_name</v>
      </c>
      <c r="T4" s="44" t="str">
        <f>SUBSTITUTE(T3, " ", "_")</f>
        <v>ena_submission_object_object_name</v>
      </c>
      <c r="U4" s="44" t="str">
        <f>SUBSTITUTE(U3, " ", "_")</f>
        <v>vjbd_submission_object_object_name</v>
      </c>
      <c r="V4" s="44" t="str">
        <f>SUBSTITUTE(V3, " ", "_")</f>
        <v>vjdbv1.1_group1</v>
      </c>
      <c r="W4" s="44" t="str">
        <f>SUBSTITUTE(W3, " ", "_")</f>
        <v>vjdbv1.1_group2</v>
      </c>
      <c r="X4" s="44" t="str">
        <f>SUBSTITUTE(X3, " ", "_")</f>
        <v>vjdbv1.1_group3</v>
      </c>
      <c r="Y4" s="44" t="str">
        <f>SUBSTITUTE(Y3, " ", "_")</f>
        <v>vjdbv1.1_tags</v>
      </c>
      <c r="Z4" s="44" t="str">
        <f>SUBSTITUTE(Z3, " ", "_")</f>
        <v>vjdbv1.1_input_source</v>
      </c>
      <c r="AA4" s="44" t="str">
        <f>SUBSTITUTE(AA3, " ", "_")</f>
        <v>vjdbv1.1_notes</v>
      </c>
      <c r="AB4" s="44" t="str">
        <f>SUBSTITUTE(AB3, " ", "_")</f>
        <v>vjdbv1.1_changes</v>
      </c>
      <c r="AC4" s="44" t="str">
        <f>SUBSTITUTE(AC3, " ", "_")</f>
        <v>ncbi_virus_n_field_name</v>
      </c>
      <c r="AD4" s="44" t="str">
        <f>SUBSTITUTE(AD3, " ", "_")</f>
        <v>ncbi_virus_n_field_description</v>
      </c>
      <c r="AE4" s="44" t="str">
        <f>SUBSTITUTE(AE3, " ", "_")</f>
        <v>ncbi_virus_n_type</v>
      </c>
      <c r="AF4" s="44" t="str">
        <f>SUBSTITUTE(AF3, " ", "_")</f>
        <v>ncbi_virus_n_curation_notes</v>
      </c>
      <c r="AG4" s="44" t="str">
        <f>SUBSTITUTE(AG3, " ", "_")</f>
        <v>bv-brc_b_category</v>
      </c>
      <c r="AH4" s="44" t="str">
        <f>SUBSTITUTE(AH3, " ", "_")</f>
        <v>bv-brc_b_schema_category</v>
      </c>
      <c r="AI4" s="44" t="str">
        <f>SUBSTITUTE(AI3, " ", "_")</f>
        <v>bv-brc_b_field_id</v>
      </c>
      <c r="AJ4" s="44" t="str">
        <f>SUBSTITUTE(AJ3, " ", "_")</f>
        <v>bv-brc_b_field_type</v>
      </c>
      <c r="AK4" s="44" t="str">
        <f>SUBSTITUTE(AK3, " ", "_")</f>
        <v>bv-brc_b_type</v>
      </c>
      <c r="AL4" s="44" t="str">
        <f>SUBSTITUTE(AL3, " ", "_")</f>
        <v>bv-brc_b_curation_notes</v>
      </c>
      <c r="AM4" s="44" t="str">
        <f>SUBSTITUTE(AM3, " ", "_")</f>
        <v>ena_erc32_field_description</v>
      </c>
      <c r="AN4" s="44" t="str">
        <f>SUBSTITUTE(AN3, " ", "_")</f>
        <v>ena_erc32_controlled_vocabulary</v>
      </c>
      <c r="AO4" s="44" t="str">
        <f>SUBSTITUTE(AO3, " ", "_")</f>
        <v>ena_erc32_field_type</v>
      </c>
      <c r="AP4" s="44" t="str">
        <f>SUBSTITUTE(AP3, " ", "_")</f>
        <v>ena_erc33_field_description</v>
      </c>
      <c r="AQ4" s="44" t="str">
        <f>SUBSTITUTE(AQ3, " ", "_")</f>
        <v>ena_erc33_controlled_vocabulary</v>
      </c>
      <c r="AR4" s="44" t="str">
        <f>SUBSTITUTE(AR3, " ", "_")</f>
        <v>ena_erc33_field_type</v>
      </c>
      <c r="AS4" s="44" t="str">
        <f>SUBSTITUTE(AS3, " ", "_")</f>
        <v>ena_submission_requiredness</v>
      </c>
      <c r="AT4" s="44" t="str">
        <f>SUBSTITUTE(AT3, " ", "_")</f>
        <v>vjdb_submission_requiredness</v>
      </c>
      <c r="AU4" s="46" t="str">
        <f>SUBSTITUTE(AU3, " ", "_")</f>
        <v>vjdb_example</v>
      </c>
      <c r="AV4" s="44" t="str">
        <f>SUBSTITUTE(AV3, " ", "_")</f>
        <v>vjdb_validation_rules</v>
      </c>
      <c r="AW4" s="44" t="str">
        <f>SUBSTITUTE(AW3, " ", "_")</f>
        <v>ena_submission_fieldtype</v>
      </c>
      <c r="AX4" s="44" t="str">
        <f>SUBSTITUTE(AX3, " ", "_")</f>
        <v>ena_submission_validation</v>
      </c>
      <c r="AY4" s="44" t="str">
        <f>SUBSTITUTE(AY3, " ", "_")</f>
        <v>ictv40_i_field_name</v>
      </c>
      <c r="AZ4" s="44" t="str">
        <f>SUBSTITUTE(AZ3, " ", "_")</f>
        <v>ictv_msl41.v1_i_field_heading</v>
      </c>
      <c r="BA4" s="44" t="str">
        <f>SUBSTITUTE(BA3, " ", "_")</f>
        <v>ictv_msl41.v1_i_field_description</v>
      </c>
      <c r="BB4" s="44" t="str">
        <f>SUBSTITUTE(BB3, " ", "_")</f>
        <v>vjdbv1.1_facet_fields</v>
      </c>
      <c r="BC4" s="44" t="str">
        <f>SUBSTITUTE(BC3, " ", "_")</f>
        <v>vjdbv1.1_default_search</v>
      </c>
    </row>
    <row r="5" spans="1:180" s="49" customFormat="1" ht="25.5" customHeight="1">
      <c r="A5" s="51" t="s">
        <v>59</v>
      </c>
      <c r="B5" s="51" t="s">
        <v>60</v>
      </c>
      <c r="C5" s="52" t="s">
        <v>61</v>
      </c>
      <c r="D5" s="71" t="s">
        <v>62</v>
      </c>
      <c r="E5" s="54" t="s">
        <v>63</v>
      </c>
      <c r="F5" s="54" t="s">
        <v>64</v>
      </c>
      <c r="G5" s="54"/>
      <c r="H5" s="54"/>
      <c r="I5" s="54"/>
      <c r="J5" s="54"/>
      <c r="K5" s="54"/>
      <c r="L5" s="54" t="s">
        <v>65</v>
      </c>
      <c r="M5" s="54" t="s">
        <v>66</v>
      </c>
      <c r="N5" s="54"/>
      <c r="O5" s="54"/>
      <c r="P5" s="54"/>
      <c r="Q5" s="54" t="s">
        <v>67</v>
      </c>
      <c r="R5" s="54"/>
      <c r="S5" s="54"/>
      <c r="T5" s="53"/>
      <c r="U5" s="53"/>
      <c r="V5" s="52" t="s">
        <v>68</v>
      </c>
      <c r="W5" s="52" t="s">
        <v>69</v>
      </c>
      <c r="X5" s="52"/>
      <c r="Y5" s="54"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["NCBI Virus", "BV-BRC", "PHD", "Organizational", "Identifiers"]</v>
      </c>
      <c r="Z5" s="54" t="s">
        <v>70</v>
      </c>
      <c r="AA5" s="52" t="s">
        <v>71</v>
      </c>
      <c r="AB5" s="54"/>
      <c r="AC5" s="54" t="s">
        <v>65</v>
      </c>
      <c r="AD5" s="54" t="s">
        <v>72</v>
      </c>
      <c r="AE5" s="54"/>
      <c r="AF5" s="54"/>
      <c r="AG5" s="54" t="s">
        <v>73</v>
      </c>
      <c r="AH5" s="54"/>
      <c r="AI5" s="54" t="s">
        <v>74</v>
      </c>
      <c r="AJ5" s="54" t="s">
        <v>75</v>
      </c>
      <c r="AK5" s="54"/>
      <c r="AL5" s="54"/>
      <c r="AM5" s="54"/>
      <c r="AN5" s="54"/>
      <c r="AO5" s="54"/>
      <c r="AP5" s="54"/>
      <c r="AQ5" s="54"/>
      <c r="AR5" s="54"/>
      <c r="AS5" s="54"/>
      <c r="AT5" s="54"/>
      <c r="AU5" s="55"/>
      <c r="AV5" s="54"/>
      <c r="AW5" s="52" t="s">
        <v>76</v>
      </c>
      <c r="AX5" s="52" t="s">
        <v>77</v>
      </c>
      <c r="AY5" s="54"/>
      <c r="AZ5" s="56" t="s">
        <v>78</v>
      </c>
      <c r="BA5" s="57" t="s">
        <v>79</v>
      </c>
      <c r="BB5" s="50"/>
      <c r="BC5" s="58" t="s">
        <v>80</v>
      </c>
    </row>
    <row r="6" spans="1:180" s="49" customFormat="1" ht="25.5" customHeight="1">
      <c r="A6" s="51" t="s">
        <v>81</v>
      </c>
      <c r="B6" s="51" t="s">
        <v>82</v>
      </c>
      <c r="C6" s="52" t="s">
        <v>83</v>
      </c>
      <c r="D6" s="71" t="s">
        <v>84</v>
      </c>
      <c r="E6" s="54" t="s">
        <v>63</v>
      </c>
      <c r="F6" s="54" t="s">
        <v>64</v>
      </c>
      <c r="G6" s="54"/>
      <c r="H6" s="54"/>
      <c r="I6" s="54"/>
      <c r="J6" s="54"/>
      <c r="K6" s="54"/>
      <c r="L6" s="54" t="s">
        <v>85</v>
      </c>
      <c r="M6" s="54" t="s">
        <v>83</v>
      </c>
      <c r="N6" s="54"/>
      <c r="O6" s="54"/>
      <c r="P6" s="52"/>
      <c r="Q6" s="54" t="s">
        <v>86</v>
      </c>
      <c r="R6" s="52"/>
      <c r="S6" s="54"/>
      <c r="T6" s="53" t="s">
        <v>87</v>
      </c>
      <c r="U6" s="53" t="s">
        <v>88</v>
      </c>
      <c r="V6" s="52" t="s">
        <v>68</v>
      </c>
      <c r="W6" s="52" t="s">
        <v>69</v>
      </c>
      <c r="X6" s="52"/>
      <c r="Y6" s="54" t="str">
        <f>"["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["NCBI Virus", "BV-BRC", "PHD", "ENA Analysis", "VJDB Analysis", "Organizational", "Identifiers"]</v>
      </c>
      <c r="Z6" s="54" t="s">
        <v>70</v>
      </c>
      <c r="AA6" s="52" t="s">
        <v>71</v>
      </c>
      <c r="AB6" s="54"/>
      <c r="AC6" s="54" t="s">
        <v>85</v>
      </c>
      <c r="AD6" s="54" t="s">
        <v>89</v>
      </c>
      <c r="AE6" s="54"/>
      <c r="AF6" s="54"/>
      <c r="AG6" s="54" t="s">
        <v>73</v>
      </c>
      <c r="AH6" s="54"/>
      <c r="AI6" s="54" t="s">
        <v>82</v>
      </c>
      <c r="AJ6" s="54" t="s">
        <v>90</v>
      </c>
      <c r="AK6" s="54"/>
      <c r="AL6" s="54" t="s">
        <v>91</v>
      </c>
      <c r="AM6" s="54"/>
      <c r="AN6" s="54"/>
      <c r="AO6" s="54"/>
      <c r="AP6" s="54"/>
      <c r="AQ6" s="54"/>
      <c r="AR6" s="54"/>
      <c r="AS6" s="54"/>
      <c r="AT6" s="54"/>
      <c r="AU6" s="55"/>
      <c r="AV6" s="54"/>
      <c r="AW6" s="52" t="s">
        <v>76</v>
      </c>
      <c r="AX6" s="52" t="s">
        <v>77</v>
      </c>
      <c r="AY6" s="54"/>
      <c r="AZ6" s="54"/>
      <c r="BA6" s="54"/>
      <c r="BB6" s="50"/>
      <c r="BC6" s="50"/>
    </row>
    <row r="7" spans="1:180" s="49" customFormat="1" ht="25.5" customHeight="1">
      <c r="A7" s="51" t="s">
        <v>92</v>
      </c>
      <c r="B7" s="51" t="s">
        <v>93</v>
      </c>
      <c r="C7" s="52" t="s">
        <v>94</v>
      </c>
      <c r="D7" s="71" t="s">
        <v>95</v>
      </c>
      <c r="E7" s="54" t="s">
        <v>63</v>
      </c>
      <c r="F7" s="54" t="s">
        <v>64</v>
      </c>
      <c r="G7" s="54" t="s">
        <v>96</v>
      </c>
      <c r="H7" s="54"/>
      <c r="I7" s="54"/>
      <c r="J7" s="54"/>
      <c r="K7" s="54"/>
      <c r="L7" s="54" t="s">
        <v>97</v>
      </c>
      <c r="M7" s="54" t="s">
        <v>98</v>
      </c>
      <c r="N7" s="54"/>
      <c r="O7" s="54"/>
      <c r="P7" s="52"/>
      <c r="Q7" s="52"/>
      <c r="R7" s="52"/>
      <c r="S7" s="54"/>
      <c r="T7" s="53" t="s">
        <v>99</v>
      </c>
      <c r="U7" s="53"/>
      <c r="V7" s="52" t="s">
        <v>68</v>
      </c>
      <c r="W7" s="52" t="s">
        <v>69</v>
      </c>
      <c r="X7" s="52"/>
      <c r="Y7" s="54" t="str">
        <f>"[" &amp; _xlfn.TEXTJOIN(", ", TRUE,
    IF(G7&lt;&gt;"", """" &amp; G$1 &amp; """", ""),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T7 &amp; """", ""),
    IF(U7&lt;&gt;"", """" &amp; U7 &amp; """", ""),
    IF(V7&lt;&gt;"", """" &amp; V7 &amp; """", ""),
    IF(W7&lt;&gt;"", """" &amp; W7 &amp; """", ""),
    IF(X7&lt;&gt;"", """" &amp; X7 &amp; """", "")
) &amp; "]"</f>
        <v>["ENA", "NCBI Virus", "BV-BRC", "ENA Study", "Organizational", "Identifiers"]</v>
      </c>
      <c r="Z7" s="54" t="s">
        <v>70</v>
      </c>
      <c r="AA7" s="52" t="s">
        <v>71</v>
      </c>
      <c r="AB7" s="54"/>
      <c r="AC7" s="54" t="s">
        <v>97</v>
      </c>
      <c r="AD7" s="54" t="s">
        <v>100</v>
      </c>
      <c r="AE7" s="54"/>
      <c r="AF7" s="54"/>
      <c r="AG7" s="54" t="s">
        <v>73</v>
      </c>
      <c r="AH7" s="54"/>
      <c r="AI7" s="54" t="s">
        <v>93</v>
      </c>
      <c r="AJ7" s="54" t="s">
        <v>90</v>
      </c>
      <c r="AK7" s="54"/>
      <c r="AL7" s="54"/>
      <c r="AM7" s="54"/>
      <c r="AN7" s="54"/>
      <c r="AO7" s="54"/>
      <c r="AP7" s="54"/>
      <c r="AQ7" s="54"/>
      <c r="AR7" s="54"/>
      <c r="AS7" s="54" t="s">
        <v>101</v>
      </c>
      <c r="AT7" s="54" t="s">
        <v>101</v>
      </c>
      <c r="AU7" s="55"/>
      <c r="AV7" s="54"/>
      <c r="AW7" s="52" t="s">
        <v>76</v>
      </c>
      <c r="AX7" s="52" t="s">
        <v>77</v>
      </c>
      <c r="AY7" s="54"/>
      <c r="AZ7" s="54"/>
      <c r="BA7" s="54"/>
      <c r="BB7" s="50"/>
      <c r="BC7" s="50"/>
    </row>
    <row r="8" spans="1:180" s="59" customFormat="1" ht="25.5" customHeight="1">
      <c r="A8" s="51" t="s">
        <v>102</v>
      </c>
      <c r="B8" s="51" t="s">
        <v>103</v>
      </c>
      <c r="C8" s="52" t="s">
        <v>104</v>
      </c>
      <c r="D8" s="71" t="s">
        <v>105</v>
      </c>
      <c r="E8" s="54" t="s">
        <v>63</v>
      </c>
      <c r="F8" s="54" t="s">
        <v>64</v>
      </c>
      <c r="G8" s="54" t="s">
        <v>106</v>
      </c>
      <c r="H8" s="54"/>
      <c r="I8" s="54" t="s">
        <v>107</v>
      </c>
      <c r="J8" s="54"/>
      <c r="K8" s="54"/>
      <c r="L8" s="54" t="s">
        <v>108</v>
      </c>
      <c r="M8" s="54" t="s">
        <v>109</v>
      </c>
      <c r="N8" s="54"/>
      <c r="O8" s="54"/>
      <c r="P8" s="52"/>
      <c r="Q8" s="52"/>
      <c r="R8" s="52"/>
      <c r="S8" s="54"/>
      <c r="T8" s="53" t="s">
        <v>110</v>
      </c>
      <c r="U8" s="53" t="s">
        <v>111</v>
      </c>
      <c r="V8" s="52" t="s">
        <v>68</v>
      </c>
      <c r="W8" s="52" t="s">
        <v>69</v>
      </c>
      <c r="X8" s="52"/>
      <c r="Y8" s="54" t="str">
        <f>"[" &amp; _xlfn.TEXTJOIN(", ", TRUE,
    IF(G8&lt;&gt;"", """" &amp; G$1 &amp; """", ""),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T8 &amp; """", ""),
    IF(U8&lt;&gt;"", """" &amp; U8 &amp; """", ""),
    IF(V8&lt;&gt;"", """" &amp; V8 &amp; """", ""),
    IF(W8&lt;&gt;"", """" &amp; W8 &amp; """", ""),
    IF(X8&lt;&gt;"", """" &amp; X8 &amp; """", "")
) &amp; "]"</f>
        <v>["ENA", "MIGS-VI", "NCBI Virus", "BV-BRC", "ENA Sample", "VJDB Sample", "Organizational", "Identifiers"]</v>
      </c>
      <c r="Z8" s="54" t="s">
        <v>70</v>
      </c>
      <c r="AA8" s="52" t="s">
        <v>71</v>
      </c>
      <c r="AB8" s="54"/>
      <c r="AC8" s="54" t="s">
        <v>108</v>
      </c>
      <c r="AD8" s="54" t="s">
        <v>112</v>
      </c>
      <c r="AE8" s="54"/>
      <c r="AF8" s="54"/>
      <c r="AG8" s="54" t="s">
        <v>73</v>
      </c>
      <c r="AH8" s="54"/>
      <c r="AI8" s="54" t="s">
        <v>103</v>
      </c>
      <c r="AJ8" s="54" t="s">
        <v>90</v>
      </c>
      <c r="AK8" s="54"/>
      <c r="AL8" s="54"/>
      <c r="AM8" s="54"/>
      <c r="AN8" s="54"/>
      <c r="AO8" s="54"/>
      <c r="AP8" s="54"/>
      <c r="AQ8" s="54"/>
      <c r="AR8" s="54"/>
      <c r="AS8" s="54" t="s">
        <v>101</v>
      </c>
      <c r="AT8" s="54" t="s">
        <v>101</v>
      </c>
      <c r="AU8" s="55"/>
      <c r="AV8" s="54"/>
      <c r="AW8" s="52" t="s">
        <v>76</v>
      </c>
      <c r="AX8" s="52" t="s">
        <v>77</v>
      </c>
      <c r="AY8" s="54"/>
      <c r="AZ8" s="54"/>
      <c r="BA8" s="54"/>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row>
    <row r="9" spans="1:180" s="59" customFormat="1" ht="25.5" customHeight="1">
      <c r="A9" s="51" t="s">
        <v>113</v>
      </c>
      <c r="B9" s="51" t="s">
        <v>114</v>
      </c>
      <c r="C9" s="52" t="s">
        <v>115</v>
      </c>
      <c r="D9" s="71" t="s">
        <v>116</v>
      </c>
      <c r="E9" s="54" t="s">
        <v>117</v>
      </c>
      <c r="F9" s="54" t="s">
        <v>64</v>
      </c>
      <c r="G9" s="54" t="s">
        <v>118</v>
      </c>
      <c r="H9" s="54" t="s">
        <v>119</v>
      </c>
      <c r="I9" s="54" t="s">
        <v>120</v>
      </c>
      <c r="J9" s="54"/>
      <c r="K9" s="54"/>
      <c r="L9" s="54" t="s">
        <v>121</v>
      </c>
      <c r="M9" s="54" t="s">
        <v>115</v>
      </c>
      <c r="N9" s="54" t="s">
        <v>118</v>
      </c>
      <c r="O9" s="54" t="s">
        <v>118</v>
      </c>
      <c r="P9" s="54"/>
      <c r="Q9" s="54"/>
      <c r="R9" s="54"/>
      <c r="S9" s="54"/>
      <c r="T9" s="53" t="s">
        <v>110</v>
      </c>
      <c r="U9" s="53" t="s">
        <v>111</v>
      </c>
      <c r="V9" s="52" t="s">
        <v>122</v>
      </c>
      <c r="W9" s="52" t="s">
        <v>123</v>
      </c>
      <c r="X9" s="52"/>
      <c r="Y9" s="54" t="str">
        <f>"[" &amp; _xlfn.TEXTJOIN(", ", TRUE,
    IF(G9&lt;&gt;"", """" &amp; G$1 &amp; """", ""),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T9 &amp; """", ""),
    IF(U9&lt;&gt;"", """" &amp; U9 &amp; """", ""),
    IF(V9&lt;&gt;"", """" &amp; V9 &amp; """", ""),
    IF(W9&lt;&gt;"", """" &amp; W9 &amp; """", ""),
    IF(X9&lt;&gt;"", """" &amp; X9 &amp; """", "")
) &amp; "]"</f>
        <v>["ENA", "RKI", "MIGS-VI", "NCBI Virus", "BV-BRC", "ENA ERC32", "ENA ERC33", "ENA Sample", "VJDB Sample", "Sample", "Collection"]</v>
      </c>
      <c r="Z9" s="54" t="s">
        <v>70</v>
      </c>
      <c r="AA9" s="52" t="s">
        <v>124</v>
      </c>
      <c r="AB9" s="54"/>
      <c r="AC9" s="54" t="s">
        <v>115</v>
      </c>
      <c r="AD9" s="54" t="s">
        <v>125</v>
      </c>
      <c r="AE9" s="54"/>
      <c r="AF9" s="54"/>
      <c r="AG9" s="54" t="s">
        <v>126</v>
      </c>
      <c r="AH9" s="54" t="s">
        <v>127</v>
      </c>
      <c r="AI9" s="54" t="s">
        <v>114</v>
      </c>
      <c r="AJ9" s="54" t="s">
        <v>90</v>
      </c>
      <c r="AK9" s="54"/>
      <c r="AL9" s="54"/>
      <c r="AM9" s="54" t="s">
        <v>128</v>
      </c>
      <c r="AN9" s="54"/>
      <c r="AO9" s="54"/>
      <c r="AP9" s="54" t="s">
        <v>128</v>
      </c>
      <c r="AQ9" s="54"/>
      <c r="AR9" s="54" t="s">
        <v>129</v>
      </c>
      <c r="AS9" s="54" t="s">
        <v>101</v>
      </c>
      <c r="AT9" s="54" t="s">
        <v>101</v>
      </c>
      <c r="AU9" s="55" t="s">
        <v>130</v>
      </c>
      <c r="AV9" s="54" t="s">
        <v>131</v>
      </c>
      <c r="AW9" s="52" t="s">
        <v>117</v>
      </c>
      <c r="AX9" s="52" t="s">
        <v>132</v>
      </c>
      <c r="AY9" s="54"/>
      <c r="AZ9" s="54"/>
      <c r="BA9" s="54"/>
      <c r="BB9" s="58" t="s">
        <v>80</v>
      </c>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c r="CO9" s="50"/>
      <c r="CP9" s="50"/>
      <c r="CQ9" s="50"/>
      <c r="CR9" s="50"/>
      <c r="CS9" s="50"/>
      <c r="CT9" s="50"/>
      <c r="CU9" s="50"/>
      <c r="CV9" s="50"/>
      <c r="CW9" s="50"/>
      <c r="CX9" s="50"/>
      <c r="CY9" s="50"/>
      <c r="CZ9" s="50"/>
      <c r="DA9" s="50"/>
      <c r="DB9" s="50"/>
      <c r="DC9" s="50"/>
      <c r="DD9" s="50"/>
      <c r="DE9" s="50"/>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c r="EN9" s="50"/>
      <c r="EO9" s="50"/>
      <c r="EP9" s="50"/>
      <c r="EQ9" s="50"/>
      <c r="ER9" s="50"/>
      <c r="ES9" s="50"/>
      <c r="ET9" s="50"/>
      <c r="EU9" s="50"/>
      <c r="EV9" s="50"/>
      <c r="EW9" s="50"/>
      <c r="EX9" s="50"/>
      <c r="EY9" s="50"/>
      <c r="EZ9" s="50"/>
      <c r="FA9" s="50"/>
      <c r="FB9" s="50"/>
      <c r="FC9" s="50"/>
      <c r="FD9" s="50"/>
      <c r="FE9" s="50"/>
      <c r="FF9" s="50"/>
      <c r="FG9" s="50"/>
      <c r="FH9" s="50"/>
      <c r="FI9" s="50"/>
      <c r="FJ9" s="50"/>
      <c r="FK9" s="50"/>
      <c r="FL9" s="50"/>
      <c r="FM9" s="50"/>
      <c r="FN9" s="50"/>
      <c r="FO9" s="50"/>
      <c r="FP9" s="50"/>
      <c r="FQ9" s="50"/>
      <c r="FR9" s="50"/>
      <c r="FS9" s="50"/>
      <c r="FT9" s="50"/>
      <c r="FU9" s="50"/>
      <c r="FV9" s="50"/>
      <c r="FW9" s="50"/>
    </row>
    <row r="10" spans="1:180" s="59" customFormat="1" ht="25.5" customHeight="1">
      <c r="A10" s="51" t="s">
        <v>133</v>
      </c>
      <c r="B10" s="51" t="s">
        <v>134</v>
      </c>
      <c r="C10" s="52" t="s">
        <v>135</v>
      </c>
      <c r="D10" s="71" t="s">
        <v>136</v>
      </c>
      <c r="E10" s="54" t="s">
        <v>76</v>
      </c>
      <c r="F10" s="54" t="s">
        <v>64</v>
      </c>
      <c r="G10" s="54" t="s">
        <v>137</v>
      </c>
      <c r="H10" s="54"/>
      <c r="I10" s="54" t="s">
        <v>138</v>
      </c>
      <c r="J10" s="54"/>
      <c r="K10" s="54"/>
      <c r="L10" s="54" t="s">
        <v>135</v>
      </c>
      <c r="M10" s="54" t="s">
        <v>139</v>
      </c>
      <c r="N10" s="54" t="s">
        <v>137</v>
      </c>
      <c r="O10" s="54" t="s">
        <v>137</v>
      </c>
      <c r="P10" s="54"/>
      <c r="Q10" s="54"/>
      <c r="R10" s="54"/>
      <c r="S10" s="54"/>
      <c r="T10" s="53" t="s">
        <v>110</v>
      </c>
      <c r="U10" s="53" t="s">
        <v>111</v>
      </c>
      <c r="V10" s="52" t="s">
        <v>122</v>
      </c>
      <c r="W10" s="52" t="s">
        <v>123</v>
      </c>
      <c r="X10" s="52"/>
      <c r="Y10" s="54" t="str">
        <f>"[" &amp; _xlfn.TEXTJOIN(", ", TRUE,
    IF(G10&lt;&gt;"", """" &amp; G$1 &amp; """", ""),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T10 &amp; """", ""),
    IF(U10&lt;&gt;"", """" &amp; U10 &amp; """", ""),
    IF(V10&lt;&gt;"", """" &amp; V10 &amp; """", ""),
    IF(W10&lt;&gt;"", """" &amp; W10 &amp; """", ""),
    IF(X10&lt;&gt;"", """" &amp; X10 &amp; """", "")
) &amp; "]"</f>
        <v>["ENA", "MIGS-VI", "NCBI Virus", "BV-BRC", "ENA ERC32", "ENA ERC33", "ENA Sample", "VJDB Sample", "Sample", "Collection"]</v>
      </c>
      <c r="Z10" s="54" t="s">
        <v>70</v>
      </c>
      <c r="AA10" s="52"/>
      <c r="AB10" s="54"/>
      <c r="AC10" s="54" t="s">
        <v>135</v>
      </c>
      <c r="AD10" s="54" t="s">
        <v>140</v>
      </c>
      <c r="AE10" s="54"/>
      <c r="AF10" s="54" t="s">
        <v>141</v>
      </c>
      <c r="AG10" s="54" t="s">
        <v>126</v>
      </c>
      <c r="AH10" s="54" t="s">
        <v>127</v>
      </c>
      <c r="AI10" s="54" t="s">
        <v>142</v>
      </c>
      <c r="AJ10" s="54" t="s">
        <v>75</v>
      </c>
      <c r="AK10" s="54"/>
      <c r="AL10" s="54"/>
      <c r="AM10" s="54" t="s">
        <v>143</v>
      </c>
      <c r="AN10" s="54"/>
      <c r="AO10" s="54"/>
      <c r="AP10" s="54" t="s">
        <v>144</v>
      </c>
      <c r="AQ10" s="54"/>
      <c r="AR10" s="54" t="s">
        <v>145</v>
      </c>
      <c r="AS10" s="54" t="s">
        <v>101</v>
      </c>
      <c r="AT10" s="54" t="s">
        <v>101</v>
      </c>
      <c r="AU10" s="55" t="s">
        <v>146</v>
      </c>
      <c r="AV10" s="54" t="s">
        <v>147</v>
      </c>
      <c r="AW10" s="52" t="s">
        <v>148</v>
      </c>
      <c r="AX10" s="52" t="s">
        <v>149</v>
      </c>
      <c r="AY10" s="54"/>
      <c r="AZ10" s="54"/>
      <c r="BA10" s="54"/>
      <c r="BB10" s="58" t="s">
        <v>80</v>
      </c>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c r="EU10" s="50"/>
      <c r="EV10" s="50"/>
      <c r="EW10" s="50"/>
      <c r="EX10" s="50"/>
      <c r="EY10" s="50"/>
      <c r="EZ10" s="50"/>
      <c r="FA10" s="50"/>
      <c r="FB10" s="50"/>
      <c r="FC10" s="50"/>
      <c r="FD10" s="50"/>
      <c r="FE10" s="50"/>
      <c r="FF10" s="50"/>
      <c r="FG10" s="50"/>
      <c r="FH10" s="50"/>
      <c r="FI10" s="50"/>
      <c r="FJ10" s="50"/>
      <c r="FK10" s="50"/>
      <c r="FL10" s="50"/>
      <c r="FM10" s="50"/>
      <c r="FN10" s="50"/>
      <c r="FO10" s="50"/>
      <c r="FP10" s="50"/>
      <c r="FQ10" s="50"/>
      <c r="FR10" s="50"/>
      <c r="FS10" s="50"/>
      <c r="FT10" s="50"/>
      <c r="FU10" s="50"/>
      <c r="FV10" s="50"/>
      <c r="FW10" s="50"/>
    </row>
    <row r="11" spans="1:180" s="59" customFormat="1" ht="25.5" customHeight="1">
      <c r="A11" s="51" t="s">
        <v>150</v>
      </c>
      <c r="B11" s="51" t="s">
        <v>151</v>
      </c>
      <c r="C11" s="52" t="s">
        <v>152</v>
      </c>
      <c r="D11" s="71" t="s">
        <v>153</v>
      </c>
      <c r="E11" s="54" t="s">
        <v>76</v>
      </c>
      <c r="F11" s="54" t="s">
        <v>154</v>
      </c>
      <c r="G11" s="54"/>
      <c r="H11" s="54"/>
      <c r="I11" s="54"/>
      <c r="J11" s="54"/>
      <c r="K11" s="54"/>
      <c r="L11" s="54" t="s">
        <v>155</v>
      </c>
      <c r="M11" s="54"/>
      <c r="N11" s="54"/>
      <c r="O11" s="54"/>
      <c r="P11" s="54"/>
      <c r="Q11" s="54"/>
      <c r="R11" s="54"/>
      <c r="S11" s="54"/>
      <c r="T11" s="53"/>
      <c r="U11" s="53"/>
      <c r="V11" s="52" t="s">
        <v>122</v>
      </c>
      <c r="W11" s="52" t="s">
        <v>156</v>
      </c>
      <c r="X11" s="52"/>
      <c r="Y11" s="54" t="str">
        <f>"[" &amp; _xlfn.TEXTJOIN(", ", TRUE,
    IF(G11&lt;&gt;"", """" &amp; G$1 &amp; """", ""),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T11 &amp; """", ""),
    IF(U11&lt;&gt;"", """" &amp; U11 &amp; """", ""),
    IF(V11&lt;&gt;"", """" &amp; V11 &amp; """", ""),
    IF(W11&lt;&gt;"", """" &amp; W11 &amp; """", ""),
    IF(X11&lt;&gt;"", """" &amp; X11 &amp; """", "")
) &amp; "]"</f>
        <v>["NCBI Virus", "Sample", "Sequence"]</v>
      </c>
      <c r="Z11" s="54" t="s">
        <v>6</v>
      </c>
      <c r="AA11" s="52" t="s">
        <v>71</v>
      </c>
      <c r="AB11" s="54"/>
      <c r="AC11" s="54" t="s">
        <v>152</v>
      </c>
      <c r="AD11" s="54" t="s">
        <v>157</v>
      </c>
      <c r="AE11" s="54"/>
      <c r="AF11" s="54"/>
      <c r="AG11" s="54"/>
      <c r="AH11" s="54"/>
      <c r="AI11" s="54"/>
      <c r="AJ11" s="54"/>
      <c r="AK11" s="54"/>
      <c r="AL11" s="54"/>
      <c r="AM11" s="54"/>
      <c r="AN11" s="54"/>
      <c r="AO11" s="54"/>
      <c r="AP11" s="54"/>
      <c r="AQ11" s="54"/>
      <c r="AR11" s="54"/>
      <c r="AS11" s="54"/>
      <c r="AT11" s="54"/>
      <c r="AU11" s="55"/>
      <c r="AV11" s="54"/>
      <c r="AW11" s="52" t="s">
        <v>76</v>
      </c>
      <c r="AX11" s="52" t="s">
        <v>132</v>
      </c>
      <c r="AY11" s="54"/>
      <c r="AZ11" s="54"/>
      <c r="BA11" s="54"/>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c r="CO11" s="50"/>
      <c r="CP11" s="50"/>
      <c r="CQ11" s="50"/>
      <c r="CR11" s="50"/>
      <c r="CS11" s="50"/>
      <c r="CT11" s="50"/>
      <c r="CU11" s="50"/>
      <c r="CV11" s="50"/>
      <c r="CW11" s="50"/>
      <c r="CX11" s="50"/>
      <c r="CY11" s="50"/>
      <c r="CZ11" s="50"/>
      <c r="DA11" s="50"/>
      <c r="DB11" s="50"/>
      <c r="DC11" s="50"/>
      <c r="DD11" s="50"/>
      <c r="DE11" s="50"/>
      <c r="DF11" s="50"/>
      <c r="DG11" s="50"/>
      <c r="DH11" s="50"/>
      <c r="DI11" s="50"/>
      <c r="DJ11" s="50"/>
      <c r="DK11" s="50"/>
      <c r="DL11" s="50"/>
      <c r="DM11" s="50"/>
      <c r="DN11" s="50"/>
      <c r="DO11" s="50"/>
      <c r="DP11" s="50"/>
      <c r="DQ11" s="50"/>
      <c r="DR11" s="50"/>
      <c r="DS11" s="50"/>
      <c r="DT11" s="50"/>
      <c r="DU11" s="50"/>
      <c r="DV11" s="50"/>
      <c r="DW11" s="50"/>
      <c r="DX11" s="50"/>
      <c r="DY11" s="50"/>
      <c r="DZ11" s="50"/>
      <c r="EA11" s="50"/>
      <c r="EB11" s="50"/>
      <c r="EC11" s="50"/>
      <c r="ED11" s="50"/>
      <c r="EE11" s="50"/>
      <c r="EF11" s="50"/>
      <c r="EG11" s="50"/>
      <c r="EH11" s="50"/>
      <c r="EI11" s="50"/>
      <c r="EJ11" s="50"/>
      <c r="EK11" s="50"/>
      <c r="EL11" s="50"/>
      <c r="EM11" s="50"/>
      <c r="EN11" s="50"/>
      <c r="EO11" s="50"/>
      <c r="EP11" s="50"/>
      <c r="EQ11" s="50"/>
      <c r="ER11" s="50"/>
      <c r="ES11" s="50"/>
      <c r="ET11" s="50"/>
      <c r="EU11" s="50"/>
      <c r="EV11" s="50"/>
      <c r="EW11" s="50"/>
      <c r="EX11" s="50"/>
      <c r="EY11" s="50"/>
      <c r="EZ11" s="50"/>
      <c r="FA11" s="50"/>
      <c r="FB11" s="50"/>
      <c r="FC11" s="50"/>
      <c r="FD11" s="50"/>
      <c r="FE11" s="50"/>
      <c r="FF11" s="50"/>
      <c r="FG11" s="50"/>
      <c r="FH11" s="50"/>
      <c r="FI11" s="50"/>
      <c r="FJ11" s="50"/>
      <c r="FK11" s="50"/>
      <c r="FL11" s="50"/>
      <c r="FM11" s="50"/>
      <c r="FN11" s="50"/>
      <c r="FO11" s="50"/>
      <c r="FP11" s="50"/>
      <c r="FQ11" s="50"/>
      <c r="FR11" s="50"/>
      <c r="FS11" s="50"/>
      <c r="FT11" s="50"/>
      <c r="FU11" s="50"/>
      <c r="FV11" s="50"/>
      <c r="FW11" s="50"/>
    </row>
    <row r="12" spans="1:180" s="59" customFormat="1" ht="25.5" customHeight="1">
      <c r="A12" s="51" t="s">
        <v>158</v>
      </c>
      <c r="B12" s="51" t="s">
        <v>159</v>
      </c>
      <c r="C12" s="52" t="s">
        <v>160</v>
      </c>
      <c r="D12" s="71" t="s">
        <v>161</v>
      </c>
      <c r="E12" s="54" t="s">
        <v>162</v>
      </c>
      <c r="F12" s="54" t="s">
        <v>64</v>
      </c>
      <c r="G12" s="54"/>
      <c r="H12" s="54"/>
      <c r="I12" s="54"/>
      <c r="J12" s="54"/>
      <c r="K12" s="54"/>
      <c r="L12" s="54" t="s">
        <v>163</v>
      </c>
      <c r="M12" s="54"/>
      <c r="N12" s="54"/>
      <c r="O12" s="54"/>
      <c r="P12" s="54"/>
      <c r="Q12" s="54"/>
      <c r="R12" s="54"/>
      <c r="S12" s="54"/>
      <c r="T12" s="53"/>
      <c r="U12" s="53"/>
      <c r="V12" s="52" t="s">
        <v>164</v>
      </c>
      <c r="W12" s="52" t="s">
        <v>165</v>
      </c>
      <c r="X12" s="52"/>
      <c r="Y12" s="54" t="str">
        <f>"[" &amp; _xlfn.TEXTJOIN(", ", TRUE,
    IF(G12&lt;&gt;"", """" &amp; G$1 &amp; """", ""),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T12 &amp; """", ""),
    IF(U12&lt;&gt;"", """" &amp; U12 &amp; """", ""),
    IF(V12&lt;&gt;"", """" &amp; V12 &amp; """", ""),
    IF(W12&lt;&gt;"", """" &amp; W12 &amp; """", ""),
    IF(X12&lt;&gt;"", """" &amp; X12 &amp; """", "")
) &amp; "]"</f>
        <v>["NCBI Virus", "Source", "Flags"]</v>
      </c>
      <c r="Z12" s="54" t="s">
        <v>6</v>
      </c>
      <c r="AA12" s="52"/>
      <c r="AB12" s="54"/>
      <c r="AC12" s="54" t="s">
        <v>166</v>
      </c>
      <c r="AD12" s="54" t="s">
        <v>167</v>
      </c>
      <c r="AE12" s="54"/>
      <c r="AF12" s="54" t="s">
        <v>168</v>
      </c>
      <c r="AG12" s="54"/>
      <c r="AH12" s="54"/>
      <c r="AI12" s="54"/>
      <c r="AJ12" s="54"/>
      <c r="AK12" s="54"/>
      <c r="AL12" s="54"/>
      <c r="AM12" s="54"/>
      <c r="AN12" s="54"/>
      <c r="AO12" s="54"/>
      <c r="AP12" s="54"/>
      <c r="AQ12" s="54"/>
      <c r="AR12" s="54"/>
      <c r="AS12" s="54"/>
      <c r="AT12" s="54"/>
      <c r="AU12" s="55" t="s">
        <v>80</v>
      </c>
      <c r="AV12" s="54" t="s">
        <v>169</v>
      </c>
      <c r="AW12" s="52"/>
      <c r="AX12" s="52"/>
      <c r="AY12" s="54"/>
      <c r="AZ12" s="54"/>
      <c r="BA12" s="54"/>
      <c r="BB12" s="58" t="s">
        <v>80</v>
      </c>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c r="DA12" s="50"/>
      <c r="DB12" s="50"/>
      <c r="DC12" s="50"/>
      <c r="DD12" s="50"/>
      <c r="DE12" s="50"/>
      <c r="DF12" s="50"/>
      <c r="DG12" s="50"/>
      <c r="DH12" s="50"/>
      <c r="DI12" s="50"/>
      <c r="DJ12" s="50"/>
      <c r="DK12" s="50"/>
      <c r="DL12" s="50"/>
      <c r="DM12" s="50"/>
      <c r="DN12" s="50"/>
      <c r="DO12" s="50"/>
      <c r="DP12" s="50"/>
      <c r="DQ12" s="50"/>
      <c r="DR12" s="50"/>
      <c r="DS12" s="50"/>
      <c r="DT12" s="50"/>
      <c r="DU12" s="50"/>
      <c r="DV12" s="50"/>
      <c r="DW12" s="50"/>
      <c r="DX12" s="50"/>
      <c r="DY12" s="50"/>
      <c r="DZ12" s="50"/>
      <c r="EA12" s="50"/>
      <c r="EB12" s="50"/>
      <c r="EC12" s="50"/>
      <c r="ED12" s="50"/>
      <c r="EE12" s="50"/>
      <c r="EF12" s="50"/>
      <c r="EG12" s="50"/>
      <c r="EH12" s="50"/>
      <c r="EI12" s="50"/>
      <c r="EJ12" s="50"/>
      <c r="EK12" s="50"/>
      <c r="EL12" s="50"/>
      <c r="EM12" s="50"/>
      <c r="EN12" s="50"/>
      <c r="EO12" s="50"/>
      <c r="EP12" s="50"/>
      <c r="EQ12" s="50"/>
      <c r="ER12" s="50"/>
      <c r="ES12" s="50"/>
      <c r="ET12" s="50"/>
      <c r="EU12" s="50"/>
      <c r="EV12" s="50"/>
      <c r="EW12" s="50"/>
      <c r="EX12" s="50"/>
      <c r="EY12" s="50"/>
      <c r="EZ12" s="50"/>
      <c r="FA12" s="50"/>
      <c r="FB12" s="50"/>
      <c r="FC12" s="50"/>
      <c r="FD12" s="50"/>
      <c r="FE12" s="50"/>
      <c r="FF12" s="50"/>
      <c r="FG12" s="50"/>
      <c r="FH12" s="50"/>
      <c r="FI12" s="50"/>
      <c r="FJ12" s="50"/>
      <c r="FK12" s="50"/>
      <c r="FL12" s="50"/>
      <c r="FM12" s="50"/>
      <c r="FN12" s="50"/>
      <c r="FO12" s="50"/>
      <c r="FP12" s="50"/>
      <c r="FQ12" s="50"/>
      <c r="FR12" s="50"/>
      <c r="FS12" s="50"/>
      <c r="FT12" s="50"/>
      <c r="FU12" s="50"/>
      <c r="FV12" s="50"/>
      <c r="FW12" s="50"/>
    </row>
    <row r="13" spans="1:180" s="59" customFormat="1" ht="25.5" customHeight="1">
      <c r="A13" s="51" t="s">
        <v>170</v>
      </c>
      <c r="B13" s="51" t="s">
        <v>171</v>
      </c>
      <c r="C13" s="52" t="s">
        <v>172</v>
      </c>
      <c r="D13" s="71" t="s">
        <v>173</v>
      </c>
      <c r="E13" s="54" t="s">
        <v>162</v>
      </c>
      <c r="F13" s="54" t="s">
        <v>64</v>
      </c>
      <c r="G13" s="54"/>
      <c r="H13" s="54"/>
      <c r="I13" s="54"/>
      <c r="J13" s="54"/>
      <c r="K13" s="54"/>
      <c r="L13" s="54" t="s">
        <v>163</v>
      </c>
      <c r="M13" s="54" t="s">
        <v>174</v>
      </c>
      <c r="N13" s="54"/>
      <c r="O13" s="54"/>
      <c r="P13" s="54"/>
      <c r="Q13" s="54"/>
      <c r="R13" s="54"/>
      <c r="S13" s="54"/>
      <c r="T13" s="53"/>
      <c r="U13" s="53"/>
      <c r="V13" s="52" t="s">
        <v>164</v>
      </c>
      <c r="W13" s="52" t="s">
        <v>165</v>
      </c>
      <c r="X13" s="52"/>
      <c r="Y13" s="54" t="str">
        <f>"[" &amp; _xlfn.TEXTJOIN(", ", TRUE,
    IF(G13&lt;&gt;"", """" &amp; G$1 &amp; """", ""),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T13 &amp; """", ""),
    IF(U13&lt;&gt;"", """" &amp; U13 &amp; """", ""),
    IF(V13&lt;&gt;"", """" &amp; V13 &amp; """", ""),
    IF(W13&lt;&gt;"", """" &amp; W13 &amp; """", ""),
    IF(X13&lt;&gt;"", """" &amp; X13 &amp; """", "")
) &amp; "]"</f>
        <v>["NCBI Virus", "BV-BRC", "Source", "Flags"]</v>
      </c>
      <c r="Z13" s="54" t="s">
        <v>70</v>
      </c>
      <c r="AA13" s="52"/>
      <c r="AB13" s="54"/>
      <c r="AC13" s="54" t="s">
        <v>166</v>
      </c>
      <c r="AD13" s="54" t="s">
        <v>167</v>
      </c>
      <c r="AE13" s="54"/>
      <c r="AF13" s="54" t="s">
        <v>168</v>
      </c>
      <c r="AG13" s="54" t="s">
        <v>175</v>
      </c>
      <c r="AH13" s="54"/>
      <c r="AI13" s="54" t="s">
        <v>176</v>
      </c>
      <c r="AJ13" s="54" t="s">
        <v>90</v>
      </c>
      <c r="AK13" s="54"/>
      <c r="AL13" s="54" t="s">
        <v>177</v>
      </c>
      <c r="AM13" s="54"/>
      <c r="AN13" s="54"/>
      <c r="AO13" s="54"/>
      <c r="AP13" s="54"/>
      <c r="AQ13" s="54"/>
      <c r="AR13" s="54"/>
      <c r="AS13" s="54"/>
      <c r="AT13" s="54"/>
      <c r="AU13" s="55" t="s">
        <v>80</v>
      </c>
      <c r="AV13" s="54" t="s">
        <v>169</v>
      </c>
      <c r="AW13" s="52"/>
      <c r="AX13" s="52"/>
      <c r="AY13" s="54"/>
      <c r="AZ13" s="54"/>
      <c r="BA13" s="54"/>
      <c r="BB13" s="58" t="s">
        <v>80</v>
      </c>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row>
    <row r="14" spans="1:180" s="59" customFormat="1" ht="25.5" customHeight="1">
      <c r="A14" s="51" t="s">
        <v>178</v>
      </c>
      <c r="B14" s="51" t="s">
        <v>179</v>
      </c>
      <c r="C14" s="52" t="s">
        <v>180</v>
      </c>
      <c r="D14" s="71" t="s">
        <v>181</v>
      </c>
      <c r="E14" s="54" t="s">
        <v>76</v>
      </c>
      <c r="F14" s="54" t="s">
        <v>154</v>
      </c>
      <c r="G14" s="54" t="s">
        <v>182</v>
      </c>
      <c r="H14" s="54"/>
      <c r="I14" s="54"/>
      <c r="J14" s="54"/>
      <c r="K14" s="54"/>
      <c r="L14" s="54" t="s">
        <v>183</v>
      </c>
      <c r="M14" s="54"/>
      <c r="N14" s="54"/>
      <c r="O14" s="54"/>
      <c r="P14" s="54"/>
      <c r="Q14" s="54"/>
      <c r="R14" s="54"/>
      <c r="S14" s="54"/>
      <c r="T14" s="53"/>
      <c r="U14" s="53"/>
      <c r="V14" s="52" t="s">
        <v>122</v>
      </c>
      <c r="W14" s="52" t="s">
        <v>123</v>
      </c>
      <c r="X14" s="52"/>
      <c r="Y14" s="54" t="str">
        <f>"[" &amp; _xlfn.TEXTJOIN(", ", TRUE,
    IF(G14&lt;&gt;"", """" &amp; G$1 &amp; """", ""),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T14 &amp; """", ""),
    IF(U14&lt;&gt;"", """" &amp; U14 &amp; """", ""),
    IF(V14&lt;&gt;"", """" &amp; V14 &amp; """", ""),
    IF(W14&lt;&gt;"", """" &amp; W14 &amp; """", ""),
    IF(X14&lt;&gt;"", """" &amp; X14 &amp; """", "")
) &amp; "]"</f>
        <v>["ENA", "NCBI Virus", "Sample", "Collection"]</v>
      </c>
      <c r="Z14" s="54" t="s">
        <v>6</v>
      </c>
      <c r="AA14" s="52"/>
      <c r="AB14" s="54"/>
      <c r="AC14" s="54" t="s">
        <v>184</v>
      </c>
      <c r="AD14" s="54" t="s">
        <v>185</v>
      </c>
      <c r="AE14" s="54"/>
      <c r="AF14" s="54" t="s">
        <v>141</v>
      </c>
      <c r="AG14" s="54"/>
      <c r="AH14" s="54"/>
      <c r="AI14" s="54"/>
      <c r="AJ14" s="54"/>
      <c r="AK14" s="54"/>
      <c r="AL14" s="54"/>
      <c r="AM14" s="54"/>
      <c r="AN14" s="54"/>
      <c r="AO14" s="54"/>
      <c r="AP14" s="54"/>
      <c r="AQ14" s="54"/>
      <c r="AR14" s="54"/>
      <c r="AS14" s="54" t="s">
        <v>186</v>
      </c>
      <c r="AT14" s="54" t="s">
        <v>186</v>
      </c>
      <c r="AU14" s="55" t="s">
        <v>187</v>
      </c>
      <c r="AV14" s="54" t="s">
        <v>188</v>
      </c>
      <c r="AW14" s="52" t="s">
        <v>76</v>
      </c>
      <c r="AX14" s="52" t="s">
        <v>132</v>
      </c>
      <c r="AY14" s="54"/>
      <c r="AZ14" s="54"/>
      <c r="BA14" s="54"/>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row>
    <row r="15" spans="1:180" s="59" customFormat="1" ht="25.5" customHeight="1">
      <c r="A15" s="51" t="s">
        <v>189</v>
      </c>
      <c r="B15" s="51" t="s">
        <v>190</v>
      </c>
      <c r="C15" s="52" t="s">
        <v>191</v>
      </c>
      <c r="D15" s="71" t="s">
        <v>192</v>
      </c>
      <c r="E15" s="54" t="s">
        <v>76</v>
      </c>
      <c r="F15" s="54" t="s">
        <v>64</v>
      </c>
      <c r="G15" s="54"/>
      <c r="H15" s="54"/>
      <c r="I15" s="54"/>
      <c r="J15" s="54"/>
      <c r="K15" s="54"/>
      <c r="L15" s="54" t="s">
        <v>183</v>
      </c>
      <c r="M15" s="54" t="s">
        <v>193</v>
      </c>
      <c r="N15" s="54" t="s">
        <v>182</v>
      </c>
      <c r="O15" s="54" t="s">
        <v>182</v>
      </c>
      <c r="P15" s="54"/>
      <c r="Q15" s="54"/>
      <c r="R15" s="54"/>
      <c r="S15" s="54"/>
      <c r="T15" s="53" t="s">
        <v>110</v>
      </c>
      <c r="U15" s="53" t="s">
        <v>111</v>
      </c>
      <c r="V15" s="52" t="s">
        <v>122</v>
      </c>
      <c r="W15" s="52" t="s">
        <v>123</v>
      </c>
      <c r="X15" s="52"/>
      <c r="Y15" s="54" t="str">
        <f>"[" &amp; _xlfn.TEXTJOIN(", ", TRUE,
    IF(G15&lt;&gt;"", """" &amp; G$1 &amp; """", ""),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T15 &amp; """", ""),
    IF(U15&lt;&gt;"", """" &amp; U15 &amp; """", ""),
    IF(V15&lt;&gt;"", """" &amp; V15 &amp; """", ""),
    IF(W15&lt;&gt;"", """" &amp; W15 &amp; """", ""),
    IF(X15&lt;&gt;"", """" &amp; X15 &amp; """", "")
) &amp; "]"</f>
        <v>["NCBI Virus", "BV-BRC", "ENA ERC32", "ENA ERC33", "ENA Sample", "VJDB Sample", "Sample", "Collection"]</v>
      </c>
      <c r="Z15" s="54" t="s">
        <v>70</v>
      </c>
      <c r="AA15" s="52" t="s">
        <v>194</v>
      </c>
      <c r="AB15" s="54"/>
      <c r="AC15" s="54" t="s">
        <v>184</v>
      </c>
      <c r="AD15" s="54" t="s">
        <v>185</v>
      </c>
      <c r="AE15" s="54"/>
      <c r="AF15" s="54" t="s">
        <v>141</v>
      </c>
      <c r="AG15" s="54" t="s">
        <v>126</v>
      </c>
      <c r="AH15" s="54" t="s">
        <v>127</v>
      </c>
      <c r="AI15" s="54" t="s">
        <v>195</v>
      </c>
      <c r="AJ15" s="54" t="s">
        <v>75</v>
      </c>
      <c r="AK15" s="54"/>
      <c r="AL15" s="54"/>
      <c r="AM15" s="54" t="s">
        <v>196</v>
      </c>
      <c r="AN15" s="54"/>
      <c r="AO15" s="54"/>
      <c r="AP15" s="54" t="s">
        <v>196</v>
      </c>
      <c r="AQ15" s="54"/>
      <c r="AR15" s="54" t="s">
        <v>129</v>
      </c>
      <c r="AS15" s="54"/>
      <c r="AT15" s="54"/>
      <c r="AU15" s="55" t="s">
        <v>197</v>
      </c>
      <c r="AV15" s="54" t="s">
        <v>198</v>
      </c>
      <c r="AW15" s="52" t="s">
        <v>76</v>
      </c>
      <c r="AX15" s="52" t="s">
        <v>132</v>
      </c>
      <c r="AY15" s="54"/>
      <c r="AZ15" s="54"/>
      <c r="BA15" s="54"/>
      <c r="BB15" s="58" t="s">
        <v>80</v>
      </c>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row>
    <row r="16" spans="1:180" s="59" customFormat="1" ht="25.5" customHeight="1">
      <c r="A16" s="51" t="s">
        <v>199</v>
      </c>
      <c r="B16" s="51" t="s">
        <v>200</v>
      </c>
      <c r="C16" s="52" t="s">
        <v>201</v>
      </c>
      <c r="D16" s="71" t="s">
        <v>202</v>
      </c>
      <c r="E16" s="54" t="s">
        <v>76</v>
      </c>
      <c r="F16" s="54" t="s">
        <v>64</v>
      </c>
      <c r="G16" s="54" t="s">
        <v>203</v>
      </c>
      <c r="H16" s="54"/>
      <c r="I16" s="54"/>
      <c r="J16" s="54"/>
      <c r="K16" s="54"/>
      <c r="L16" s="54" t="s">
        <v>204</v>
      </c>
      <c r="M16" s="54" t="s">
        <v>201</v>
      </c>
      <c r="N16" s="54" t="s">
        <v>203</v>
      </c>
      <c r="O16" s="54" t="s">
        <v>203</v>
      </c>
      <c r="P16" s="54"/>
      <c r="Q16" s="54"/>
      <c r="R16" s="54"/>
      <c r="S16" s="54"/>
      <c r="T16" s="53" t="s">
        <v>110</v>
      </c>
      <c r="U16" s="53" t="s">
        <v>111</v>
      </c>
      <c r="V16" s="52" t="s">
        <v>204</v>
      </c>
      <c r="W16" s="52" t="s">
        <v>205</v>
      </c>
      <c r="X16" s="52"/>
      <c r="Y16" s="54" t="str">
        <f>"[" &amp; _xlfn.TEXTJOIN(", ", TRUE,
    IF(G16&lt;&gt;"", """" &amp; G$1 &amp; """", ""),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T16 &amp; """", ""),
    IF(U16&lt;&gt;"", """" &amp; U16 &amp; """", ""),
    IF(V16&lt;&gt;"", """" &amp; V16 &amp; """", ""),
    IF(W16&lt;&gt;"", """" &amp; W16 &amp; """", ""),
    IF(X16&lt;&gt;"", """" &amp; X16 &amp; """", "")
) &amp; "]"</f>
        <v>["ENA", "NCBI Virus", "BV-BRC", "ENA ERC32", "ENA ERC33", "ENA Sample", "VJDB Sample", "Host", "Host Taxonomy"]</v>
      </c>
      <c r="Z16" s="54" t="s">
        <v>70</v>
      </c>
      <c r="AA16" s="52"/>
      <c r="AB16" s="54"/>
      <c r="AC16" s="54" t="s">
        <v>204</v>
      </c>
      <c r="AD16" s="54" t="s">
        <v>206</v>
      </c>
      <c r="AE16" s="54"/>
      <c r="AF16" s="54"/>
      <c r="AG16" s="54" t="s">
        <v>207</v>
      </c>
      <c r="AH16" s="54"/>
      <c r="AI16" s="54" t="s">
        <v>200</v>
      </c>
      <c r="AJ16" s="54" t="s">
        <v>75</v>
      </c>
      <c r="AK16" s="54"/>
      <c r="AL16" s="54"/>
      <c r="AM16" s="54" t="s">
        <v>208</v>
      </c>
      <c r="AN16" s="54"/>
      <c r="AO16" s="54"/>
      <c r="AP16" s="54" t="s">
        <v>208</v>
      </c>
      <c r="AQ16" s="54"/>
      <c r="AR16" s="54" t="s">
        <v>129</v>
      </c>
      <c r="AS16" s="54" t="s">
        <v>101</v>
      </c>
      <c r="AT16" s="54" t="s">
        <v>101</v>
      </c>
      <c r="AU16" s="55" t="s">
        <v>209</v>
      </c>
      <c r="AV16" s="54" t="s">
        <v>210</v>
      </c>
      <c r="AW16" s="52" t="s">
        <v>211</v>
      </c>
      <c r="AX16" s="52" t="s">
        <v>132</v>
      </c>
      <c r="AY16" s="54"/>
      <c r="AZ16" s="54"/>
      <c r="BA16" s="54"/>
      <c r="BB16" s="58" t="s">
        <v>80</v>
      </c>
      <c r="BC16" s="58" t="s">
        <v>80</v>
      </c>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row>
    <row r="17" spans="1:180" s="59" customFormat="1" ht="25.5" customHeight="1">
      <c r="A17" s="51" t="s">
        <v>212</v>
      </c>
      <c r="B17" s="51" t="s">
        <v>213</v>
      </c>
      <c r="C17" s="52" t="s">
        <v>214</v>
      </c>
      <c r="D17" s="71" t="s">
        <v>215</v>
      </c>
      <c r="E17" s="54" t="s">
        <v>216</v>
      </c>
      <c r="F17" s="54" t="s">
        <v>64</v>
      </c>
      <c r="G17" s="54"/>
      <c r="H17" s="54"/>
      <c r="I17" s="54"/>
      <c r="J17" s="54"/>
      <c r="K17" s="54"/>
      <c r="L17" s="54" t="s">
        <v>217</v>
      </c>
      <c r="M17" s="54" t="s">
        <v>218</v>
      </c>
      <c r="N17" s="54"/>
      <c r="O17" s="54"/>
      <c r="P17" s="60" t="s">
        <v>213</v>
      </c>
      <c r="Q17" s="60" t="s">
        <v>213</v>
      </c>
      <c r="R17" s="60" t="s">
        <v>213</v>
      </c>
      <c r="S17" s="54"/>
      <c r="T17" s="53"/>
      <c r="U17" s="53"/>
      <c r="V17" s="52" t="s">
        <v>122</v>
      </c>
      <c r="W17" s="52" t="s">
        <v>156</v>
      </c>
      <c r="X17" s="52" t="s">
        <v>219</v>
      </c>
      <c r="Y17" s="54" t="str">
        <f>"[" &amp; _xlfn.TEXTJOIN(", ", TRUE,
    IF(G17&lt;&gt;"", """" &amp; G$1 &amp; """", ""),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T17 &amp; """", ""),
    IF(U17&lt;&gt;"", """" &amp; U17 &amp; """", ""),
    IF(V17&lt;&gt;"", """" &amp; V17 &amp; """", ""),
    IF(W17&lt;&gt;"", """" &amp; W17 &amp; """", ""),
    IF(X17&lt;&gt;"", """" &amp; X17 &amp; """", "")
) &amp; "]"</f>
        <v>["NCBI Virus", "BV-BRC", "IMG/VR", "PHD", "PhiSpy", "Sample", "Sequence", "Workflows"]</v>
      </c>
      <c r="Z17" s="54" t="s">
        <v>70</v>
      </c>
      <c r="AA17" s="52" t="s">
        <v>220</v>
      </c>
      <c r="AB17" s="54"/>
      <c r="AC17" s="54" t="s">
        <v>217</v>
      </c>
      <c r="AD17" s="54" t="s">
        <v>221</v>
      </c>
      <c r="AE17" s="54"/>
      <c r="AF17" s="54"/>
      <c r="AG17" s="54" t="s">
        <v>222</v>
      </c>
      <c r="AH17" s="54" t="s">
        <v>222</v>
      </c>
      <c r="AI17" s="54" t="s">
        <v>223</v>
      </c>
      <c r="AJ17" s="54" t="s">
        <v>224</v>
      </c>
      <c r="AK17" s="54"/>
      <c r="AL17" s="54"/>
      <c r="AM17" s="54"/>
      <c r="AN17" s="54"/>
      <c r="AO17" s="54"/>
      <c r="AP17" s="54"/>
      <c r="AQ17" s="54"/>
      <c r="AR17" s="54"/>
      <c r="AS17" s="54"/>
      <c r="AT17" s="54"/>
      <c r="AU17" s="55" t="s">
        <v>225</v>
      </c>
      <c r="AV17" s="54" t="s">
        <v>226</v>
      </c>
      <c r="AW17" s="52" t="s">
        <v>76</v>
      </c>
      <c r="AX17" s="52" t="s">
        <v>77</v>
      </c>
      <c r="AY17" s="54"/>
      <c r="AZ17" s="54"/>
      <c r="BA17" s="54"/>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row>
    <row r="18" spans="1:180" s="59" customFormat="1" ht="25.5" customHeight="1">
      <c r="A18" s="51" t="s">
        <v>227</v>
      </c>
      <c r="B18" s="51" t="s">
        <v>228</v>
      </c>
      <c r="C18" s="52" t="s">
        <v>229</v>
      </c>
      <c r="D18" s="71" t="s">
        <v>230</v>
      </c>
      <c r="E18" s="54" t="s">
        <v>63</v>
      </c>
      <c r="F18" s="54" t="s">
        <v>64</v>
      </c>
      <c r="G18" s="54" t="s">
        <v>231</v>
      </c>
      <c r="H18" s="54"/>
      <c r="I18" s="54"/>
      <c r="J18" s="54"/>
      <c r="K18" s="54"/>
      <c r="L18" s="54" t="s">
        <v>232</v>
      </c>
      <c r="M18" s="54"/>
      <c r="N18" s="54"/>
      <c r="O18" s="54"/>
      <c r="P18" s="54"/>
      <c r="Q18" s="54"/>
      <c r="R18" s="54"/>
      <c r="S18" s="54"/>
      <c r="T18" s="53"/>
      <c r="U18" s="53"/>
      <c r="V18" s="52" t="s">
        <v>122</v>
      </c>
      <c r="W18" s="52" t="s">
        <v>233</v>
      </c>
      <c r="X18" s="52"/>
      <c r="Y18" s="54" t="str">
        <f>"[" &amp; _xlfn.TEXTJOIN(", ", TRUE,
    IF(G18&lt;&gt;"", """" &amp; G$1 &amp; """", ""),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T18 &amp; """", ""),
    IF(U18&lt;&gt;"", """" &amp; U18 &amp; """", ""),
    IF(V18&lt;&gt;"", """" &amp; V18 &amp; """", ""),
    IF(W18&lt;&gt;"", """" &amp; W18 &amp; """", ""),
    IF(X18&lt;&gt;"", """" &amp; X18 &amp; """", "")
) &amp; "]"</f>
        <v>["ENA", "NCBI Virus", "Sample", "Virus Info"]</v>
      </c>
      <c r="Z18" s="54" t="s">
        <v>6</v>
      </c>
      <c r="AA18" s="52" t="s">
        <v>234</v>
      </c>
      <c r="AB18" s="54"/>
      <c r="AC18" s="54" t="s">
        <v>229</v>
      </c>
      <c r="AD18" s="54" t="s">
        <v>235</v>
      </c>
      <c r="AE18" s="54"/>
      <c r="AF18" s="54"/>
      <c r="AG18" s="54"/>
      <c r="AH18" s="54"/>
      <c r="AI18" s="54"/>
      <c r="AJ18" s="54"/>
      <c r="AK18" s="54"/>
      <c r="AL18" s="54"/>
      <c r="AM18" s="54"/>
      <c r="AN18" s="54"/>
      <c r="AO18" s="54"/>
      <c r="AP18" s="54"/>
      <c r="AQ18" s="54"/>
      <c r="AR18" s="54"/>
      <c r="AS18" s="54" t="s">
        <v>236</v>
      </c>
      <c r="AT18" s="54" t="s">
        <v>236</v>
      </c>
      <c r="AU18" s="55" t="s">
        <v>237</v>
      </c>
      <c r="AV18" s="54" t="s">
        <v>238</v>
      </c>
      <c r="AW18" s="52" t="s">
        <v>148</v>
      </c>
      <c r="AX18" s="52" t="s">
        <v>149</v>
      </c>
      <c r="AY18" s="54"/>
      <c r="AZ18" s="54" t="s">
        <v>239</v>
      </c>
      <c r="BA18" s="61" t="s">
        <v>240</v>
      </c>
      <c r="BB18" s="58" t="s">
        <v>80</v>
      </c>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row>
    <row r="19" spans="1:180" s="59" customFormat="1" ht="25.5" customHeight="1">
      <c r="A19" s="51" t="s">
        <v>241</v>
      </c>
      <c r="B19" s="51" t="s">
        <v>242</v>
      </c>
      <c r="C19" s="52" t="s">
        <v>243</v>
      </c>
      <c r="D19" s="71" t="s">
        <v>244</v>
      </c>
      <c r="E19" s="54" t="s">
        <v>63</v>
      </c>
      <c r="F19" s="54" t="s">
        <v>64</v>
      </c>
      <c r="G19" s="54"/>
      <c r="H19" s="54"/>
      <c r="I19" s="54"/>
      <c r="J19" s="54"/>
      <c r="K19" s="54"/>
      <c r="L19" s="54" t="s">
        <v>245</v>
      </c>
      <c r="M19" s="54"/>
      <c r="N19" s="54"/>
      <c r="O19" s="54"/>
      <c r="P19" s="54"/>
      <c r="Q19" s="54"/>
      <c r="R19" s="54"/>
      <c r="S19" s="54"/>
      <c r="T19" s="53"/>
      <c r="U19" s="53"/>
      <c r="V19" s="52" t="s">
        <v>122</v>
      </c>
      <c r="W19" s="52" t="s">
        <v>156</v>
      </c>
      <c r="X19" s="52" t="s">
        <v>219</v>
      </c>
      <c r="Y19" s="54" t="str">
        <f>"[" &amp; _xlfn.TEXTJOIN(", ", TRUE,
    IF(G19&lt;&gt;"", """" &amp; G$1 &amp; """", ""),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T19 &amp; """", ""),
    IF(U19&lt;&gt;"", """" &amp; U19 &amp; """", ""),
    IF(V19&lt;&gt;"", """" &amp; V19 &amp; """", ""),
    IF(W19&lt;&gt;"", """" &amp; W19 &amp; """", ""),
    IF(X19&lt;&gt;"", """" &amp; X19 &amp; """", "")
) &amp; "]"</f>
        <v>["NCBI Virus", "Sample", "Sequence", "Workflows"]</v>
      </c>
      <c r="Z19" s="54" t="s">
        <v>6</v>
      </c>
      <c r="AA19" s="52"/>
      <c r="AB19" s="54"/>
      <c r="AC19" s="54" t="s">
        <v>246</v>
      </c>
      <c r="AD19" s="54" t="s">
        <v>247</v>
      </c>
      <c r="AE19" s="54"/>
      <c r="AF19" s="54"/>
      <c r="AG19" s="54"/>
      <c r="AH19" s="54"/>
      <c r="AI19" s="54"/>
      <c r="AJ19" s="54"/>
      <c r="AK19" s="54"/>
      <c r="AL19" s="54"/>
      <c r="AM19" s="54"/>
      <c r="AN19" s="54"/>
      <c r="AO19" s="54"/>
      <c r="AP19" s="54"/>
      <c r="AQ19" s="54"/>
      <c r="AR19" s="54"/>
      <c r="AS19" s="54"/>
      <c r="AT19" s="54"/>
      <c r="AU19" s="55" t="s">
        <v>248</v>
      </c>
      <c r="AV19" s="54" t="s">
        <v>249</v>
      </c>
      <c r="AW19" s="52" t="s">
        <v>148</v>
      </c>
      <c r="AX19" s="52" t="s">
        <v>149</v>
      </c>
      <c r="AY19" s="54"/>
      <c r="AZ19" s="54"/>
      <c r="BA19" s="54"/>
      <c r="BB19" s="58" t="s">
        <v>80</v>
      </c>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row>
    <row r="20" spans="1:180" s="59" customFormat="1" ht="25.5" customHeight="1">
      <c r="A20" s="51" t="s">
        <v>250</v>
      </c>
      <c r="B20" s="51" t="s">
        <v>251</v>
      </c>
      <c r="C20" s="52" t="s">
        <v>252</v>
      </c>
      <c r="D20" s="71" t="s">
        <v>253</v>
      </c>
      <c r="E20" s="54" t="s">
        <v>254</v>
      </c>
      <c r="F20" s="54" t="s">
        <v>154</v>
      </c>
      <c r="G20" s="54"/>
      <c r="H20" s="54"/>
      <c r="I20" s="54"/>
      <c r="J20" s="54"/>
      <c r="K20" s="54"/>
      <c r="L20" s="54"/>
      <c r="M20" s="54"/>
      <c r="N20" s="54"/>
      <c r="O20" s="54"/>
      <c r="P20" s="54"/>
      <c r="Q20" s="54"/>
      <c r="R20" s="54"/>
      <c r="S20" s="54"/>
      <c r="T20" s="53"/>
      <c r="U20" s="53"/>
      <c r="V20" s="52" t="s">
        <v>122</v>
      </c>
      <c r="W20" s="52"/>
      <c r="X20" s="52" t="s">
        <v>219</v>
      </c>
      <c r="Y20" s="54" t="str">
        <f>"[" &amp; _xlfn.TEXTJOIN(", ", TRUE,
    IF(G20&lt;&gt;"", """" &amp; G$1 &amp; """", ""),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T20 &amp; """", ""),
    IF(U20&lt;&gt;"", """" &amp; U20 &amp; """", ""),
    IF(V20&lt;&gt;"", """" &amp; V20 &amp; """", ""),
    IF(W20&lt;&gt;"", """" &amp; W20 &amp; """", ""),
    IF(X20&lt;&gt;"", """" &amp; X20 &amp; """", "")
) &amp; "]"</f>
        <v>["Sample", "Workflows"]</v>
      </c>
      <c r="Z20" s="54"/>
      <c r="AA20" s="52"/>
      <c r="AB20" s="54"/>
      <c r="AC20" s="54"/>
      <c r="AD20" s="54"/>
      <c r="AE20" s="54"/>
      <c r="AF20" s="54"/>
      <c r="AG20" s="54"/>
      <c r="AH20" s="54"/>
      <c r="AI20" s="54"/>
      <c r="AJ20" s="54"/>
      <c r="AK20" s="54"/>
      <c r="AL20" s="54"/>
      <c r="AM20" s="54"/>
      <c r="AN20" s="54"/>
      <c r="AO20" s="54"/>
      <c r="AP20" s="54"/>
      <c r="AQ20" s="54"/>
      <c r="AR20" s="54"/>
      <c r="AS20" s="54"/>
      <c r="AT20" s="54"/>
      <c r="AU20" s="54"/>
      <c r="AV20" s="54"/>
      <c r="AW20" s="52"/>
      <c r="AX20" s="52"/>
      <c r="AY20" s="54"/>
      <c r="AZ20" s="54"/>
      <c r="BA20" s="54"/>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row>
    <row r="21" spans="1:180" s="59" customFormat="1" ht="25.5" customHeight="1">
      <c r="A21" s="51" t="s">
        <v>255</v>
      </c>
      <c r="B21" s="51" t="s">
        <v>256</v>
      </c>
      <c r="C21" s="52" t="s">
        <v>257</v>
      </c>
      <c r="D21" s="71" t="s">
        <v>258</v>
      </c>
      <c r="E21" s="54" t="s">
        <v>76</v>
      </c>
      <c r="F21" s="54" t="s">
        <v>64</v>
      </c>
      <c r="G21" s="54"/>
      <c r="H21" s="54"/>
      <c r="I21" s="54"/>
      <c r="J21" s="54"/>
      <c r="K21" s="54"/>
      <c r="L21" s="54" t="s">
        <v>259</v>
      </c>
      <c r="M21" s="54"/>
      <c r="N21" s="54"/>
      <c r="O21" s="54"/>
      <c r="P21" s="54"/>
      <c r="Q21" s="54" t="s">
        <v>256</v>
      </c>
      <c r="R21" s="54"/>
      <c r="S21" s="54"/>
      <c r="T21" s="53"/>
      <c r="U21" s="53"/>
      <c r="V21" s="52" t="s">
        <v>122</v>
      </c>
      <c r="W21" s="52" t="s">
        <v>233</v>
      </c>
      <c r="X21" s="52"/>
      <c r="Y21" s="54" t="str">
        <f>"[" &amp; _xlfn.TEXTJOIN(", ", TRUE,
    IF(G21&lt;&gt;"", """" &amp; G$1 &amp; """", ""),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T21 &amp; """", ""),
    IF(U21&lt;&gt;"", """" &amp; U21 &amp; """", ""),
    IF(V21&lt;&gt;"", """" &amp; V21 &amp; """", ""),
    IF(W21&lt;&gt;"", """" &amp; W21 &amp; """", ""),
    IF(X21&lt;&gt;"", """" &amp; X21 &amp; """", "")
) &amp; "]"</f>
        <v>["NCBI Virus", "PHD", "Sample", "Virus Info"]</v>
      </c>
      <c r="Z21" s="54" t="s">
        <v>6</v>
      </c>
      <c r="AA21" s="52" t="s">
        <v>260</v>
      </c>
      <c r="AB21" s="54" t="s">
        <v>261</v>
      </c>
      <c r="AC21" s="54" t="s">
        <v>257</v>
      </c>
      <c r="AD21" s="54" t="s">
        <v>262</v>
      </c>
      <c r="AE21" s="54"/>
      <c r="AF21" s="54"/>
      <c r="AG21" s="54"/>
      <c r="AH21" s="54"/>
      <c r="AI21" s="54"/>
      <c r="AJ21" s="54"/>
      <c r="AK21" s="54"/>
      <c r="AL21" s="54"/>
      <c r="AM21" s="54"/>
      <c r="AN21" s="54"/>
      <c r="AO21" s="54"/>
      <c r="AP21" s="54"/>
      <c r="AQ21" s="54"/>
      <c r="AR21" s="54"/>
      <c r="AS21" s="54"/>
      <c r="AT21" s="54"/>
      <c r="AU21" s="55" t="s">
        <v>263</v>
      </c>
      <c r="AV21" s="54" t="s">
        <v>264</v>
      </c>
      <c r="AW21" s="52" t="s">
        <v>211</v>
      </c>
      <c r="AX21" s="52" t="s">
        <v>132</v>
      </c>
      <c r="AY21" s="54"/>
      <c r="AZ21" s="54"/>
      <c r="BA21" s="54"/>
      <c r="BB21" s="50"/>
      <c r="BC21" s="58" t="s">
        <v>80</v>
      </c>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row>
    <row r="22" spans="1:180" s="59" customFormat="1" ht="25.5" customHeight="1">
      <c r="A22" s="51" t="s">
        <v>265</v>
      </c>
      <c r="B22" s="51" t="s">
        <v>266</v>
      </c>
      <c r="C22" s="52" t="s">
        <v>267</v>
      </c>
      <c r="D22" s="71" t="s">
        <v>268</v>
      </c>
      <c r="E22" s="54" t="s">
        <v>76</v>
      </c>
      <c r="F22" s="54" t="s">
        <v>64</v>
      </c>
      <c r="G22" s="54"/>
      <c r="H22" s="54"/>
      <c r="I22" s="54"/>
      <c r="J22" s="54"/>
      <c r="K22" s="54"/>
      <c r="L22" s="54" t="s">
        <v>269</v>
      </c>
      <c r="M22" s="54"/>
      <c r="N22" s="54"/>
      <c r="O22" s="54"/>
      <c r="P22" s="54"/>
      <c r="Q22" s="54"/>
      <c r="R22" s="54"/>
      <c r="S22" s="54"/>
      <c r="T22" s="53"/>
      <c r="U22" s="53" t="s">
        <v>270</v>
      </c>
      <c r="V22" s="52" t="s">
        <v>68</v>
      </c>
      <c r="W22" s="52" t="s">
        <v>271</v>
      </c>
      <c r="X22" s="52"/>
      <c r="Y22" s="54" t="str">
        <f>"[" &amp; _xlfn.TEXTJOIN(", ", TRUE,
    IF(G22&lt;&gt;"", """" &amp; G$1 &amp; """", ""),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T22 &amp; """", ""),
    IF(U22&lt;&gt;"", """" &amp; U22 &amp; """", ""),
    IF(V22&lt;&gt;"", """" &amp; V22 &amp; """", ""),
    IF(W22&lt;&gt;"", """" &amp; W22 &amp; """", ""),
    IF(X22&lt;&gt;"", """" &amp; X22 &amp; """", "")
) &amp; "]"</f>
        <v>["NCBI Virus", "VJDB Study", "Organizational", "Submission"]</v>
      </c>
      <c r="Z22" s="54" t="s">
        <v>6</v>
      </c>
      <c r="AA22" s="52"/>
      <c r="AB22" s="54"/>
      <c r="AC22" s="54" t="s">
        <v>269</v>
      </c>
      <c r="AD22" s="54" t="s">
        <v>272</v>
      </c>
      <c r="AE22" s="54"/>
      <c r="AF22" s="54" t="s">
        <v>273</v>
      </c>
      <c r="AG22" s="54"/>
      <c r="AH22" s="54"/>
      <c r="AI22" s="54"/>
      <c r="AJ22" s="54"/>
      <c r="AK22" s="54"/>
      <c r="AL22" s="54"/>
      <c r="AM22" s="54"/>
      <c r="AN22" s="54"/>
      <c r="AO22" s="54"/>
      <c r="AP22" s="54"/>
      <c r="AQ22" s="54"/>
      <c r="AR22" s="54"/>
      <c r="AS22" s="54"/>
      <c r="AT22" s="54" t="s">
        <v>101</v>
      </c>
      <c r="AU22" s="55" t="s">
        <v>274</v>
      </c>
      <c r="AV22" s="54" t="s">
        <v>210</v>
      </c>
      <c r="AW22" s="52" t="s">
        <v>76</v>
      </c>
      <c r="AX22" s="52" t="s">
        <v>132</v>
      </c>
      <c r="AY22" s="54"/>
      <c r="AZ22" s="54"/>
      <c r="BA22" s="54"/>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row>
    <row r="23" spans="1:180" s="59" customFormat="1" ht="25.5" customHeight="1">
      <c r="A23" s="51" t="s">
        <v>275</v>
      </c>
      <c r="B23" s="51" t="s">
        <v>276</v>
      </c>
      <c r="C23" s="52" t="s">
        <v>277</v>
      </c>
      <c r="D23" s="71" t="s">
        <v>278</v>
      </c>
      <c r="E23" s="54" t="s">
        <v>117</v>
      </c>
      <c r="F23" s="54" t="s">
        <v>64</v>
      </c>
      <c r="G23" s="54"/>
      <c r="H23" s="54" t="s">
        <v>279</v>
      </c>
      <c r="I23" s="54"/>
      <c r="J23" s="54"/>
      <c r="K23" s="54"/>
      <c r="L23" s="54" t="s">
        <v>280</v>
      </c>
      <c r="M23" s="54"/>
      <c r="N23" s="54"/>
      <c r="O23" s="54"/>
      <c r="P23" s="54"/>
      <c r="Q23" s="54"/>
      <c r="R23" s="54"/>
      <c r="S23" s="54"/>
      <c r="T23" s="53"/>
      <c r="U23" s="53"/>
      <c r="V23" s="52" t="s">
        <v>68</v>
      </c>
      <c r="W23" s="52" t="s">
        <v>156</v>
      </c>
      <c r="X23" s="52"/>
      <c r="Y23" s="54" t="str">
        <f>"[" &amp; _xlfn.TEXTJOIN(", ", TRUE,
    IF(G23&lt;&gt;"", """" &amp; G$1 &amp; """", ""),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T23 &amp; """", ""),
    IF(U23&lt;&gt;"", """" &amp; U23 &amp; """", ""),
    IF(V23&lt;&gt;"", """" &amp; V23 &amp; """", ""),
    IF(W23&lt;&gt;"", """" &amp; W23 &amp; """", ""),
    IF(X23&lt;&gt;"", """" &amp; X23 &amp; """", "")
) &amp; "]"</f>
        <v>["RKI", "NCBI Virus", "Organizational", "Sequence"]</v>
      </c>
      <c r="Z23" s="54" t="s">
        <v>6</v>
      </c>
      <c r="AA23" s="52"/>
      <c r="AB23" s="54" t="s">
        <v>281</v>
      </c>
      <c r="AC23" s="54" t="s">
        <v>277</v>
      </c>
      <c r="AD23" s="54" t="s">
        <v>282</v>
      </c>
      <c r="AE23" s="54"/>
      <c r="AF23" s="54"/>
      <c r="AG23" s="54"/>
      <c r="AH23" s="54"/>
      <c r="AI23" s="54"/>
      <c r="AJ23" s="54"/>
      <c r="AK23" s="54"/>
      <c r="AL23" s="54"/>
      <c r="AM23" s="54"/>
      <c r="AN23" s="54"/>
      <c r="AO23" s="54"/>
      <c r="AP23" s="54"/>
      <c r="AQ23" s="54"/>
      <c r="AR23" s="54"/>
      <c r="AS23" s="54"/>
      <c r="AT23" s="54"/>
      <c r="AU23" s="55" t="s">
        <v>283</v>
      </c>
      <c r="AV23" s="54" t="s">
        <v>284</v>
      </c>
      <c r="AW23" s="52" t="s">
        <v>117</v>
      </c>
      <c r="AX23" s="52" t="s">
        <v>132</v>
      </c>
      <c r="AY23" s="54"/>
      <c r="AZ23" s="54"/>
      <c r="BA23" s="54"/>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row>
    <row r="24" spans="1:180" s="59" customFormat="1" ht="25.5" customHeight="1">
      <c r="A24" s="51" t="s">
        <v>285</v>
      </c>
      <c r="B24" s="51" t="s">
        <v>286</v>
      </c>
      <c r="C24" s="52" t="s">
        <v>287</v>
      </c>
      <c r="D24" s="71" t="s">
        <v>288</v>
      </c>
      <c r="E24" s="54" t="s">
        <v>63</v>
      </c>
      <c r="F24" s="54" t="s">
        <v>64</v>
      </c>
      <c r="G24" s="54"/>
      <c r="H24" s="54"/>
      <c r="I24" s="54"/>
      <c r="J24" s="54"/>
      <c r="K24" s="54"/>
      <c r="L24" s="54" t="s">
        <v>289</v>
      </c>
      <c r="M24" s="54"/>
      <c r="N24" s="54"/>
      <c r="O24" s="54"/>
      <c r="P24" s="54"/>
      <c r="Q24" s="54"/>
      <c r="R24" s="54"/>
      <c r="S24" s="54"/>
      <c r="T24" s="53"/>
      <c r="U24" s="53"/>
      <c r="V24" s="52" t="s">
        <v>122</v>
      </c>
      <c r="W24" s="52" t="s">
        <v>156</v>
      </c>
      <c r="X24" s="52"/>
      <c r="Y24" s="54" t="str">
        <f>"[" &amp; _xlfn.TEXTJOIN(", ", TRUE,
    IF(G24&lt;&gt;"", """" &amp; G$1 &amp; """", ""),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T24 &amp; """", ""),
    IF(U24&lt;&gt;"", """" &amp; U24 &amp; """", ""),
    IF(V24&lt;&gt;"", """" &amp; V24 &amp; """", ""),
    IF(W24&lt;&gt;"", """" &amp; W24 &amp; """", ""),
    IF(X24&lt;&gt;"", """" &amp; X24 &amp; """", "")
) &amp; "]"</f>
        <v>["NCBI Virus", "Sample", "Sequence"]</v>
      </c>
      <c r="Z24" s="54" t="s">
        <v>6</v>
      </c>
      <c r="AA24" s="52"/>
      <c r="AB24" s="54"/>
      <c r="AC24" s="54" t="s">
        <v>289</v>
      </c>
      <c r="AD24" s="54" t="s">
        <v>290</v>
      </c>
      <c r="AE24" s="54"/>
      <c r="AF24" s="54"/>
      <c r="AG24" s="54"/>
      <c r="AH24" s="54"/>
      <c r="AI24" s="54"/>
      <c r="AJ24" s="54"/>
      <c r="AK24" s="54"/>
      <c r="AL24" s="54"/>
      <c r="AM24" s="54"/>
      <c r="AN24" s="54"/>
      <c r="AO24" s="54"/>
      <c r="AP24" s="54"/>
      <c r="AQ24" s="54"/>
      <c r="AR24" s="54"/>
      <c r="AS24" s="54"/>
      <c r="AT24" s="54"/>
      <c r="AU24" s="55" t="s">
        <v>291</v>
      </c>
      <c r="AV24" s="54" t="s">
        <v>210</v>
      </c>
      <c r="AW24" s="52" t="s">
        <v>76</v>
      </c>
      <c r="AX24" s="52" t="s">
        <v>132</v>
      </c>
      <c r="AY24" s="54"/>
      <c r="AZ24" s="54"/>
      <c r="BA24" s="54"/>
      <c r="BB24" s="58" t="s">
        <v>80</v>
      </c>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row>
    <row r="25" spans="1:180" s="59" customFormat="1" ht="25.5" customHeight="1">
      <c r="A25" s="51" t="s">
        <v>292</v>
      </c>
      <c r="B25" s="51" t="s">
        <v>293</v>
      </c>
      <c r="C25" s="52" t="s">
        <v>294</v>
      </c>
      <c r="D25" s="71" t="s">
        <v>295</v>
      </c>
      <c r="E25" s="54" t="s">
        <v>63</v>
      </c>
      <c r="F25" s="54" t="s">
        <v>64</v>
      </c>
      <c r="G25" s="54"/>
      <c r="H25" s="54"/>
      <c r="I25" s="54"/>
      <c r="J25" s="54"/>
      <c r="K25" s="54"/>
      <c r="L25" s="54" t="s">
        <v>296</v>
      </c>
      <c r="M25" s="54" t="s">
        <v>294</v>
      </c>
      <c r="N25" s="54"/>
      <c r="O25" s="54"/>
      <c r="P25" s="54"/>
      <c r="Q25" s="54"/>
      <c r="R25" s="54"/>
      <c r="S25" s="54"/>
      <c r="T25" s="53"/>
      <c r="U25" s="53"/>
      <c r="V25" s="52" t="s">
        <v>68</v>
      </c>
      <c r="W25" s="52" t="s">
        <v>69</v>
      </c>
      <c r="X25" s="52"/>
      <c r="Y25" s="54" t="str">
        <f>"[" &amp; _xlfn.TEXTJOIN(", ", TRUE,
    IF(G25&lt;&gt;"", """" &amp; G$1 &amp; """", ""),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T25 &amp; """", ""),
    IF(U25&lt;&gt;"", """" &amp; U25 &amp; """", ""),
    IF(V25&lt;&gt;"", """" &amp; V25 &amp; """", ""),
    IF(W25&lt;&gt;"", """" &amp; W25 &amp; """", ""),
    IF(X25&lt;&gt;"", """" &amp; X25 &amp; """", "")
) &amp; "]"</f>
        <v>["NCBI Virus", "BV-BRC", "Organizational", "Identifiers"]</v>
      </c>
      <c r="Z25" s="54" t="s">
        <v>70</v>
      </c>
      <c r="AA25" s="52" t="s">
        <v>71</v>
      </c>
      <c r="AB25" s="54"/>
      <c r="AC25" s="54" t="s">
        <v>297</v>
      </c>
      <c r="AD25" s="54" t="s">
        <v>298</v>
      </c>
      <c r="AE25" s="54"/>
      <c r="AF25" s="54"/>
      <c r="AG25" s="54" t="s">
        <v>73</v>
      </c>
      <c r="AH25" s="54"/>
      <c r="AI25" s="54" t="s">
        <v>293</v>
      </c>
      <c r="AJ25" s="54" t="s">
        <v>90</v>
      </c>
      <c r="AK25" s="54"/>
      <c r="AL25" s="54"/>
      <c r="AM25" s="54"/>
      <c r="AN25" s="54"/>
      <c r="AO25" s="54"/>
      <c r="AP25" s="54"/>
      <c r="AQ25" s="54"/>
      <c r="AR25" s="54"/>
      <c r="AS25" s="54"/>
      <c r="AT25" s="54"/>
      <c r="AU25" s="55"/>
      <c r="AV25" s="54"/>
      <c r="AW25" s="52" t="s">
        <v>76</v>
      </c>
      <c r="AX25" s="52" t="s">
        <v>132</v>
      </c>
      <c r="AY25" s="54"/>
      <c r="AZ25" s="54"/>
      <c r="BA25" s="54"/>
      <c r="BB25" s="50"/>
      <c r="BC25" s="58" t="s">
        <v>80</v>
      </c>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row>
    <row r="26" spans="1:180" s="59" customFormat="1" ht="25.5" customHeight="1">
      <c r="A26" s="51" t="s">
        <v>299</v>
      </c>
      <c r="B26" s="51" t="s">
        <v>300</v>
      </c>
      <c r="C26" s="52" t="s">
        <v>301</v>
      </c>
      <c r="D26" s="71" t="s">
        <v>302</v>
      </c>
      <c r="E26" s="54" t="s">
        <v>76</v>
      </c>
      <c r="F26" s="54" t="s">
        <v>64</v>
      </c>
      <c r="G26" s="54"/>
      <c r="H26" s="54"/>
      <c r="I26" s="54"/>
      <c r="J26" s="54"/>
      <c r="K26" s="54"/>
      <c r="L26" s="54" t="s">
        <v>303</v>
      </c>
      <c r="M26" s="54"/>
      <c r="N26" s="54"/>
      <c r="O26" s="54"/>
      <c r="P26" s="54"/>
      <c r="Q26" s="54"/>
      <c r="R26" s="54"/>
      <c r="S26" s="54"/>
      <c r="T26" s="53"/>
      <c r="U26" s="53" t="s">
        <v>270</v>
      </c>
      <c r="V26" s="52" t="s">
        <v>68</v>
      </c>
      <c r="W26" s="52" t="s">
        <v>271</v>
      </c>
      <c r="X26" s="52"/>
      <c r="Y26" s="54" t="str">
        <f>"[" &amp; _xlfn.TEXTJOIN(", ", TRUE,
    IF(G26&lt;&gt;"", """" &amp; G$1 &amp; """", ""),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T26 &amp; """", ""),
    IF(U26&lt;&gt;"", """" &amp; U26 &amp; """", ""),
    IF(V26&lt;&gt;"", """" &amp; V26 &amp; """", ""),
    IF(W26&lt;&gt;"", """" &amp; W26 &amp; """", ""),
    IF(X26&lt;&gt;"", """" &amp; X26 &amp; """", "")
) &amp; "]"</f>
        <v>["NCBI Virus", "VJDB Study", "Organizational", "Submission"]</v>
      </c>
      <c r="Z26" s="54" t="s">
        <v>6</v>
      </c>
      <c r="AA26" s="52"/>
      <c r="AB26" s="54"/>
      <c r="AC26" s="54" t="s">
        <v>303</v>
      </c>
      <c r="AD26" s="54" t="s">
        <v>304</v>
      </c>
      <c r="AE26" s="54"/>
      <c r="AF26" s="54"/>
      <c r="AG26" s="54"/>
      <c r="AH26" s="54"/>
      <c r="AI26" s="54"/>
      <c r="AJ26" s="54"/>
      <c r="AK26" s="54"/>
      <c r="AL26" s="54"/>
      <c r="AM26" s="54"/>
      <c r="AN26" s="54"/>
      <c r="AO26" s="54"/>
      <c r="AP26" s="54"/>
      <c r="AQ26" s="54"/>
      <c r="AR26" s="54"/>
      <c r="AS26" s="54"/>
      <c r="AT26" s="54" t="s">
        <v>101</v>
      </c>
      <c r="AU26" s="55" t="s">
        <v>305</v>
      </c>
      <c r="AV26" s="54" t="s">
        <v>210</v>
      </c>
      <c r="AW26" s="52" t="s">
        <v>76</v>
      </c>
      <c r="AX26" s="52" t="s">
        <v>132</v>
      </c>
      <c r="AY26" s="54"/>
      <c r="AZ26" s="54"/>
      <c r="BA26" s="54"/>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row>
    <row r="27" spans="1:180" s="59" customFormat="1" ht="25.5" customHeight="1">
      <c r="A27" s="51" t="s">
        <v>306</v>
      </c>
      <c r="B27" s="51" t="s">
        <v>307</v>
      </c>
      <c r="C27" s="52" t="s">
        <v>308</v>
      </c>
      <c r="D27" s="71" t="s">
        <v>309</v>
      </c>
      <c r="E27" s="54" t="s">
        <v>76</v>
      </c>
      <c r="F27" s="54" t="s">
        <v>64</v>
      </c>
      <c r="G27" s="54" t="s">
        <v>310</v>
      </c>
      <c r="H27" s="54" t="s">
        <v>311</v>
      </c>
      <c r="I27" s="54" t="s">
        <v>312</v>
      </c>
      <c r="J27" s="54"/>
      <c r="K27" s="54"/>
      <c r="L27" s="54" t="s">
        <v>313</v>
      </c>
      <c r="M27" s="54"/>
      <c r="N27" s="54" t="s">
        <v>310</v>
      </c>
      <c r="O27" s="54" t="s">
        <v>310</v>
      </c>
      <c r="P27" s="54"/>
      <c r="Q27" s="54"/>
      <c r="R27" s="54"/>
      <c r="S27" s="54"/>
      <c r="T27" s="53" t="s">
        <v>110</v>
      </c>
      <c r="U27" s="53" t="s">
        <v>111</v>
      </c>
      <c r="V27" s="52" t="s">
        <v>122</v>
      </c>
      <c r="W27" s="52" t="s">
        <v>123</v>
      </c>
      <c r="X27" s="52"/>
      <c r="Y27" s="54" t="str">
        <f>"[" &amp; _xlfn.TEXTJOIN(", ", TRUE,
    IF(G27&lt;&gt;"", """" &amp; G$1 &amp; """", ""),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T27 &amp; """", ""),
    IF(U27&lt;&gt;"", """" &amp; U27 &amp; """", ""),
    IF(V27&lt;&gt;"", """" &amp; V27 &amp; """", ""),
    IF(W27&lt;&gt;"", """" &amp; W27 &amp; """", ""),
    IF(X27&lt;&gt;"", """" &amp; X27 &amp; """", "")
) &amp; "]"</f>
        <v>["ENA", "RKI", "MIGS-VI", "NCBI Virus", "ENA ERC32", "ENA ERC33", "ENA Sample", "VJDB Sample", "Sample", "Collection"]</v>
      </c>
      <c r="Z27" s="54" t="s">
        <v>6</v>
      </c>
      <c r="AA27" s="52" t="s">
        <v>314</v>
      </c>
      <c r="AB27" s="54" t="s">
        <v>315</v>
      </c>
      <c r="AC27" s="54" t="s">
        <v>316</v>
      </c>
      <c r="AD27" s="54" t="s">
        <v>317</v>
      </c>
      <c r="AE27" s="54"/>
      <c r="AF27" s="54" t="s">
        <v>318</v>
      </c>
      <c r="AG27" s="54"/>
      <c r="AH27" s="54"/>
      <c r="AI27" s="54"/>
      <c r="AJ27" s="54"/>
      <c r="AK27" s="54"/>
      <c r="AL27" s="54"/>
      <c r="AM27" s="54" t="s">
        <v>319</v>
      </c>
      <c r="AN27" s="54"/>
      <c r="AO27" s="54"/>
      <c r="AP27" s="54" t="s">
        <v>319</v>
      </c>
      <c r="AQ27" s="54"/>
      <c r="AR27" s="54" t="s">
        <v>129</v>
      </c>
      <c r="AS27" s="54" t="s">
        <v>186</v>
      </c>
      <c r="AT27" s="54" t="s">
        <v>186</v>
      </c>
      <c r="AU27" s="54" t="s">
        <v>320</v>
      </c>
      <c r="AV27" s="54" t="s">
        <v>210</v>
      </c>
      <c r="AW27" s="52" t="s">
        <v>148</v>
      </c>
      <c r="AX27" s="52" t="s">
        <v>149</v>
      </c>
      <c r="AY27" s="54"/>
      <c r="AZ27" s="54"/>
      <c r="BA27" s="54"/>
      <c r="BB27" s="58" t="s">
        <v>80</v>
      </c>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row>
    <row r="28" spans="1:180" s="59" customFormat="1" ht="25.5" customHeight="1">
      <c r="A28" s="51" t="s">
        <v>321</v>
      </c>
      <c r="B28" s="51" t="s">
        <v>322</v>
      </c>
      <c r="C28" s="52" t="s">
        <v>323</v>
      </c>
      <c r="D28" s="71" t="s">
        <v>324</v>
      </c>
      <c r="E28" s="54" t="s">
        <v>63</v>
      </c>
      <c r="F28" s="54" t="s">
        <v>154</v>
      </c>
      <c r="G28" s="54"/>
      <c r="H28" s="54"/>
      <c r="I28" s="54"/>
      <c r="J28" s="54"/>
      <c r="K28" s="54"/>
      <c r="L28" s="54" t="s">
        <v>325</v>
      </c>
      <c r="M28" s="54"/>
      <c r="N28" s="54"/>
      <c r="O28" s="54"/>
      <c r="P28" s="54"/>
      <c r="Q28" s="54"/>
      <c r="R28" s="54"/>
      <c r="S28" s="54"/>
      <c r="T28" s="53"/>
      <c r="U28" s="53"/>
      <c r="V28" s="52" t="s">
        <v>122</v>
      </c>
      <c r="W28" s="52" t="s">
        <v>123</v>
      </c>
      <c r="X28" s="52"/>
      <c r="Y28" s="54" t="str">
        <f>"[" &amp; _xlfn.TEXTJOIN(", ", TRUE,
    IF(G28&lt;&gt;"", """" &amp; G$1 &amp; """", ""),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T28 &amp; """", ""),
    IF(U28&lt;&gt;"", """" &amp; U28 &amp; """", ""),
    IF(V28&lt;&gt;"", """" &amp; V28 &amp; """", ""),
    IF(W28&lt;&gt;"", """" &amp; W28 &amp; """", ""),
    IF(X28&lt;&gt;"", """" &amp; X28 &amp; """", "")
) &amp; "]"</f>
        <v>["NCBI Virus", "Sample", "Collection"]</v>
      </c>
      <c r="Z28" s="54" t="s">
        <v>6</v>
      </c>
      <c r="AA28" s="52" t="s">
        <v>326</v>
      </c>
      <c r="AB28" s="54" t="s">
        <v>327</v>
      </c>
      <c r="AC28" s="54" t="s">
        <v>325</v>
      </c>
      <c r="AD28" s="54" t="s">
        <v>328</v>
      </c>
      <c r="AE28" s="54"/>
      <c r="AF28" s="54" t="s">
        <v>329</v>
      </c>
      <c r="AG28" s="54"/>
      <c r="AH28" s="54"/>
      <c r="AI28" s="54"/>
      <c r="AJ28" s="54"/>
      <c r="AK28" s="54"/>
      <c r="AL28" s="54"/>
      <c r="AM28" s="54"/>
      <c r="AN28" s="54"/>
      <c r="AO28" s="54"/>
      <c r="AP28" s="54"/>
      <c r="AQ28" s="54"/>
      <c r="AR28" s="54"/>
      <c r="AS28" s="54"/>
      <c r="AT28" s="54"/>
      <c r="AU28" s="55" t="s">
        <v>330</v>
      </c>
      <c r="AV28" s="54" t="s">
        <v>331</v>
      </c>
      <c r="AW28" s="52" t="s">
        <v>148</v>
      </c>
      <c r="AX28" s="52" t="s">
        <v>149</v>
      </c>
      <c r="AY28" s="54"/>
      <c r="AZ28" s="54"/>
      <c r="BA28" s="54"/>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row>
    <row r="29" spans="1:180" s="59" customFormat="1" ht="25.5" customHeight="1">
      <c r="A29" s="51" t="s">
        <v>332</v>
      </c>
      <c r="B29" s="51" t="s">
        <v>333</v>
      </c>
      <c r="C29" s="52" t="s">
        <v>334</v>
      </c>
      <c r="D29" s="71" t="s">
        <v>335</v>
      </c>
      <c r="E29" s="54" t="s">
        <v>63</v>
      </c>
      <c r="F29" s="54" t="s">
        <v>154</v>
      </c>
      <c r="G29" s="54" t="s">
        <v>336</v>
      </c>
      <c r="H29" s="54"/>
      <c r="I29" s="54"/>
      <c r="J29" s="54"/>
      <c r="K29" s="54"/>
      <c r="L29" s="54"/>
      <c r="M29" s="54"/>
      <c r="N29" s="54"/>
      <c r="O29" s="54"/>
      <c r="P29" s="54"/>
      <c r="Q29" s="54"/>
      <c r="R29" s="54"/>
      <c r="S29" s="54"/>
      <c r="T29" s="53" t="s">
        <v>87</v>
      </c>
      <c r="U29" s="53" t="s">
        <v>88</v>
      </c>
      <c r="V29" s="52" t="s">
        <v>68</v>
      </c>
      <c r="W29" s="52" t="s">
        <v>69</v>
      </c>
      <c r="X29" s="52"/>
      <c r="Y29" s="54" t="str">
        <f>"[" &amp; _xlfn.TEXTJOIN(", ", TRUE,
    IF(G29&lt;&gt;"", """" &amp; G$1 &amp; """", ""),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T29 &amp; """", ""),
    IF(U29&lt;&gt;"", """" &amp; U29 &amp; """", ""),
    IF(V29&lt;&gt;"", """" &amp; V29 &amp; """", ""),
    IF(W29&lt;&gt;"", """" &amp; W29 &amp; """", ""),
    IF(X29&lt;&gt;"", """" &amp; X29 &amp; """", "")
) &amp; "]"</f>
        <v>["ENA", "ENA Analysis", "VJDB Analysis", "Organizational", "Identifiers"]</v>
      </c>
      <c r="Z29" s="54"/>
      <c r="AA29" s="52" t="s">
        <v>71</v>
      </c>
      <c r="AB29" s="54" t="s">
        <v>337</v>
      </c>
      <c r="AC29" s="54"/>
      <c r="AD29" s="54"/>
      <c r="AE29" s="54"/>
      <c r="AF29" s="54"/>
      <c r="AG29" s="54"/>
      <c r="AH29" s="54"/>
      <c r="AI29" s="54"/>
      <c r="AJ29" s="54"/>
      <c r="AK29" s="54"/>
      <c r="AL29" s="54"/>
      <c r="AM29" s="54"/>
      <c r="AN29" s="54"/>
      <c r="AO29" s="54"/>
      <c r="AP29" s="54"/>
      <c r="AQ29" s="54"/>
      <c r="AR29" s="54"/>
      <c r="AS29" s="54"/>
      <c r="AT29" s="54"/>
      <c r="AU29" s="55"/>
      <c r="AV29" s="54"/>
      <c r="AW29" s="52" t="s">
        <v>76</v>
      </c>
      <c r="AX29" s="52" t="s">
        <v>77</v>
      </c>
      <c r="AY29" s="54"/>
      <c r="AZ29" s="54"/>
      <c r="BA29" s="54"/>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row>
    <row r="30" spans="1:180" s="59" customFormat="1" ht="25.5" customHeight="1">
      <c r="A30" s="51" t="s">
        <v>338</v>
      </c>
      <c r="B30" s="51" t="s">
        <v>339</v>
      </c>
      <c r="C30" s="52" t="s">
        <v>340</v>
      </c>
      <c r="D30" s="71" t="s">
        <v>341</v>
      </c>
      <c r="E30" s="54" t="s">
        <v>63</v>
      </c>
      <c r="F30" s="54" t="s">
        <v>342</v>
      </c>
      <c r="G30" s="54" t="s">
        <v>343</v>
      </c>
      <c r="H30" s="54"/>
      <c r="I30" s="54"/>
      <c r="J30" s="54"/>
      <c r="K30" s="54"/>
      <c r="L30" s="54"/>
      <c r="M30" s="54"/>
      <c r="N30" s="54"/>
      <c r="O30" s="54"/>
      <c r="P30" s="54"/>
      <c r="Q30" s="54"/>
      <c r="R30" s="54"/>
      <c r="S30" s="54"/>
      <c r="T30" s="53" t="s">
        <v>87</v>
      </c>
      <c r="U30" s="53" t="s">
        <v>88</v>
      </c>
      <c r="V30" s="52" t="s">
        <v>344</v>
      </c>
      <c r="W30" s="52"/>
      <c r="X30" s="52" t="s">
        <v>219</v>
      </c>
      <c r="Y30" s="54" t="str">
        <f>"[" &amp; _xlfn.TEXTJOIN(", ", TRUE,
    IF(G30&lt;&gt;"", """" &amp; G$1 &amp; """", ""),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T30 &amp; """", ""),
    IF(U30&lt;&gt;"", """" &amp; U30 &amp; """", ""),
    IF(V30&lt;&gt;"", """" &amp; V30 &amp; """", ""),
    IF(W30&lt;&gt;"", """" &amp; W30 &amp; """", ""),
    IF(X30&lt;&gt;"", """" &amp; X30 &amp; """", "")
) &amp; "]"</f>
        <v>["ENA", "ENA Analysis", "VJDB Analysis", "Internal", "Workflows"]</v>
      </c>
      <c r="Z30" s="54"/>
      <c r="AA30" s="52" t="s">
        <v>345</v>
      </c>
      <c r="AB30" s="54" t="s">
        <v>337</v>
      </c>
      <c r="AC30" s="54"/>
      <c r="AD30" s="54"/>
      <c r="AE30" s="54"/>
      <c r="AF30" s="54"/>
      <c r="AG30" s="54"/>
      <c r="AH30" s="54"/>
      <c r="AI30" s="54"/>
      <c r="AJ30" s="54"/>
      <c r="AK30" s="54"/>
      <c r="AL30" s="54"/>
      <c r="AM30" s="54"/>
      <c r="AN30" s="54"/>
      <c r="AO30" s="54"/>
      <c r="AP30" s="54"/>
      <c r="AQ30" s="54"/>
      <c r="AR30" s="54"/>
      <c r="AS30" s="54" t="s">
        <v>101</v>
      </c>
      <c r="AT30" s="54" t="s">
        <v>101</v>
      </c>
      <c r="AU30" s="55"/>
      <c r="AV30" s="54"/>
      <c r="AW30" s="52" t="s">
        <v>148</v>
      </c>
      <c r="AX30" s="52" t="s">
        <v>149</v>
      </c>
      <c r="AY30" s="54"/>
      <c r="AZ30" s="54"/>
      <c r="BA30" s="54"/>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row>
    <row r="31" spans="1:180" s="59" customFormat="1" ht="25.5" customHeight="1">
      <c r="A31" s="51" t="s">
        <v>346</v>
      </c>
      <c r="B31" s="51" t="s">
        <v>347</v>
      </c>
      <c r="C31" s="52" t="s">
        <v>348</v>
      </c>
      <c r="D31" s="71" t="s">
        <v>349</v>
      </c>
      <c r="E31" s="54" t="s">
        <v>216</v>
      </c>
      <c r="F31" s="54" t="s">
        <v>342</v>
      </c>
      <c r="G31" s="54" t="s">
        <v>350</v>
      </c>
      <c r="H31" s="54"/>
      <c r="I31" s="54"/>
      <c r="J31" s="54"/>
      <c r="K31" s="54"/>
      <c r="L31" s="54"/>
      <c r="M31" s="54"/>
      <c r="N31" s="54"/>
      <c r="O31" s="54"/>
      <c r="P31" s="54"/>
      <c r="Q31" s="54"/>
      <c r="R31" s="54"/>
      <c r="S31" s="54"/>
      <c r="T31" s="53" t="s">
        <v>87</v>
      </c>
      <c r="U31" s="53" t="s">
        <v>88</v>
      </c>
      <c r="V31" s="52" t="s">
        <v>344</v>
      </c>
      <c r="W31" s="52"/>
      <c r="X31" s="52" t="s">
        <v>219</v>
      </c>
      <c r="Y31" s="54" t="str">
        <f>"[" &amp; _xlfn.TEXTJOIN(", ", TRUE,
    IF(G31&lt;&gt;"", """" &amp; G$1 &amp; """", ""),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T31 &amp; """", ""),
    IF(U31&lt;&gt;"", """" &amp; U31 &amp; """", ""),
    IF(V31&lt;&gt;"", """" &amp; V31 &amp; """", ""),
    IF(W31&lt;&gt;"", """" &amp; W31 &amp; """", ""),
    IF(X31&lt;&gt;"", """" &amp; X31 &amp; """", "")
) &amp; "]"</f>
        <v>["ENA", "ENA Analysis", "VJDB Analysis", "Internal", "Workflows"]</v>
      </c>
      <c r="Z31" s="54"/>
      <c r="AA31" s="52" t="s">
        <v>351</v>
      </c>
      <c r="AB31" s="54" t="s">
        <v>337</v>
      </c>
      <c r="AC31" s="54"/>
      <c r="AD31" s="54"/>
      <c r="AE31" s="54"/>
      <c r="AF31" s="54"/>
      <c r="AG31" s="54"/>
      <c r="AH31" s="54"/>
      <c r="AI31" s="54"/>
      <c r="AJ31" s="54"/>
      <c r="AK31" s="54"/>
      <c r="AL31" s="54"/>
      <c r="AM31" s="54"/>
      <c r="AN31" s="54"/>
      <c r="AO31" s="54"/>
      <c r="AP31" s="54"/>
      <c r="AQ31" s="54"/>
      <c r="AR31" s="54"/>
      <c r="AS31" s="54" t="s">
        <v>236</v>
      </c>
      <c r="AT31" s="54" t="s">
        <v>236</v>
      </c>
      <c r="AU31" s="55"/>
      <c r="AV31" s="54"/>
      <c r="AW31" s="52" t="s">
        <v>76</v>
      </c>
      <c r="AX31" s="52" t="s">
        <v>132</v>
      </c>
      <c r="AY31" s="54"/>
      <c r="AZ31" s="54"/>
      <c r="BA31" s="54"/>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row>
    <row r="32" spans="1:180" s="59" customFormat="1" ht="25.5" customHeight="1">
      <c r="A32" s="51" t="s">
        <v>352</v>
      </c>
      <c r="B32" s="51" t="s">
        <v>353</v>
      </c>
      <c r="C32" s="52" t="s">
        <v>354</v>
      </c>
      <c r="D32" s="71" t="s">
        <v>355</v>
      </c>
      <c r="E32" s="54" t="s">
        <v>63</v>
      </c>
      <c r="F32" s="54" t="s">
        <v>342</v>
      </c>
      <c r="G32" s="54" t="s">
        <v>356</v>
      </c>
      <c r="H32" s="54"/>
      <c r="I32" s="54" t="s">
        <v>357</v>
      </c>
      <c r="J32" s="54"/>
      <c r="K32" s="54"/>
      <c r="L32" s="54"/>
      <c r="M32" s="54" t="s">
        <v>358</v>
      </c>
      <c r="N32" s="54"/>
      <c r="O32" s="54"/>
      <c r="P32" s="54"/>
      <c r="Q32" s="54"/>
      <c r="R32" s="54"/>
      <c r="S32" s="54"/>
      <c r="T32" s="53" t="s">
        <v>87</v>
      </c>
      <c r="U32" s="53" t="s">
        <v>88</v>
      </c>
      <c r="V32" s="52" t="s">
        <v>344</v>
      </c>
      <c r="W32" s="52"/>
      <c r="X32" s="52" t="s">
        <v>219</v>
      </c>
      <c r="Y32" s="54" t="str">
        <f>"[" &amp; _xlfn.TEXTJOIN(", ", TRUE,
    IF(G32&lt;&gt;"", """" &amp; G$1 &amp; """", ""),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T32 &amp; """", ""),
    IF(U32&lt;&gt;"", """" &amp; U32 &amp; """", ""),
    IF(V32&lt;&gt;"", """" &amp; V32 &amp; """", ""),
    IF(W32&lt;&gt;"", """" &amp; W32 &amp; """", ""),
    IF(X32&lt;&gt;"", """" &amp; X32 &amp; """", "")
) &amp; "]"</f>
        <v>["ENA", "MIGS-VI", "BV-BRC", "ENA Analysis", "VJDB Analysis", "Internal", "Workflows"]</v>
      </c>
      <c r="Z32" s="54" t="s">
        <v>359</v>
      </c>
      <c r="AA32" s="52"/>
      <c r="AB32" s="54" t="s">
        <v>337</v>
      </c>
      <c r="AC32" s="54"/>
      <c r="AD32" s="54"/>
      <c r="AE32" s="54"/>
      <c r="AF32" s="54"/>
      <c r="AG32" s="54" t="s">
        <v>360</v>
      </c>
      <c r="AH32" s="54"/>
      <c r="AI32" s="54" t="s">
        <v>361</v>
      </c>
      <c r="AJ32" s="54" t="s">
        <v>75</v>
      </c>
      <c r="AK32" s="54"/>
      <c r="AL32" s="54" t="s">
        <v>362</v>
      </c>
      <c r="AM32" s="54"/>
      <c r="AN32" s="54"/>
      <c r="AO32" s="54"/>
      <c r="AP32" s="54"/>
      <c r="AQ32" s="54"/>
      <c r="AR32" s="54"/>
      <c r="AS32" s="54" t="s">
        <v>101</v>
      </c>
      <c r="AT32" s="54" t="s">
        <v>101</v>
      </c>
      <c r="AU32" s="55"/>
      <c r="AV32" s="54" t="s">
        <v>210</v>
      </c>
      <c r="AW32" s="52" t="s">
        <v>76</v>
      </c>
      <c r="AX32" s="52" t="s">
        <v>132</v>
      </c>
      <c r="AY32" s="54"/>
      <c r="AZ32" s="54"/>
      <c r="BA32" s="54"/>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row>
    <row r="33" spans="1:180" s="59" customFormat="1" ht="25.5" customHeight="1">
      <c r="A33" s="51" t="s">
        <v>363</v>
      </c>
      <c r="B33" s="51" t="s">
        <v>364</v>
      </c>
      <c r="C33" s="52" t="s">
        <v>365</v>
      </c>
      <c r="D33" s="71" t="s">
        <v>366</v>
      </c>
      <c r="E33" s="54" t="s">
        <v>63</v>
      </c>
      <c r="F33" s="54" t="s">
        <v>342</v>
      </c>
      <c r="G33" s="54" t="s">
        <v>364</v>
      </c>
      <c r="H33" s="54"/>
      <c r="I33" s="54"/>
      <c r="J33" s="54"/>
      <c r="K33" s="54"/>
      <c r="L33" s="54"/>
      <c r="M33" s="54"/>
      <c r="N33" s="54"/>
      <c r="O33" s="54"/>
      <c r="P33" s="54"/>
      <c r="Q33" s="54"/>
      <c r="R33" s="54"/>
      <c r="S33" s="54"/>
      <c r="T33" s="53" t="s">
        <v>87</v>
      </c>
      <c r="U33" s="53" t="s">
        <v>88</v>
      </c>
      <c r="V33" s="52" t="s">
        <v>344</v>
      </c>
      <c r="W33" s="52"/>
      <c r="X33" s="52" t="s">
        <v>219</v>
      </c>
      <c r="Y33" s="54" t="str">
        <f>"[" &amp; _xlfn.TEXTJOIN(", ", TRUE,
    IF(G33&lt;&gt;"", """" &amp; G$1 &amp; """", ""),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T33 &amp; """", ""),
    IF(U33&lt;&gt;"", """" &amp; U33 &amp; """", ""),
    IF(V33&lt;&gt;"", """" &amp; V33 &amp; """", ""),
    IF(W33&lt;&gt;"", """" &amp; W33 &amp; """", ""),
    IF(X33&lt;&gt;"", """" &amp; X33 &amp; """", "")
) &amp; "]"</f>
        <v>["ENA", "ENA Analysis", "VJDB Analysis", "Internal", "Workflows"]</v>
      </c>
      <c r="Z33" s="54"/>
      <c r="AA33" s="52" t="s">
        <v>367</v>
      </c>
      <c r="AB33" s="54" t="s">
        <v>337</v>
      </c>
      <c r="AC33" s="54"/>
      <c r="AD33" s="54"/>
      <c r="AE33" s="54"/>
      <c r="AF33" s="54"/>
      <c r="AG33" s="54"/>
      <c r="AH33" s="54"/>
      <c r="AI33" s="54"/>
      <c r="AJ33" s="54"/>
      <c r="AK33" s="54"/>
      <c r="AL33" s="54"/>
      <c r="AM33" s="54"/>
      <c r="AN33" s="54"/>
      <c r="AO33" s="54"/>
      <c r="AP33" s="54"/>
      <c r="AQ33" s="54"/>
      <c r="AR33" s="54"/>
      <c r="AS33" s="54" t="s">
        <v>101</v>
      </c>
      <c r="AT33" s="54" t="s">
        <v>101</v>
      </c>
      <c r="AU33" s="55" t="s">
        <v>368</v>
      </c>
      <c r="AV33" s="54" t="s">
        <v>369</v>
      </c>
      <c r="AW33" s="52" t="s">
        <v>148</v>
      </c>
      <c r="AX33" s="52" t="s">
        <v>149</v>
      </c>
      <c r="AY33" s="54"/>
      <c r="AZ33" s="54"/>
      <c r="BA33" s="54"/>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row>
    <row r="34" spans="1:180" s="59" customFormat="1" ht="25.5" customHeight="1">
      <c r="A34" s="51" t="s">
        <v>370</v>
      </c>
      <c r="B34" s="51" t="s">
        <v>371</v>
      </c>
      <c r="C34" s="52" t="s">
        <v>372</v>
      </c>
      <c r="D34" s="71" t="s">
        <v>373</v>
      </c>
      <c r="E34" s="54" t="s">
        <v>63</v>
      </c>
      <c r="F34" s="54" t="s">
        <v>64</v>
      </c>
      <c r="G34" s="54"/>
      <c r="H34" s="54"/>
      <c r="I34" s="54"/>
      <c r="J34" s="54"/>
      <c r="K34" s="54"/>
      <c r="L34" s="54"/>
      <c r="M34" s="54" t="s">
        <v>374</v>
      </c>
      <c r="N34" s="54"/>
      <c r="O34" s="54"/>
      <c r="P34" s="54"/>
      <c r="Q34" s="54"/>
      <c r="R34" s="54"/>
      <c r="S34" s="54"/>
      <c r="T34" s="53"/>
      <c r="U34" s="53"/>
      <c r="V34" s="52" t="s">
        <v>68</v>
      </c>
      <c r="W34" s="52" t="s">
        <v>69</v>
      </c>
      <c r="X34" s="52"/>
      <c r="Y34" s="54" t="str">
        <f>"[" &amp; _xlfn.TEXTJOIN(", ", TRUE,
    IF(G34&lt;&gt;"", """" &amp; G$1 &amp; """", ""),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T34 &amp; """", ""),
    IF(U34&lt;&gt;"", """" &amp; U34 &amp; """", ""),
    IF(V34&lt;&gt;"", """" &amp; V34 &amp; """", ""),
    IF(W34&lt;&gt;"", """" &amp; W34 &amp; """", ""),
    IF(X34&lt;&gt;"", """" &amp; X34 &amp; """", "")
) &amp; "]"</f>
        <v>["BV-BRC", "Organizational", "Identifiers"]</v>
      </c>
      <c r="Z34" s="54" t="s">
        <v>359</v>
      </c>
      <c r="AA34" s="52" t="s">
        <v>71</v>
      </c>
      <c r="AB34" s="54" t="s">
        <v>375</v>
      </c>
      <c r="AC34" s="54"/>
      <c r="AD34" s="54"/>
      <c r="AE34" s="54"/>
      <c r="AF34" s="54"/>
      <c r="AG34" s="54" t="s">
        <v>376</v>
      </c>
      <c r="AH34" s="54"/>
      <c r="AI34" s="54" t="s">
        <v>377</v>
      </c>
      <c r="AJ34" s="54" t="s">
        <v>90</v>
      </c>
      <c r="AK34" s="54"/>
      <c r="AL34" s="54"/>
      <c r="AM34" s="54"/>
      <c r="AN34" s="54"/>
      <c r="AO34" s="54"/>
      <c r="AP34" s="54"/>
      <c r="AQ34" s="54"/>
      <c r="AR34" s="54"/>
      <c r="AS34" s="54"/>
      <c r="AT34" s="54"/>
      <c r="AU34" s="55"/>
      <c r="AV34" s="54"/>
      <c r="AW34" s="52" t="s">
        <v>76</v>
      </c>
      <c r="AX34" s="52" t="s">
        <v>77</v>
      </c>
      <c r="AY34" s="54"/>
      <c r="AZ34" s="54"/>
      <c r="BA34" s="54"/>
      <c r="BB34" s="50"/>
      <c r="BC34" s="58" t="s">
        <v>80</v>
      </c>
    </row>
    <row r="35" spans="1:180" s="59" customFormat="1" ht="25.5" customHeight="1">
      <c r="A35" s="51" t="s">
        <v>378</v>
      </c>
      <c r="B35" s="51" t="s">
        <v>379</v>
      </c>
      <c r="C35" s="52" t="s">
        <v>380</v>
      </c>
      <c r="D35" s="71" t="s">
        <v>381</v>
      </c>
      <c r="E35" s="54" t="s">
        <v>76</v>
      </c>
      <c r="F35" s="54" t="s">
        <v>154</v>
      </c>
      <c r="G35" s="54" t="s">
        <v>382</v>
      </c>
      <c r="H35" s="54"/>
      <c r="I35" s="54"/>
      <c r="J35" s="54"/>
      <c r="K35" s="54"/>
      <c r="L35" s="54"/>
      <c r="M35" s="54"/>
      <c r="N35" s="54" t="s">
        <v>382</v>
      </c>
      <c r="O35" s="54" t="s">
        <v>382</v>
      </c>
      <c r="P35" s="54"/>
      <c r="Q35" s="54"/>
      <c r="R35" s="54"/>
      <c r="S35" s="54"/>
      <c r="T35" s="53" t="s">
        <v>110</v>
      </c>
      <c r="U35" s="53" t="s">
        <v>111</v>
      </c>
      <c r="V35" s="52" t="s">
        <v>122</v>
      </c>
      <c r="W35" s="52" t="s">
        <v>123</v>
      </c>
      <c r="X35" s="52"/>
      <c r="Y35" s="54" t="str">
        <f>"[" &amp; _xlfn.TEXTJOIN(", ", TRUE,
    IF(G35&lt;&gt;"", """" &amp; G$1 &amp; """", ""),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T35 &amp; """", ""),
    IF(U35&lt;&gt;"", """" &amp; U35 &amp; """", ""),
    IF(V35&lt;&gt;"", """" &amp; V35 &amp; """", ""),
    IF(W35&lt;&gt;"", """" &amp; W35 &amp; """", ""),
    IF(X35&lt;&gt;"", """" &amp; X35 &amp; """", "")
) &amp; "]"</f>
        <v>["ENA", "ENA ERC32", "ENA ERC33", "ENA Sample", "VJDB Sample", "Sample", "Collection"]</v>
      </c>
      <c r="Z35" s="54"/>
      <c r="AA35" s="52" t="s">
        <v>383</v>
      </c>
      <c r="AB35" s="54" t="s">
        <v>337</v>
      </c>
      <c r="AC35" s="54"/>
      <c r="AD35" s="54"/>
      <c r="AE35" s="54"/>
      <c r="AF35" s="54"/>
      <c r="AG35" s="54"/>
      <c r="AH35" s="54"/>
      <c r="AI35" s="54"/>
      <c r="AJ35" s="54"/>
      <c r="AK35" s="54"/>
      <c r="AL35" s="54"/>
      <c r="AM35" s="54" t="s">
        <v>384</v>
      </c>
      <c r="AN35" s="54"/>
      <c r="AO35" s="54"/>
      <c r="AP35" s="54" t="s">
        <v>384</v>
      </c>
      <c r="AQ35" s="54"/>
      <c r="AR35" s="54" t="s">
        <v>385</v>
      </c>
      <c r="AS35" s="54" t="s">
        <v>101</v>
      </c>
      <c r="AT35" s="54" t="s">
        <v>101</v>
      </c>
      <c r="AU35" s="55"/>
      <c r="AV35" s="54" t="s">
        <v>210</v>
      </c>
      <c r="AW35" s="52" t="s">
        <v>76</v>
      </c>
      <c r="AX35" s="52" t="s">
        <v>132</v>
      </c>
      <c r="AY35" s="54"/>
      <c r="AZ35" s="54"/>
      <c r="BA35" s="54"/>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c r="CO35" s="50"/>
      <c r="CP35" s="50"/>
      <c r="CQ35" s="50"/>
      <c r="CR35" s="50"/>
      <c r="CS35" s="50"/>
      <c r="CT35" s="50"/>
      <c r="CU35" s="50"/>
      <c r="CV35" s="50"/>
      <c r="CW35" s="50"/>
      <c r="CX35" s="50"/>
      <c r="CY35" s="50"/>
      <c r="CZ35" s="50"/>
      <c r="DA35" s="50"/>
      <c r="DB35" s="50"/>
      <c r="DC35" s="50"/>
      <c r="DD35" s="50"/>
      <c r="DE35" s="50"/>
      <c r="DF35" s="50"/>
      <c r="DG35" s="50"/>
      <c r="DH35" s="50"/>
      <c r="DI35" s="50"/>
      <c r="DJ35" s="50"/>
      <c r="DK35" s="50"/>
      <c r="DL35" s="50"/>
      <c r="DM35" s="50"/>
      <c r="DN35" s="50"/>
      <c r="DO35" s="50"/>
      <c r="DP35" s="50"/>
      <c r="DQ35" s="50"/>
      <c r="DR35" s="50"/>
      <c r="DS35" s="50"/>
      <c r="DT35" s="50"/>
      <c r="DU35" s="50"/>
      <c r="DV35" s="50"/>
      <c r="DW35" s="50"/>
      <c r="DX35" s="50"/>
      <c r="DY35" s="50"/>
      <c r="DZ35" s="50"/>
      <c r="EA35" s="50"/>
      <c r="EB35" s="50"/>
      <c r="EC35" s="50"/>
      <c r="ED35" s="50"/>
      <c r="EE35" s="50"/>
      <c r="EF35" s="50"/>
      <c r="EG35" s="50"/>
      <c r="EH35" s="50"/>
      <c r="EI35" s="50"/>
      <c r="EJ35" s="50"/>
      <c r="EK35" s="50"/>
      <c r="EL35" s="50"/>
      <c r="EM35" s="50"/>
      <c r="EN35" s="50"/>
      <c r="EO35" s="50"/>
      <c r="EP35" s="50"/>
      <c r="EQ35" s="50"/>
      <c r="ER35" s="50"/>
      <c r="ES35" s="50"/>
      <c r="ET35" s="50"/>
      <c r="EU35" s="50"/>
      <c r="EV35" s="50"/>
      <c r="EW35" s="50"/>
      <c r="EX35" s="50"/>
      <c r="EY35" s="50"/>
      <c r="EZ35" s="50"/>
      <c r="FA35" s="50"/>
      <c r="FB35" s="50"/>
      <c r="FC35" s="50"/>
      <c r="FD35" s="50"/>
      <c r="FE35" s="50"/>
      <c r="FF35" s="50"/>
      <c r="FG35" s="50"/>
      <c r="FH35" s="50"/>
      <c r="FI35" s="50"/>
      <c r="FJ35" s="50"/>
      <c r="FK35" s="50"/>
      <c r="FL35" s="50"/>
      <c r="FM35" s="50"/>
      <c r="FN35" s="50"/>
      <c r="FO35" s="50"/>
      <c r="FP35" s="50"/>
      <c r="FQ35" s="50"/>
      <c r="FR35" s="50"/>
      <c r="FS35" s="50"/>
      <c r="FT35" s="50"/>
      <c r="FU35" s="50"/>
      <c r="FV35" s="50"/>
      <c r="FW35" s="50"/>
    </row>
    <row r="36" spans="1:180" s="59" customFormat="1" ht="25.5" customHeight="1">
      <c r="A36" s="51" t="s">
        <v>386</v>
      </c>
      <c r="B36" s="51" t="s">
        <v>387</v>
      </c>
      <c r="C36" s="52" t="s">
        <v>388</v>
      </c>
      <c r="D36" s="71" t="s">
        <v>389</v>
      </c>
      <c r="E36" s="54" t="s">
        <v>63</v>
      </c>
      <c r="F36" s="54" t="s">
        <v>154</v>
      </c>
      <c r="G36" s="54" t="s">
        <v>390</v>
      </c>
      <c r="H36" s="54"/>
      <c r="I36" s="54"/>
      <c r="J36" s="54"/>
      <c r="K36" s="54"/>
      <c r="L36" s="54"/>
      <c r="M36" s="54"/>
      <c r="N36" s="54" t="s">
        <v>390</v>
      </c>
      <c r="O36" s="54" t="s">
        <v>390</v>
      </c>
      <c r="P36" s="54"/>
      <c r="Q36" s="54"/>
      <c r="R36" s="54"/>
      <c r="S36" s="54"/>
      <c r="T36" s="53" t="s">
        <v>110</v>
      </c>
      <c r="U36" s="53" t="s">
        <v>111</v>
      </c>
      <c r="V36" s="52" t="s">
        <v>204</v>
      </c>
      <c r="W36" s="52" t="s">
        <v>123</v>
      </c>
      <c r="X36" s="52"/>
      <c r="Y36" s="54" t="str">
        <f>"[" &amp; _xlfn.TEXTJOIN(", ", TRUE,
    IF(G36&lt;&gt;"", """" &amp; G$1 &amp; """", ""),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T36 &amp; """", ""),
    IF(U36&lt;&gt;"", """" &amp; U36 &amp; """", ""),
    IF(V36&lt;&gt;"", """" &amp; V36 &amp; """", ""),
    IF(W36&lt;&gt;"", """" &amp; W36 &amp; """", ""),
    IF(X36&lt;&gt;"", """" &amp; X36 &amp; """", "")
) &amp; "]"</f>
        <v>["ENA", "ENA ERC32", "ENA ERC33", "ENA Sample", "VJDB Sample", "Host", "Collection"]</v>
      </c>
      <c r="Z36" s="54"/>
      <c r="AA36" s="52"/>
      <c r="AB36" s="54" t="s">
        <v>337</v>
      </c>
      <c r="AC36" s="54"/>
      <c r="AD36" s="54"/>
      <c r="AE36" s="54"/>
      <c r="AF36" s="54"/>
      <c r="AG36" s="54"/>
      <c r="AH36" s="54"/>
      <c r="AI36" s="54"/>
      <c r="AJ36" s="54"/>
      <c r="AK36" s="54"/>
      <c r="AL36" s="54"/>
      <c r="AM36" s="54" t="s">
        <v>391</v>
      </c>
      <c r="AN36" s="54"/>
      <c r="AO36" s="54"/>
      <c r="AP36" s="54" t="s">
        <v>391</v>
      </c>
      <c r="AQ36" s="54"/>
      <c r="AR36" s="54" t="s">
        <v>145</v>
      </c>
      <c r="AS36" s="54" t="s">
        <v>101</v>
      </c>
      <c r="AT36" s="54" t="s">
        <v>101</v>
      </c>
      <c r="AU36" s="55" t="s">
        <v>392</v>
      </c>
      <c r="AV36" s="54" t="s">
        <v>393</v>
      </c>
      <c r="AW36" s="52" t="s">
        <v>148</v>
      </c>
      <c r="AX36" s="52" t="s">
        <v>149</v>
      </c>
      <c r="AY36" s="54"/>
      <c r="AZ36" s="54"/>
      <c r="BA36" s="54"/>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c r="CO36" s="50"/>
      <c r="CP36" s="50"/>
      <c r="CQ36" s="50"/>
      <c r="CR36" s="50"/>
      <c r="CS36" s="50"/>
      <c r="CT36" s="50"/>
      <c r="CU36" s="50"/>
      <c r="CV36" s="50"/>
      <c r="CW36" s="50"/>
      <c r="CX36" s="50"/>
      <c r="CY36" s="50"/>
      <c r="CZ36" s="50"/>
      <c r="DA36" s="50"/>
      <c r="DB36" s="50"/>
      <c r="DC36" s="50"/>
      <c r="DD36" s="50"/>
      <c r="DE36" s="50"/>
      <c r="DF36" s="50"/>
      <c r="DG36" s="50"/>
      <c r="DH36" s="50"/>
      <c r="DI36" s="50"/>
      <c r="DJ36" s="50"/>
      <c r="DK36" s="50"/>
      <c r="DL36" s="50"/>
      <c r="DM36" s="50"/>
      <c r="DN36" s="50"/>
      <c r="DO36" s="50"/>
      <c r="DP36" s="50"/>
      <c r="DQ36" s="50"/>
      <c r="DR36" s="50"/>
      <c r="DS36" s="50"/>
      <c r="DT36" s="50"/>
      <c r="DU36" s="50"/>
      <c r="DV36" s="50"/>
      <c r="DW36" s="50"/>
      <c r="DX36" s="50"/>
      <c r="DY36" s="50"/>
      <c r="DZ36" s="50"/>
      <c r="EA36" s="50"/>
      <c r="EB36" s="50"/>
      <c r="EC36" s="50"/>
      <c r="ED36" s="50"/>
      <c r="EE36" s="50"/>
      <c r="EF36" s="50"/>
      <c r="EG36" s="50"/>
      <c r="EH36" s="50"/>
      <c r="EI36" s="50"/>
      <c r="EJ36" s="50"/>
      <c r="EK36" s="50"/>
      <c r="EL36" s="50"/>
      <c r="EM36" s="50"/>
      <c r="EN36" s="50"/>
      <c r="EO36" s="50"/>
      <c r="EP36" s="50"/>
      <c r="EQ36" s="50"/>
      <c r="ER36" s="50"/>
      <c r="ES36" s="50"/>
      <c r="ET36" s="50"/>
      <c r="EU36" s="50"/>
      <c r="EV36" s="50"/>
      <c r="EW36" s="50"/>
      <c r="EX36" s="50"/>
      <c r="EY36" s="50"/>
      <c r="EZ36" s="50"/>
      <c r="FA36" s="50"/>
      <c r="FB36" s="50"/>
      <c r="FC36" s="50"/>
      <c r="FD36" s="50"/>
      <c r="FE36" s="50"/>
      <c r="FF36" s="50"/>
      <c r="FG36" s="50"/>
      <c r="FH36" s="50"/>
      <c r="FI36" s="50"/>
      <c r="FJ36" s="50"/>
      <c r="FK36" s="50"/>
      <c r="FL36" s="50"/>
      <c r="FM36" s="50"/>
      <c r="FN36" s="50"/>
      <c r="FO36" s="50"/>
      <c r="FP36" s="50"/>
      <c r="FQ36" s="50"/>
      <c r="FR36" s="50"/>
      <c r="FS36" s="50"/>
      <c r="FT36" s="50"/>
      <c r="FU36" s="50"/>
      <c r="FV36" s="50"/>
      <c r="FW36" s="50"/>
    </row>
    <row r="37" spans="1:180" s="59" customFormat="1" ht="25.5" customHeight="1">
      <c r="A37" s="51" t="s">
        <v>394</v>
      </c>
      <c r="B37" s="51" t="s">
        <v>395</v>
      </c>
      <c r="C37" s="52" t="s">
        <v>396</v>
      </c>
      <c r="D37" s="71" t="s">
        <v>397</v>
      </c>
      <c r="E37" s="54" t="s">
        <v>63</v>
      </c>
      <c r="F37" s="54" t="s">
        <v>64</v>
      </c>
      <c r="G37" s="54"/>
      <c r="H37" s="54"/>
      <c r="I37" s="54"/>
      <c r="J37" s="54"/>
      <c r="K37" s="54"/>
      <c r="L37" s="54"/>
      <c r="M37" s="54"/>
      <c r="N37" s="54"/>
      <c r="O37" s="54"/>
      <c r="P37" s="54"/>
      <c r="Q37" s="54"/>
      <c r="R37" s="54"/>
      <c r="S37" s="54"/>
      <c r="T37" s="53"/>
      <c r="U37" s="53"/>
      <c r="V37" s="52"/>
      <c r="W37" s="52"/>
      <c r="X37" s="52"/>
      <c r="Y37" s="54" t="str">
        <f>"[" &amp; _xlfn.TEXTJOIN(", ", TRUE,
    IF(G37&lt;&gt;"", """" &amp; G$1 &amp; """", ""),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T37 &amp; """", ""),
    IF(U37&lt;&gt;"", """" &amp; U37 &amp; """", ""),
    IF(V37&lt;&gt;"", """" &amp; V37 &amp; """", ""),
    IF(W37&lt;&gt;"", """" &amp; W37 &amp; """", ""),
    IF(X37&lt;&gt;"", """" &amp; X37 &amp; """", "")
) &amp; "]"</f>
        <v>[]</v>
      </c>
      <c r="Z37" s="54"/>
      <c r="AA37" s="52"/>
      <c r="AB37" s="54"/>
      <c r="AC37" s="54"/>
      <c r="AD37" s="54"/>
      <c r="AE37" s="54"/>
      <c r="AF37" s="54"/>
      <c r="AG37" s="54"/>
      <c r="AH37" s="54"/>
      <c r="AI37" s="54"/>
      <c r="AJ37" s="54"/>
      <c r="AK37" s="54"/>
      <c r="AL37" s="54"/>
      <c r="AM37" s="54"/>
      <c r="AN37" s="54"/>
      <c r="AO37" s="54"/>
      <c r="AP37" s="54"/>
      <c r="AQ37" s="54"/>
      <c r="AR37" s="54"/>
      <c r="AS37" s="54"/>
      <c r="AT37" s="54"/>
      <c r="AU37" s="55"/>
      <c r="AV37" s="54"/>
      <c r="AW37" s="52"/>
      <c r="AX37" s="52"/>
      <c r="AY37" s="54"/>
      <c r="AZ37" s="54"/>
      <c r="BA37" s="54"/>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c r="CH37" s="50"/>
      <c r="CI37" s="50"/>
      <c r="CJ37" s="50"/>
      <c r="CK37" s="50"/>
      <c r="CL37" s="50"/>
      <c r="CM37" s="50"/>
      <c r="CN37" s="50"/>
      <c r="CO37" s="50"/>
      <c r="CP37" s="50"/>
      <c r="CQ37" s="50"/>
      <c r="CR37" s="50"/>
      <c r="CS37" s="50"/>
      <c r="CT37" s="50"/>
      <c r="CU37" s="50"/>
      <c r="CV37" s="50"/>
      <c r="CW37" s="50"/>
      <c r="CX37" s="50"/>
      <c r="CY37" s="50"/>
      <c r="CZ37" s="50"/>
      <c r="DA37" s="50"/>
      <c r="DB37" s="50"/>
      <c r="DC37" s="50"/>
      <c r="DD37" s="50"/>
      <c r="DE37" s="50"/>
      <c r="DF37" s="50"/>
      <c r="DG37" s="50"/>
      <c r="DH37" s="50"/>
      <c r="DI37" s="50"/>
      <c r="DJ37" s="50"/>
      <c r="DK37" s="50"/>
      <c r="DL37" s="50"/>
      <c r="DM37" s="50"/>
      <c r="DN37" s="50"/>
      <c r="DO37" s="50"/>
      <c r="DP37" s="50"/>
      <c r="DQ37" s="50"/>
      <c r="DR37" s="50"/>
      <c r="DS37" s="50"/>
      <c r="DT37" s="50"/>
      <c r="DU37" s="50"/>
      <c r="DV37" s="50"/>
      <c r="DW37" s="50"/>
      <c r="DX37" s="50"/>
      <c r="DY37" s="50"/>
      <c r="DZ37" s="50"/>
      <c r="EA37" s="50"/>
      <c r="EB37" s="50"/>
      <c r="EC37" s="50"/>
      <c r="ED37" s="50"/>
      <c r="EE37" s="50"/>
      <c r="EF37" s="50"/>
      <c r="EG37" s="50"/>
      <c r="EH37" s="50"/>
      <c r="EI37" s="50"/>
      <c r="EJ37" s="50"/>
      <c r="EK37" s="50"/>
      <c r="EL37" s="50"/>
      <c r="EM37" s="50"/>
      <c r="EN37" s="50"/>
      <c r="EO37" s="50"/>
      <c r="EP37" s="50"/>
      <c r="EQ37" s="50"/>
      <c r="ER37" s="50"/>
      <c r="ES37" s="50"/>
      <c r="ET37" s="50"/>
      <c r="EU37" s="50"/>
      <c r="EV37" s="50"/>
      <c r="EW37" s="50"/>
      <c r="EX37" s="50"/>
      <c r="EY37" s="50"/>
      <c r="EZ37" s="50"/>
      <c r="FA37" s="50"/>
      <c r="FB37" s="50"/>
      <c r="FC37" s="50"/>
      <c r="FD37" s="50"/>
      <c r="FE37" s="50"/>
      <c r="FF37" s="50"/>
      <c r="FG37" s="50"/>
      <c r="FH37" s="50"/>
      <c r="FI37" s="50"/>
      <c r="FJ37" s="50"/>
      <c r="FK37" s="50"/>
      <c r="FL37" s="50"/>
      <c r="FM37" s="50"/>
      <c r="FN37" s="50"/>
      <c r="FO37" s="50"/>
      <c r="FP37" s="50"/>
      <c r="FQ37" s="50"/>
      <c r="FR37" s="50"/>
      <c r="FS37" s="50"/>
      <c r="FT37" s="50"/>
      <c r="FU37" s="50"/>
      <c r="FV37" s="50"/>
      <c r="FW37" s="50"/>
    </row>
    <row r="38" spans="1:180" s="59" customFormat="1" ht="25.5" customHeight="1">
      <c r="A38" s="51" t="s">
        <v>398</v>
      </c>
      <c r="B38" s="51" t="s">
        <v>399</v>
      </c>
      <c r="C38" s="52" t="s">
        <v>400</v>
      </c>
      <c r="D38" s="71" t="s">
        <v>401</v>
      </c>
      <c r="E38" s="54" t="s">
        <v>402</v>
      </c>
      <c r="F38" s="54" t="s">
        <v>154</v>
      </c>
      <c r="G38" s="54" t="s">
        <v>403</v>
      </c>
      <c r="H38" s="54"/>
      <c r="I38" s="54" t="s">
        <v>404</v>
      </c>
      <c r="J38" s="54"/>
      <c r="K38" s="54"/>
      <c r="L38" s="54"/>
      <c r="M38" s="54"/>
      <c r="N38" s="54" t="s">
        <v>403</v>
      </c>
      <c r="O38" s="54" t="s">
        <v>403</v>
      </c>
      <c r="P38" s="54"/>
      <c r="Q38" s="54"/>
      <c r="R38" s="54"/>
      <c r="S38" s="54"/>
      <c r="T38" s="53" t="s">
        <v>110</v>
      </c>
      <c r="U38" s="53" t="s">
        <v>111</v>
      </c>
      <c r="V38" s="52" t="s">
        <v>122</v>
      </c>
      <c r="W38" s="52" t="s">
        <v>123</v>
      </c>
      <c r="X38" s="52"/>
      <c r="Y38" s="54" t="str">
        <f>"[" &amp; _xlfn.TEXTJOIN(", ", TRUE,
    IF(G38&lt;&gt;"", """" &amp; G$1 &amp; """", ""),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T38 &amp; """", ""),
    IF(U38&lt;&gt;"", """" &amp; U38 &amp; """", ""),
    IF(V38&lt;&gt;"", """" &amp; V38 &amp; """", ""),
    IF(W38&lt;&gt;"", """" &amp; W38 &amp; """", ""),
    IF(X38&lt;&gt;"", """" &amp; X38 &amp; """", "")
) &amp; "]"</f>
        <v>["ENA", "MIGS-VI", "ENA ERC32", "ENA ERC33", "ENA Sample", "VJDB Sample", "Sample", "Collection"]</v>
      </c>
      <c r="Z38" s="54"/>
      <c r="AA38" s="52"/>
      <c r="AB38" s="54" t="s">
        <v>337</v>
      </c>
      <c r="AC38" s="54"/>
      <c r="AD38" s="54"/>
      <c r="AE38" s="54"/>
      <c r="AF38" s="54"/>
      <c r="AG38" s="54"/>
      <c r="AH38" s="54"/>
      <c r="AI38" s="54"/>
      <c r="AJ38" s="54"/>
      <c r="AK38" s="54"/>
      <c r="AL38" s="54"/>
      <c r="AM38" s="54" t="s">
        <v>405</v>
      </c>
      <c r="AN38" s="54"/>
      <c r="AO38" s="54"/>
      <c r="AP38" s="54" t="s">
        <v>406</v>
      </c>
      <c r="AQ38" s="54"/>
      <c r="AR38" s="54" t="s">
        <v>129</v>
      </c>
      <c r="AS38" s="54" t="s">
        <v>186</v>
      </c>
      <c r="AT38" s="54" t="s">
        <v>186</v>
      </c>
      <c r="AU38" s="55" t="s">
        <v>407</v>
      </c>
      <c r="AV38" s="54" t="s">
        <v>408</v>
      </c>
      <c r="AW38" s="52" t="s">
        <v>76</v>
      </c>
      <c r="AX38" s="52" t="s">
        <v>77</v>
      </c>
      <c r="AY38" s="54"/>
      <c r="AZ38" s="54"/>
      <c r="BA38" s="54"/>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c r="CH38" s="50"/>
      <c r="CI38" s="50"/>
      <c r="CJ38" s="50"/>
      <c r="CK38" s="50"/>
      <c r="CL38" s="50"/>
      <c r="CM38" s="50"/>
      <c r="CN38" s="50"/>
      <c r="CO38" s="50"/>
      <c r="CP38" s="50"/>
      <c r="CQ38" s="50"/>
      <c r="CR38" s="50"/>
      <c r="CS38" s="50"/>
      <c r="CT38" s="50"/>
      <c r="CU38" s="50"/>
      <c r="CV38" s="50"/>
      <c r="CW38" s="50"/>
      <c r="CX38" s="50"/>
      <c r="CY38" s="50"/>
      <c r="CZ38" s="50"/>
      <c r="DA38" s="50"/>
      <c r="DB38" s="50"/>
      <c r="DC38" s="50"/>
      <c r="DD38" s="50"/>
      <c r="DE38" s="50"/>
      <c r="DF38" s="50"/>
      <c r="DG38" s="50"/>
      <c r="DH38" s="50"/>
      <c r="DI38" s="50"/>
      <c r="DJ38" s="50"/>
      <c r="DK38" s="50"/>
      <c r="DL38" s="50"/>
      <c r="DM38" s="50"/>
      <c r="DN38" s="50"/>
      <c r="DO38" s="50"/>
      <c r="DP38" s="50"/>
      <c r="DQ38" s="50"/>
      <c r="DR38" s="50"/>
      <c r="DS38" s="50"/>
      <c r="DT38" s="50"/>
      <c r="DU38" s="50"/>
      <c r="DV38" s="50"/>
      <c r="DW38" s="50"/>
      <c r="DX38" s="50"/>
      <c r="DY38" s="50"/>
      <c r="DZ38" s="50"/>
      <c r="EA38" s="50"/>
      <c r="EB38" s="50"/>
      <c r="EC38" s="50"/>
      <c r="ED38" s="50"/>
      <c r="EE38" s="50"/>
      <c r="EF38" s="50"/>
      <c r="EG38" s="50"/>
      <c r="EH38" s="50"/>
      <c r="EI38" s="50"/>
      <c r="EJ38" s="50"/>
      <c r="EK38" s="50"/>
      <c r="EL38" s="50"/>
      <c r="EM38" s="50"/>
      <c r="EN38" s="50"/>
      <c r="EO38" s="50"/>
      <c r="EP38" s="50"/>
      <c r="EQ38" s="50"/>
      <c r="ER38" s="50"/>
      <c r="ES38" s="50"/>
      <c r="ET38" s="50"/>
      <c r="EU38" s="50"/>
      <c r="EV38" s="50"/>
      <c r="EW38" s="50"/>
      <c r="EX38" s="50"/>
      <c r="EY38" s="50"/>
      <c r="EZ38" s="50"/>
      <c r="FA38" s="50"/>
      <c r="FB38" s="50"/>
      <c r="FC38" s="50"/>
      <c r="FD38" s="50"/>
      <c r="FE38" s="50"/>
      <c r="FF38" s="50"/>
      <c r="FG38" s="50"/>
      <c r="FH38" s="50"/>
      <c r="FI38" s="50"/>
      <c r="FJ38" s="50"/>
      <c r="FK38" s="50"/>
      <c r="FL38" s="50"/>
      <c r="FM38" s="50"/>
      <c r="FN38" s="50"/>
      <c r="FO38" s="50"/>
      <c r="FP38" s="50"/>
      <c r="FQ38" s="50"/>
      <c r="FR38" s="50"/>
      <c r="FS38" s="50"/>
      <c r="FT38" s="50"/>
      <c r="FU38" s="50"/>
      <c r="FV38" s="50"/>
      <c r="FW38" s="50"/>
    </row>
    <row r="39" spans="1:180" s="59" customFormat="1" ht="25.5" customHeight="1">
      <c r="A39" s="51" t="s">
        <v>409</v>
      </c>
      <c r="B39" s="51" t="s">
        <v>327</v>
      </c>
      <c r="C39" s="52" t="s">
        <v>410</v>
      </c>
      <c r="D39" s="71" t="s">
        <v>411</v>
      </c>
      <c r="E39" s="54" t="s">
        <v>76</v>
      </c>
      <c r="F39" s="54" t="s">
        <v>154</v>
      </c>
      <c r="G39" s="54"/>
      <c r="H39" s="54"/>
      <c r="I39" s="54"/>
      <c r="J39" s="54"/>
      <c r="K39" s="54"/>
      <c r="L39" s="54"/>
      <c r="M39" s="54"/>
      <c r="N39" s="54"/>
      <c r="O39" s="54"/>
      <c r="P39" s="54"/>
      <c r="Q39" s="54"/>
      <c r="R39" s="54"/>
      <c r="S39" s="54"/>
      <c r="T39" s="53"/>
      <c r="U39" s="53"/>
      <c r="V39" s="52" t="s">
        <v>122</v>
      </c>
      <c r="W39" s="52" t="s">
        <v>123</v>
      </c>
      <c r="X39" s="52"/>
      <c r="Y39" s="54" t="str">
        <f>"[" &amp; _xlfn.TEXTJOIN(", ", TRUE,
    IF(G39&lt;&gt;"", """" &amp; G$1 &amp; """", ""),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T39 &amp; """", ""),
    IF(U39&lt;&gt;"", """" &amp; U39 &amp; """", ""),
    IF(V39&lt;&gt;"", """" &amp; V39 &amp; """", ""),
    IF(W39&lt;&gt;"", """" &amp; W39 &amp; """", ""),
    IF(X39&lt;&gt;"", """" &amp; X39 &amp; """", "")
) &amp; "]"</f>
        <v>["Sample", "Collection"]</v>
      </c>
      <c r="Z39" s="54" t="s">
        <v>412</v>
      </c>
      <c r="AA39" s="52" t="s">
        <v>413</v>
      </c>
      <c r="AB39" s="54" t="s">
        <v>414</v>
      </c>
      <c r="AC39" s="54"/>
      <c r="AD39" s="54"/>
      <c r="AE39" s="54"/>
      <c r="AF39" s="54"/>
      <c r="AG39" s="54"/>
      <c r="AH39" s="54"/>
      <c r="AI39" s="54"/>
      <c r="AJ39" s="54"/>
      <c r="AK39" s="54"/>
      <c r="AL39" s="54"/>
      <c r="AM39" s="54"/>
      <c r="AN39" s="54"/>
      <c r="AO39" s="54"/>
      <c r="AP39" s="54"/>
      <c r="AQ39" s="54"/>
      <c r="AR39" s="54"/>
      <c r="AS39" s="54"/>
      <c r="AT39" s="54"/>
      <c r="AU39" s="55" t="s">
        <v>415</v>
      </c>
      <c r="AV39" s="54" t="s">
        <v>416</v>
      </c>
      <c r="AW39" s="52" t="s">
        <v>76</v>
      </c>
      <c r="AX39" s="52" t="s">
        <v>132</v>
      </c>
      <c r="AY39" s="54"/>
      <c r="AZ39" s="54"/>
      <c r="BA39" s="54"/>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c r="CH39" s="50"/>
      <c r="CI39" s="50"/>
      <c r="CJ39" s="50"/>
      <c r="CK39" s="50"/>
      <c r="CL39" s="50"/>
      <c r="CM39" s="50"/>
      <c r="CN39" s="50"/>
      <c r="CO39" s="50"/>
      <c r="CP39" s="50"/>
      <c r="CQ39" s="50"/>
      <c r="CR39" s="50"/>
      <c r="CS39" s="50"/>
      <c r="CT39" s="50"/>
      <c r="CU39" s="50"/>
      <c r="CV39" s="50"/>
      <c r="CW39" s="50"/>
      <c r="CX39" s="50"/>
      <c r="CY39" s="50"/>
      <c r="CZ39" s="50"/>
      <c r="DA39" s="50"/>
      <c r="DB39" s="50"/>
      <c r="DC39" s="50"/>
      <c r="DD39" s="50"/>
      <c r="DE39" s="50"/>
      <c r="DF39" s="50"/>
      <c r="DG39" s="50"/>
      <c r="DH39" s="50"/>
      <c r="DI39" s="50"/>
      <c r="DJ39" s="50"/>
      <c r="DK39" s="50"/>
      <c r="DL39" s="50"/>
      <c r="DM39" s="50"/>
      <c r="DN39" s="50"/>
      <c r="DO39" s="50"/>
      <c r="DP39" s="50"/>
      <c r="DQ39" s="50"/>
      <c r="DR39" s="50"/>
      <c r="DS39" s="50"/>
      <c r="DT39" s="50"/>
      <c r="DU39" s="50"/>
      <c r="DV39" s="50"/>
      <c r="DW39" s="50"/>
      <c r="DX39" s="50"/>
      <c r="DY39" s="50"/>
      <c r="DZ39" s="50"/>
      <c r="EA39" s="50"/>
      <c r="EB39" s="50"/>
      <c r="EC39" s="50"/>
      <c r="ED39" s="50"/>
      <c r="EE39" s="50"/>
      <c r="EF39" s="50"/>
      <c r="EG39" s="50"/>
      <c r="EH39" s="50"/>
      <c r="EI39" s="50"/>
      <c r="EJ39" s="50"/>
      <c r="EK39" s="50"/>
      <c r="EL39" s="50"/>
      <c r="EM39" s="50"/>
      <c r="EN39" s="50"/>
      <c r="EO39" s="50"/>
      <c r="EP39" s="50"/>
      <c r="EQ39" s="50"/>
      <c r="ER39" s="50"/>
      <c r="ES39" s="50"/>
      <c r="ET39" s="50"/>
      <c r="EU39" s="50"/>
      <c r="EV39" s="50"/>
      <c r="EW39" s="50"/>
      <c r="EX39" s="50"/>
      <c r="EY39" s="50"/>
      <c r="EZ39" s="50"/>
      <c r="FA39" s="50"/>
      <c r="FB39" s="50"/>
      <c r="FC39" s="50"/>
      <c r="FD39" s="50"/>
      <c r="FE39" s="50"/>
      <c r="FF39" s="50"/>
      <c r="FG39" s="50"/>
      <c r="FH39" s="50"/>
      <c r="FI39" s="50"/>
      <c r="FJ39" s="50"/>
      <c r="FK39" s="50"/>
      <c r="FL39" s="50"/>
      <c r="FM39" s="50"/>
      <c r="FN39" s="50"/>
      <c r="FO39" s="50"/>
      <c r="FP39" s="50"/>
      <c r="FQ39" s="50"/>
      <c r="FR39" s="50"/>
      <c r="FS39" s="50"/>
      <c r="FT39" s="50"/>
      <c r="FU39" s="50"/>
      <c r="FV39" s="50"/>
      <c r="FW39" s="50"/>
    </row>
    <row r="40" spans="1:180" s="59" customFormat="1" ht="25.5" customHeight="1">
      <c r="A40" s="51" t="s">
        <v>417</v>
      </c>
      <c r="B40" s="51" t="s">
        <v>418</v>
      </c>
      <c r="C40" s="52" t="s">
        <v>419</v>
      </c>
      <c r="D40" s="71" t="s">
        <v>420</v>
      </c>
      <c r="E40" s="54" t="s">
        <v>76</v>
      </c>
      <c r="F40" s="54" t="s">
        <v>154</v>
      </c>
      <c r="G40" s="54" t="s">
        <v>421</v>
      </c>
      <c r="H40" s="54"/>
      <c r="I40" s="54" t="s">
        <v>312</v>
      </c>
      <c r="J40" s="54"/>
      <c r="K40" s="54"/>
      <c r="L40" s="54"/>
      <c r="M40" s="54"/>
      <c r="N40" s="54" t="s">
        <v>421</v>
      </c>
      <c r="O40" s="54" t="s">
        <v>421</v>
      </c>
      <c r="P40" s="54"/>
      <c r="Q40" s="54"/>
      <c r="R40" s="54"/>
      <c r="S40" s="54"/>
      <c r="T40" s="53" t="s">
        <v>110</v>
      </c>
      <c r="U40" s="53" t="s">
        <v>111</v>
      </c>
      <c r="V40" s="52" t="s">
        <v>122</v>
      </c>
      <c r="W40" s="52" t="s">
        <v>123</v>
      </c>
      <c r="X40" s="52"/>
      <c r="Y40" s="54" t="str">
        <f>"[" &amp; _xlfn.TEXTJOIN(", ", TRUE,
    IF(G40&lt;&gt;"", """" &amp; G$1 &amp; """", ""),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T40 &amp; """", ""),
    IF(U40&lt;&gt;"", """" &amp; U40 &amp; """", ""),
    IF(V40&lt;&gt;"", """" &amp; V40 &amp; """", ""),
    IF(W40&lt;&gt;"", """" &amp; W40 &amp; """", ""),
    IF(X40&lt;&gt;"", """" &amp; X40 &amp; """", "")
) &amp; "]"</f>
        <v>["ENA", "MIGS-VI", "ENA ERC32", "ENA ERC33", "ENA Sample", "VJDB Sample", "Sample", "Collection"]</v>
      </c>
      <c r="Z40" s="54"/>
      <c r="AA40" s="52" t="s">
        <v>422</v>
      </c>
      <c r="AB40" s="54" t="s">
        <v>423</v>
      </c>
      <c r="AC40" s="54"/>
      <c r="AD40" s="54"/>
      <c r="AE40" s="54"/>
      <c r="AF40" s="54" t="s">
        <v>318</v>
      </c>
      <c r="AG40" s="54"/>
      <c r="AH40" s="54"/>
      <c r="AI40" s="54"/>
      <c r="AJ40" s="54"/>
      <c r="AK40" s="54"/>
      <c r="AL40" s="54"/>
      <c r="AM40" s="54" t="s">
        <v>424</v>
      </c>
      <c r="AN40" s="54"/>
      <c r="AO40" s="54"/>
      <c r="AP40" s="54" t="s">
        <v>424</v>
      </c>
      <c r="AQ40" s="54"/>
      <c r="AR40" s="54" t="s">
        <v>129</v>
      </c>
      <c r="AS40" s="54" t="s">
        <v>186</v>
      </c>
      <c r="AT40" s="54" t="s">
        <v>186</v>
      </c>
      <c r="AU40" s="55"/>
      <c r="AV40" s="54"/>
      <c r="AW40" s="52" t="s">
        <v>211</v>
      </c>
      <c r="AX40" s="52" t="s">
        <v>132</v>
      </c>
      <c r="AY40" s="54"/>
      <c r="AZ40" s="54"/>
      <c r="BA40" s="54"/>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c r="CH40" s="50"/>
      <c r="CI40" s="50"/>
      <c r="CJ40" s="50"/>
      <c r="CK40" s="50"/>
      <c r="CL40" s="50"/>
      <c r="CM40" s="50"/>
      <c r="CN40" s="50"/>
      <c r="CO40" s="50"/>
      <c r="CP40" s="50"/>
      <c r="CQ40" s="50"/>
      <c r="CR40" s="50"/>
      <c r="CS40" s="50"/>
      <c r="CT40" s="50"/>
      <c r="CU40" s="50"/>
      <c r="CV40" s="50"/>
      <c r="CW40" s="50"/>
      <c r="CX40" s="50"/>
      <c r="CY40" s="50"/>
      <c r="CZ40" s="50"/>
      <c r="DA40" s="50"/>
      <c r="DB40" s="50"/>
      <c r="DC40" s="50"/>
      <c r="DD40" s="50"/>
      <c r="DE40" s="50"/>
      <c r="DF40" s="50"/>
      <c r="DG40" s="50"/>
      <c r="DH40" s="50"/>
      <c r="DI40" s="50"/>
      <c r="DJ40" s="50"/>
      <c r="DK40" s="50"/>
      <c r="DL40" s="50"/>
      <c r="DM40" s="50"/>
      <c r="DN40" s="50"/>
      <c r="DO40" s="50"/>
      <c r="DP40" s="50"/>
      <c r="DQ40" s="50"/>
      <c r="DR40" s="50"/>
      <c r="DS40" s="50"/>
      <c r="DT40" s="50"/>
      <c r="DU40" s="50"/>
      <c r="DV40" s="50"/>
      <c r="DW40" s="50"/>
      <c r="DX40" s="50"/>
      <c r="DY40" s="50"/>
      <c r="DZ40" s="50"/>
      <c r="EA40" s="50"/>
      <c r="EB40" s="50"/>
      <c r="EC40" s="50"/>
      <c r="ED40" s="50"/>
      <c r="EE40" s="50"/>
      <c r="EF40" s="50"/>
      <c r="EG40" s="50"/>
      <c r="EH40" s="50"/>
      <c r="EI40" s="50"/>
      <c r="EJ40" s="50"/>
      <c r="EK40" s="50"/>
      <c r="EL40" s="50"/>
      <c r="EM40" s="50"/>
      <c r="EN40" s="50"/>
      <c r="EO40" s="50"/>
      <c r="EP40" s="50"/>
      <c r="EQ40" s="50"/>
      <c r="ER40" s="50"/>
      <c r="ES40" s="50"/>
      <c r="ET40" s="50"/>
      <c r="EU40" s="50"/>
      <c r="EV40" s="50"/>
      <c r="EW40" s="50"/>
      <c r="EX40" s="50"/>
      <c r="EY40" s="50"/>
      <c r="EZ40" s="50"/>
      <c r="FA40" s="50"/>
      <c r="FB40" s="50"/>
      <c r="FC40" s="50"/>
      <c r="FD40" s="50"/>
      <c r="FE40" s="50"/>
      <c r="FF40" s="50"/>
      <c r="FG40" s="50"/>
      <c r="FH40" s="50"/>
      <c r="FI40" s="50"/>
      <c r="FJ40" s="50"/>
      <c r="FK40" s="50"/>
      <c r="FL40" s="50"/>
      <c r="FM40" s="50"/>
      <c r="FN40" s="50"/>
      <c r="FO40" s="50"/>
      <c r="FP40" s="50"/>
      <c r="FQ40" s="50"/>
      <c r="FR40" s="50"/>
      <c r="FS40" s="50"/>
      <c r="FT40" s="50"/>
      <c r="FU40" s="50"/>
      <c r="FV40" s="50"/>
      <c r="FW40" s="50"/>
    </row>
    <row r="41" spans="1:180" s="59" customFormat="1" ht="25.5" customHeight="1">
      <c r="A41" s="51" t="s">
        <v>425</v>
      </c>
      <c r="B41" s="51" t="s">
        <v>426</v>
      </c>
      <c r="C41" s="52" t="s">
        <v>427</v>
      </c>
      <c r="D41" s="71" t="s">
        <v>428</v>
      </c>
      <c r="E41" s="54" t="s">
        <v>76</v>
      </c>
      <c r="F41" s="54" t="s">
        <v>154</v>
      </c>
      <c r="G41" s="54" t="s">
        <v>429</v>
      </c>
      <c r="H41" s="54"/>
      <c r="I41" s="54"/>
      <c r="J41" s="54"/>
      <c r="K41" s="54"/>
      <c r="L41" s="54"/>
      <c r="M41" s="54"/>
      <c r="N41" s="54" t="s">
        <v>429</v>
      </c>
      <c r="O41" s="54" t="s">
        <v>429</v>
      </c>
      <c r="P41" s="54"/>
      <c r="Q41" s="54"/>
      <c r="R41" s="54"/>
      <c r="S41" s="54"/>
      <c r="T41" s="53" t="s">
        <v>110</v>
      </c>
      <c r="U41" s="53" t="s">
        <v>111</v>
      </c>
      <c r="V41" s="52" t="s">
        <v>122</v>
      </c>
      <c r="W41" s="52" t="s">
        <v>123</v>
      </c>
      <c r="X41" s="52"/>
      <c r="Y41" s="54" t="str">
        <f>"[" &amp; _xlfn.TEXTJOIN(", ", TRUE,
    IF(G41&lt;&gt;"", """" &amp; G$1 &amp; """", ""),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T41 &amp; """", ""),
    IF(U41&lt;&gt;"", """" &amp; U41 &amp; """", ""),
    IF(V41&lt;&gt;"", """" &amp; V41 &amp; """", ""),
    IF(W41&lt;&gt;"", """" &amp; W41 &amp; """", ""),
    IF(X41&lt;&gt;"", """" &amp; X41 &amp; """", "")
) &amp; "]"</f>
        <v>["ENA", "ENA ERC32", "ENA ERC33", "ENA Sample", "VJDB Sample", "Sample", "Collection"]</v>
      </c>
      <c r="Z41" s="54"/>
      <c r="AA41" s="52"/>
      <c r="AB41" s="54" t="s">
        <v>337</v>
      </c>
      <c r="AC41" s="54"/>
      <c r="AD41" s="54"/>
      <c r="AE41" s="54"/>
      <c r="AF41" s="54"/>
      <c r="AG41" s="54"/>
      <c r="AH41" s="54"/>
      <c r="AI41" s="54"/>
      <c r="AJ41" s="54"/>
      <c r="AK41" s="54"/>
      <c r="AL41" s="54"/>
      <c r="AM41" s="54" t="s">
        <v>430</v>
      </c>
      <c r="AN41" s="54"/>
      <c r="AO41" s="54"/>
      <c r="AP41" s="54" t="s">
        <v>430</v>
      </c>
      <c r="AQ41" s="54"/>
      <c r="AR41" s="54" t="s">
        <v>385</v>
      </c>
      <c r="AS41" s="54" t="s">
        <v>101</v>
      </c>
      <c r="AT41" s="54" t="s">
        <v>101</v>
      </c>
      <c r="AU41" s="55" t="s">
        <v>431</v>
      </c>
      <c r="AV41" s="54" t="s">
        <v>210</v>
      </c>
      <c r="AW41" s="52" t="s">
        <v>76</v>
      </c>
      <c r="AX41" s="52" t="s">
        <v>132</v>
      </c>
      <c r="AY41" s="54"/>
      <c r="AZ41" s="54"/>
      <c r="BA41" s="54"/>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50"/>
      <c r="FC41" s="50"/>
      <c r="FD41" s="50"/>
      <c r="FE41" s="50"/>
      <c r="FF41" s="50"/>
      <c r="FG41" s="50"/>
      <c r="FH41" s="50"/>
      <c r="FI41" s="50"/>
      <c r="FJ41" s="50"/>
      <c r="FK41" s="50"/>
      <c r="FL41" s="50"/>
      <c r="FM41" s="50"/>
      <c r="FN41" s="50"/>
      <c r="FO41" s="50"/>
      <c r="FP41" s="50"/>
      <c r="FQ41" s="50"/>
      <c r="FR41" s="50"/>
      <c r="FS41" s="50"/>
      <c r="FT41" s="50"/>
      <c r="FU41" s="50"/>
      <c r="FV41" s="50"/>
      <c r="FW41" s="50"/>
    </row>
    <row r="42" spans="1:180" s="59" customFormat="1" ht="25.5" customHeight="1">
      <c r="A42" s="51" t="s">
        <v>432</v>
      </c>
      <c r="B42" s="51" t="s">
        <v>433</v>
      </c>
      <c r="C42" s="52" t="s">
        <v>434</v>
      </c>
      <c r="D42" s="71" t="s">
        <v>435</v>
      </c>
      <c r="E42" s="54" t="s">
        <v>63</v>
      </c>
      <c r="F42" s="54" t="s">
        <v>154</v>
      </c>
      <c r="G42" s="54" t="s">
        <v>436</v>
      </c>
      <c r="H42" s="54"/>
      <c r="I42" s="54"/>
      <c r="J42" s="54"/>
      <c r="K42" s="54"/>
      <c r="L42" s="54"/>
      <c r="M42" s="54"/>
      <c r="N42" s="54" t="s">
        <v>436</v>
      </c>
      <c r="O42" s="54" t="s">
        <v>436</v>
      </c>
      <c r="P42" s="54"/>
      <c r="Q42" s="54"/>
      <c r="R42" s="54"/>
      <c r="S42" s="54"/>
      <c r="T42" s="53" t="s">
        <v>110</v>
      </c>
      <c r="U42" s="53" t="s">
        <v>111</v>
      </c>
      <c r="V42" s="52" t="s">
        <v>122</v>
      </c>
      <c r="W42" s="52" t="s">
        <v>437</v>
      </c>
      <c r="X42" s="52"/>
      <c r="Y42" s="54" t="str">
        <f>"[" &amp; _xlfn.TEXTJOIN(", ", TRUE,
    IF(G42&lt;&gt;"", """" &amp; G$1 &amp; """", ""),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T42 &amp; """", ""),
    IF(U42&lt;&gt;"", """" &amp; U42 &amp; """", ""),
    IF(V42&lt;&gt;"", """" &amp; V42 &amp; """", ""),
    IF(W42&lt;&gt;"", """" &amp; W42 &amp; """", ""),
    IF(X42&lt;&gt;"", """" &amp; X42 &amp; """", "")
) &amp; "]"</f>
        <v>["ENA", "ENA ERC32", "ENA ERC33", "ENA Sample", "VJDB Sample", "Sample", "Clinical"]</v>
      </c>
      <c r="Z42" s="54"/>
      <c r="AA42" s="52" t="s">
        <v>351</v>
      </c>
      <c r="AB42" s="54" t="s">
        <v>337</v>
      </c>
      <c r="AC42" s="54"/>
      <c r="AD42" s="54"/>
      <c r="AE42" s="54"/>
      <c r="AF42" s="54"/>
      <c r="AG42" s="54"/>
      <c r="AH42" s="54"/>
      <c r="AI42" s="54"/>
      <c r="AJ42" s="54"/>
      <c r="AK42" s="54"/>
      <c r="AL42" s="54"/>
      <c r="AM42" s="54" t="s">
        <v>438</v>
      </c>
      <c r="AN42" s="54"/>
      <c r="AO42" s="54"/>
      <c r="AP42" s="54" t="s">
        <v>438</v>
      </c>
      <c r="AQ42" s="54"/>
      <c r="AR42" s="54" t="s">
        <v>129</v>
      </c>
      <c r="AS42" s="54" t="s">
        <v>186</v>
      </c>
      <c r="AT42" s="54" t="s">
        <v>186</v>
      </c>
      <c r="AU42" s="55"/>
      <c r="AV42" s="54"/>
      <c r="AW42" s="52" t="s">
        <v>76</v>
      </c>
      <c r="AX42" s="52" t="s">
        <v>132</v>
      </c>
      <c r="AY42" s="54"/>
      <c r="AZ42" s="54"/>
      <c r="BA42" s="54"/>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row>
    <row r="43" spans="1:180" s="59" customFormat="1" ht="25.5" customHeight="1">
      <c r="A43" s="51" t="s">
        <v>439</v>
      </c>
      <c r="B43" s="51" t="s">
        <v>440</v>
      </c>
      <c r="C43" s="52" t="s">
        <v>441</v>
      </c>
      <c r="D43" s="71" t="s">
        <v>442</v>
      </c>
      <c r="E43" s="54" t="s">
        <v>63</v>
      </c>
      <c r="F43" s="54" t="s">
        <v>154</v>
      </c>
      <c r="G43" s="54" t="s">
        <v>443</v>
      </c>
      <c r="H43" s="54"/>
      <c r="I43" s="54"/>
      <c r="J43" s="54"/>
      <c r="K43" s="54"/>
      <c r="L43" s="54"/>
      <c r="M43" s="54"/>
      <c r="N43" s="54"/>
      <c r="O43" s="54"/>
      <c r="P43" s="54"/>
      <c r="Q43" s="54"/>
      <c r="R43" s="54"/>
      <c r="S43" s="54"/>
      <c r="T43" s="53"/>
      <c r="U43" s="53"/>
      <c r="V43" s="52" t="s">
        <v>68</v>
      </c>
      <c r="W43" s="52" t="s">
        <v>69</v>
      </c>
      <c r="X43" s="52"/>
      <c r="Y43" s="54" t="str">
        <f>"[" &amp; _xlfn.TEXTJOIN(", ", TRUE,
    IF(G43&lt;&gt;"", """" &amp; G$1 &amp; """", ""),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T43 &amp; """", ""),
    IF(U43&lt;&gt;"", """" &amp; U43 &amp; """", ""),
    IF(V43&lt;&gt;"", """" &amp; V43 &amp; """", ""),
    IF(W43&lt;&gt;"", """" &amp; W43 &amp; """", ""),
    IF(X43&lt;&gt;"", """" &amp; X43 &amp; """", "")
) &amp; "]"</f>
        <v>["ENA", "Organizational", "Identifiers"]</v>
      </c>
      <c r="Z43" s="54"/>
      <c r="AA43" s="52" t="s">
        <v>71</v>
      </c>
      <c r="AB43" s="54" t="s">
        <v>337</v>
      </c>
      <c r="AC43" s="54"/>
      <c r="AD43" s="54"/>
      <c r="AE43" s="54"/>
      <c r="AF43" s="54"/>
      <c r="AG43" s="54"/>
      <c r="AH43" s="54"/>
      <c r="AI43" s="54"/>
      <c r="AJ43" s="54"/>
      <c r="AK43" s="54"/>
      <c r="AL43" s="54"/>
      <c r="AM43" s="54"/>
      <c r="AN43" s="54"/>
      <c r="AO43" s="54"/>
      <c r="AP43" s="54"/>
      <c r="AQ43" s="54"/>
      <c r="AR43" s="54"/>
      <c r="AS43" s="54"/>
      <c r="AT43" s="54"/>
      <c r="AU43" s="55"/>
      <c r="AV43" s="54"/>
      <c r="AW43" s="52" t="s">
        <v>76</v>
      </c>
      <c r="AX43" s="52" t="s">
        <v>77</v>
      </c>
      <c r="AY43" s="54"/>
      <c r="AZ43" s="54"/>
      <c r="BA43" s="54"/>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row>
    <row r="44" spans="1:180" s="59" customFormat="1" ht="25.5" customHeight="1">
      <c r="A44" s="51" t="s">
        <v>444</v>
      </c>
      <c r="B44" s="51" t="s">
        <v>445</v>
      </c>
      <c r="C44" s="52" t="s">
        <v>446</v>
      </c>
      <c r="D44" s="71" t="s">
        <v>447</v>
      </c>
      <c r="E44" s="54" t="s">
        <v>76</v>
      </c>
      <c r="F44" s="54" t="s">
        <v>154</v>
      </c>
      <c r="G44" s="54" t="s">
        <v>448</v>
      </c>
      <c r="H44" s="54"/>
      <c r="I44" s="54"/>
      <c r="J44" s="54"/>
      <c r="K44" s="54"/>
      <c r="L44" s="54"/>
      <c r="M44" s="54"/>
      <c r="N44" s="54" t="s">
        <v>448</v>
      </c>
      <c r="O44" s="54" t="s">
        <v>448</v>
      </c>
      <c r="P44" s="54"/>
      <c r="Q44" s="54"/>
      <c r="R44" s="54"/>
      <c r="S44" s="54"/>
      <c r="T44" s="53" t="s">
        <v>110</v>
      </c>
      <c r="U44" s="53" t="s">
        <v>111</v>
      </c>
      <c r="V44" s="52" t="s">
        <v>204</v>
      </c>
      <c r="W44" s="52" t="s">
        <v>437</v>
      </c>
      <c r="X44" s="52"/>
      <c r="Y44" s="54" t="str">
        <f>"[" &amp; _xlfn.TEXTJOIN(", ", TRUE,
    IF(G44&lt;&gt;"", """" &amp; G$1 &amp; """", ""),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T44 &amp; """", ""),
    IF(U44&lt;&gt;"", """" &amp; U44 &amp; """", ""),
    IF(V44&lt;&gt;"", """" &amp; V44 &amp; """", ""),
    IF(W44&lt;&gt;"", """" &amp; W44 &amp; """", ""),
    IF(X44&lt;&gt;"", """" &amp; X44 &amp; """", "")
) &amp; "]"</f>
        <v>["ENA", "ENA ERC32", "ENA ERC33", "ENA Sample", "VJDB Sample", "Host", "Clinical"]</v>
      </c>
      <c r="Z44" s="54"/>
      <c r="AA44" s="52"/>
      <c r="AB44" s="54" t="s">
        <v>337</v>
      </c>
      <c r="AC44" s="54"/>
      <c r="AD44" s="54"/>
      <c r="AE44" s="54"/>
      <c r="AF44" s="54"/>
      <c r="AG44" s="54"/>
      <c r="AH44" s="54"/>
      <c r="AI44" s="54"/>
      <c r="AJ44" s="54"/>
      <c r="AK44" s="54"/>
      <c r="AL44" s="54"/>
      <c r="AM44" s="54" t="s">
        <v>449</v>
      </c>
      <c r="AN44" s="54"/>
      <c r="AO44" s="54"/>
      <c r="AP44" s="54" t="s">
        <v>449</v>
      </c>
      <c r="AQ44" s="54"/>
      <c r="AR44" s="54" t="s">
        <v>145</v>
      </c>
      <c r="AS44" s="54" t="s">
        <v>186</v>
      </c>
      <c r="AT44" s="54" t="s">
        <v>186</v>
      </c>
      <c r="AU44" s="55" t="s">
        <v>450</v>
      </c>
      <c r="AV44" s="54" t="s">
        <v>393</v>
      </c>
      <c r="AW44" s="52" t="s">
        <v>148</v>
      </c>
      <c r="AX44" s="52" t="s">
        <v>149</v>
      </c>
      <c r="AY44" s="54"/>
      <c r="AZ44" s="54"/>
      <c r="BA44" s="54"/>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row>
    <row r="45" spans="1:180" s="59" customFormat="1" ht="25.5" customHeight="1">
      <c r="A45" s="51" t="s">
        <v>451</v>
      </c>
      <c r="B45" s="51" t="s">
        <v>452</v>
      </c>
      <c r="C45" s="52" t="s">
        <v>453</v>
      </c>
      <c r="D45" s="71" t="s">
        <v>454</v>
      </c>
      <c r="E45" s="54" t="s">
        <v>76</v>
      </c>
      <c r="F45" s="54" t="s">
        <v>154</v>
      </c>
      <c r="G45" s="54"/>
      <c r="H45" s="54"/>
      <c r="I45" s="54"/>
      <c r="J45" s="54"/>
      <c r="K45" s="54"/>
      <c r="L45" s="54"/>
      <c r="M45" s="54"/>
      <c r="N45" s="54"/>
      <c r="O45" s="54"/>
      <c r="P45" s="54"/>
      <c r="Q45" s="54"/>
      <c r="R45" s="54"/>
      <c r="S45" s="54"/>
      <c r="T45" s="53"/>
      <c r="U45" s="53"/>
      <c r="V45" s="52" t="s">
        <v>204</v>
      </c>
      <c r="W45" s="52" t="s">
        <v>437</v>
      </c>
      <c r="X45" s="52"/>
      <c r="Y45" s="54" t="str">
        <f>"[" &amp; _xlfn.TEXTJOIN(", ", TRUE,
    IF(G45&lt;&gt;"", """" &amp; G$1 &amp; """", ""),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T45 &amp; """", ""),
    IF(U45&lt;&gt;"", """" &amp; U45 &amp; """", ""),
    IF(V45&lt;&gt;"", """" &amp; V45 &amp; """", ""),
    IF(W45&lt;&gt;"", """" &amp; W45 &amp; """", ""),
    IF(X45&lt;&gt;"", """" &amp; X45 &amp; """", "")
) &amp; "]"</f>
        <v>["Host", "Clinical"]</v>
      </c>
      <c r="Z45" s="54"/>
      <c r="AA45" s="52" t="s">
        <v>351</v>
      </c>
      <c r="AB45" s="54" t="s">
        <v>337</v>
      </c>
      <c r="AC45" s="54"/>
      <c r="AD45" s="54"/>
      <c r="AE45" s="54"/>
      <c r="AF45" s="54"/>
      <c r="AG45" s="54"/>
      <c r="AH45" s="54"/>
      <c r="AI45" s="54"/>
      <c r="AJ45" s="54"/>
      <c r="AK45" s="54"/>
      <c r="AL45" s="54"/>
      <c r="AM45" s="54"/>
      <c r="AN45" s="54"/>
      <c r="AO45" s="54"/>
      <c r="AP45" s="54"/>
      <c r="AQ45" s="54"/>
      <c r="AR45" s="54"/>
      <c r="AS45" s="54"/>
      <c r="AT45" s="54"/>
      <c r="AU45" s="55"/>
      <c r="AV45" s="54"/>
      <c r="AW45" s="52" t="s">
        <v>76</v>
      </c>
      <c r="AX45" s="52" t="s">
        <v>132</v>
      </c>
      <c r="AY45" s="54"/>
      <c r="AZ45" s="54"/>
      <c r="BA45" s="54"/>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row>
    <row r="46" spans="1:180" s="59" customFormat="1" ht="25.5" customHeight="1">
      <c r="A46" s="51" t="s">
        <v>455</v>
      </c>
      <c r="B46" s="51" t="s">
        <v>456</v>
      </c>
      <c r="C46" s="52" t="s">
        <v>457</v>
      </c>
      <c r="D46" s="71" t="s">
        <v>458</v>
      </c>
      <c r="E46" s="54" t="s">
        <v>76</v>
      </c>
      <c r="F46" s="54" t="s">
        <v>154</v>
      </c>
      <c r="G46" s="54" t="s">
        <v>459</v>
      </c>
      <c r="H46" s="54"/>
      <c r="I46" s="54"/>
      <c r="J46" s="54"/>
      <c r="K46" s="54"/>
      <c r="L46" s="54"/>
      <c r="M46" s="54"/>
      <c r="N46" s="54" t="s">
        <v>459</v>
      </c>
      <c r="O46" s="54" t="s">
        <v>459</v>
      </c>
      <c r="P46" s="54"/>
      <c r="Q46" s="54"/>
      <c r="R46" s="54"/>
      <c r="S46" s="54"/>
      <c r="T46" s="53" t="s">
        <v>110</v>
      </c>
      <c r="U46" s="53" t="s">
        <v>111</v>
      </c>
      <c r="V46" s="52" t="s">
        <v>204</v>
      </c>
      <c r="W46" s="52" t="s">
        <v>437</v>
      </c>
      <c r="X46" s="52"/>
      <c r="Y46" s="54" t="str">
        <f>"[" &amp; _xlfn.TEXTJOIN(", ", TRUE,
    IF(G46&lt;&gt;"", """" &amp; G$1 &amp; """", ""),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T46 &amp; """", ""),
    IF(U46&lt;&gt;"", """" &amp; U46 &amp; """", ""),
    IF(V46&lt;&gt;"", """" &amp; V46 &amp; """", ""),
    IF(W46&lt;&gt;"", """" &amp; W46 &amp; """", ""),
    IF(X46&lt;&gt;"", """" &amp; X46 &amp; """", "")
) &amp; "]"</f>
        <v>["ENA", "ENA ERC32", "ENA ERC33", "ENA Sample", "VJDB Sample", "Host", "Clinical"]</v>
      </c>
      <c r="Z46" s="54"/>
      <c r="AA46" s="52"/>
      <c r="AB46" s="54" t="s">
        <v>337</v>
      </c>
      <c r="AC46" s="54"/>
      <c r="AD46" s="54"/>
      <c r="AE46" s="54"/>
      <c r="AF46" s="54"/>
      <c r="AG46" s="54"/>
      <c r="AH46" s="54"/>
      <c r="AI46" s="54"/>
      <c r="AJ46" s="54"/>
      <c r="AK46" s="54"/>
      <c r="AL46" s="54"/>
      <c r="AM46" s="54" t="s">
        <v>460</v>
      </c>
      <c r="AN46" s="54"/>
      <c r="AO46" s="54"/>
      <c r="AP46" s="54" t="s">
        <v>460</v>
      </c>
      <c r="AQ46" s="54"/>
      <c r="AR46" s="54" t="s">
        <v>145</v>
      </c>
      <c r="AS46" s="54" t="s">
        <v>186</v>
      </c>
      <c r="AT46" s="54" t="s">
        <v>186</v>
      </c>
      <c r="AU46" s="55" t="s">
        <v>461</v>
      </c>
      <c r="AV46" s="54" t="s">
        <v>393</v>
      </c>
      <c r="AW46" s="52" t="s">
        <v>148</v>
      </c>
      <c r="AX46" s="52" t="s">
        <v>149</v>
      </c>
      <c r="AY46" s="54"/>
      <c r="AZ46" s="54"/>
      <c r="BA46" s="54"/>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row>
    <row r="47" spans="1:180" s="59" customFormat="1" ht="25.5" customHeight="1">
      <c r="A47" s="51" t="s">
        <v>462</v>
      </c>
      <c r="B47" s="51" t="s">
        <v>463</v>
      </c>
      <c r="C47" s="52" t="s">
        <v>464</v>
      </c>
      <c r="D47" s="71" t="s">
        <v>465</v>
      </c>
      <c r="E47" s="54" t="s">
        <v>76</v>
      </c>
      <c r="F47" s="54" t="s">
        <v>154</v>
      </c>
      <c r="G47" s="54" t="s">
        <v>466</v>
      </c>
      <c r="H47" s="54"/>
      <c r="I47" s="54"/>
      <c r="J47" s="54"/>
      <c r="K47" s="54"/>
      <c r="L47" s="54"/>
      <c r="M47" s="54"/>
      <c r="N47" s="54"/>
      <c r="O47" s="54"/>
      <c r="P47" s="54"/>
      <c r="Q47" s="54"/>
      <c r="R47" s="54"/>
      <c r="S47" s="54"/>
      <c r="T47" s="53"/>
      <c r="U47" s="53"/>
      <c r="V47" s="52" t="s">
        <v>204</v>
      </c>
      <c r="W47" s="52" t="s">
        <v>437</v>
      </c>
      <c r="X47" s="52"/>
      <c r="Y47" s="54" t="str">
        <f>"[" &amp; _xlfn.TEXTJOIN(", ", TRUE,
    IF(G47&lt;&gt;"", """" &amp; G$1 &amp; """", ""),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T47 &amp; """", ""),
    IF(U47&lt;&gt;"", """" &amp; U47 &amp; """", ""),
    IF(V47&lt;&gt;"", """" &amp; V47 &amp; """", ""),
    IF(W47&lt;&gt;"", """" &amp; W47 &amp; """", ""),
    IF(X47&lt;&gt;"", """" &amp; X47 &amp; """", "")
) &amp; "]"</f>
        <v>["ENA", "Host", "Clinical"]</v>
      </c>
      <c r="Z47" s="54"/>
      <c r="AA47" s="52"/>
      <c r="AB47" s="54" t="s">
        <v>337</v>
      </c>
      <c r="AC47" s="54"/>
      <c r="AD47" s="54"/>
      <c r="AE47" s="54"/>
      <c r="AF47" s="54"/>
      <c r="AG47" s="54"/>
      <c r="AH47" s="54"/>
      <c r="AI47" s="54"/>
      <c r="AJ47" s="54"/>
      <c r="AK47" s="54"/>
      <c r="AL47" s="54"/>
      <c r="AM47" s="54"/>
      <c r="AN47" s="54"/>
      <c r="AO47" s="54"/>
      <c r="AP47" s="54"/>
      <c r="AQ47" s="54"/>
      <c r="AR47" s="54"/>
      <c r="AS47" s="54" t="s">
        <v>236</v>
      </c>
      <c r="AT47" s="54" t="s">
        <v>236</v>
      </c>
      <c r="AU47" s="55" t="s">
        <v>467</v>
      </c>
      <c r="AV47" s="54" t="s">
        <v>210</v>
      </c>
      <c r="AW47" s="52" t="s">
        <v>211</v>
      </c>
      <c r="AX47" s="52" t="s">
        <v>77</v>
      </c>
      <c r="AY47" s="54"/>
      <c r="AZ47" s="54"/>
      <c r="BA47" s="54"/>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row>
    <row r="48" spans="1:180" s="59" customFormat="1" ht="25.5" customHeight="1">
      <c r="A48" s="51" t="s">
        <v>468</v>
      </c>
      <c r="B48" s="51" t="s">
        <v>469</v>
      </c>
      <c r="C48" s="52" t="s">
        <v>470</v>
      </c>
      <c r="D48" s="71" t="s">
        <v>471</v>
      </c>
      <c r="E48" s="54" t="s">
        <v>76</v>
      </c>
      <c r="F48" s="54" t="s">
        <v>64</v>
      </c>
      <c r="G48" s="54"/>
      <c r="H48" s="54"/>
      <c r="I48" s="54"/>
      <c r="J48" s="54"/>
      <c r="K48" s="54"/>
      <c r="L48" s="54"/>
      <c r="M48" s="54" t="s">
        <v>472</v>
      </c>
      <c r="N48" s="54"/>
      <c r="O48" s="54"/>
      <c r="P48" s="54"/>
      <c r="Q48" s="54"/>
      <c r="R48" s="54"/>
      <c r="S48" s="54"/>
      <c r="T48" s="53"/>
      <c r="U48" s="53"/>
      <c r="V48" s="52" t="s">
        <v>204</v>
      </c>
      <c r="W48" s="52" t="s">
        <v>207</v>
      </c>
      <c r="X48" s="52"/>
      <c r="Y48" s="54" t="str">
        <f>"[" &amp; _xlfn.TEXTJOIN(", ", TRUE,
    IF(G48&lt;&gt;"", """" &amp; G$1 &amp; """", ""),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T48 &amp; """", ""),
    IF(U48&lt;&gt;"", """" &amp; U48 &amp; """", ""),
    IF(V48&lt;&gt;"", """" &amp; V48 &amp; """", ""),
    IF(W48&lt;&gt;"", """" &amp; W48 &amp; """", ""),
    IF(X48&lt;&gt;"", """" &amp; X48 &amp; """", "")
) &amp; "]"</f>
        <v>["BV-BRC", "Host", "Host Info"]</v>
      </c>
      <c r="Z48" s="54" t="s">
        <v>359</v>
      </c>
      <c r="AA48" s="52"/>
      <c r="AB48" s="54"/>
      <c r="AC48" s="54"/>
      <c r="AD48" s="54"/>
      <c r="AE48" s="54"/>
      <c r="AF48" s="54"/>
      <c r="AG48" s="54" t="s">
        <v>207</v>
      </c>
      <c r="AH48" s="54"/>
      <c r="AI48" s="54" t="s">
        <v>473</v>
      </c>
      <c r="AJ48" s="54" t="s">
        <v>75</v>
      </c>
      <c r="AK48" s="54"/>
      <c r="AL48" s="54"/>
      <c r="AM48" s="54"/>
      <c r="AN48" s="54"/>
      <c r="AO48" s="54"/>
      <c r="AP48" s="54"/>
      <c r="AQ48" s="54"/>
      <c r="AR48" s="54"/>
      <c r="AS48" s="54"/>
      <c r="AT48" s="54"/>
      <c r="AU48" s="55" t="s">
        <v>474</v>
      </c>
      <c r="AV48" s="54" t="s">
        <v>475</v>
      </c>
      <c r="AW48" s="52" t="s">
        <v>211</v>
      </c>
      <c r="AX48" s="52" t="s">
        <v>132</v>
      </c>
      <c r="AY48" s="54"/>
      <c r="AZ48" s="54"/>
      <c r="BA48" s="54"/>
      <c r="BB48" s="58" t="s">
        <v>80</v>
      </c>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row>
    <row r="49" spans="1:180" s="59" customFormat="1" ht="25.5" customHeight="1">
      <c r="A49" s="51" t="s">
        <v>476</v>
      </c>
      <c r="B49" s="51" t="s">
        <v>477</v>
      </c>
      <c r="C49" s="52" t="s">
        <v>478</v>
      </c>
      <c r="D49" s="71" t="s">
        <v>479</v>
      </c>
      <c r="E49" s="54" t="s">
        <v>76</v>
      </c>
      <c r="F49" s="54" t="s">
        <v>154</v>
      </c>
      <c r="G49" s="54" t="s">
        <v>480</v>
      </c>
      <c r="H49" s="54"/>
      <c r="I49" s="54"/>
      <c r="J49" s="54"/>
      <c r="K49" s="54"/>
      <c r="L49" s="54"/>
      <c r="M49" s="54"/>
      <c r="N49" s="54" t="s">
        <v>480</v>
      </c>
      <c r="O49" s="54" t="s">
        <v>480</v>
      </c>
      <c r="P49" s="54"/>
      <c r="Q49" s="54"/>
      <c r="R49" s="54"/>
      <c r="S49" s="54"/>
      <c r="T49" s="53" t="s">
        <v>110</v>
      </c>
      <c r="U49" s="53" t="s">
        <v>111</v>
      </c>
      <c r="V49" s="52" t="s">
        <v>204</v>
      </c>
      <c r="W49" s="52" t="s">
        <v>123</v>
      </c>
      <c r="X49" s="52"/>
      <c r="Y49" s="54" t="str">
        <f>"[" &amp; _xlfn.TEXTJOIN(", ", TRUE,
    IF(G49&lt;&gt;"", """" &amp; G$1 &amp; """", ""),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T49 &amp; """", ""),
    IF(U49&lt;&gt;"", """" &amp; U49 &amp; """", ""),
    IF(V49&lt;&gt;"", """" &amp; V49 &amp; """", ""),
    IF(W49&lt;&gt;"", """" &amp; W49 &amp; """", ""),
    IF(X49&lt;&gt;"", """" &amp; X49 &amp; """", "")
) &amp; "]"</f>
        <v>["ENA", "ENA ERC32", "ENA ERC33", "ENA Sample", "VJDB Sample", "Host", "Collection"]</v>
      </c>
      <c r="Z49" s="54"/>
      <c r="AA49" s="52"/>
      <c r="AB49" s="54" t="s">
        <v>337</v>
      </c>
      <c r="AC49" s="54"/>
      <c r="AD49" s="54"/>
      <c r="AE49" s="54"/>
      <c r="AF49" s="54"/>
      <c r="AG49" s="54"/>
      <c r="AH49" s="54"/>
      <c r="AI49" s="54"/>
      <c r="AJ49" s="54"/>
      <c r="AK49" s="54"/>
      <c r="AL49" s="54"/>
      <c r="AM49" s="54" t="s">
        <v>481</v>
      </c>
      <c r="AN49" s="54"/>
      <c r="AO49" s="54"/>
      <c r="AP49" s="54" t="s">
        <v>481</v>
      </c>
      <c r="AQ49" s="54"/>
      <c r="AR49" s="54" t="s">
        <v>145</v>
      </c>
      <c r="AS49" s="54" t="s">
        <v>186</v>
      </c>
      <c r="AT49" s="54" t="s">
        <v>186</v>
      </c>
      <c r="AU49" s="55" t="s">
        <v>482</v>
      </c>
      <c r="AV49" s="54" t="s">
        <v>393</v>
      </c>
      <c r="AW49" s="52" t="s">
        <v>148</v>
      </c>
      <c r="AX49" s="52" t="s">
        <v>149</v>
      </c>
      <c r="AY49" s="54"/>
      <c r="AZ49" s="54"/>
      <c r="BA49" s="54"/>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c r="CH49" s="50"/>
      <c r="CI49" s="50"/>
      <c r="CJ49" s="50"/>
      <c r="CK49" s="50"/>
      <c r="CL49" s="50"/>
      <c r="CM49" s="50"/>
      <c r="CN49" s="50"/>
      <c r="CO49" s="50"/>
      <c r="CP49" s="50"/>
      <c r="CQ49" s="50"/>
      <c r="CR49" s="50"/>
      <c r="CS49" s="50"/>
      <c r="CT49" s="50"/>
      <c r="CU49" s="50"/>
      <c r="CV49" s="50"/>
      <c r="CW49" s="50"/>
      <c r="CX49" s="50"/>
      <c r="CY49" s="50"/>
      <c r="CZ49" s="50"/>
      <c r="DA49" s="50"/>
      <c r="DB49" s="50"/>
      <c r="DC49" s="50"/>
      <c r="DD49" s="50"/>
      <c r="DE49" s="50"/>
      <c r="DF49" s="50"/>
      <c r="DG49" s="50"/>
      <c r="DH49" s="50"/>
      <c r="DI49" s="50"/>
      <c r="DJ49" s="50"/>
      <c r="DK49" s="50"/>
      <c r="DL49" s="50"/>
      <c r="DM49" s="50"/>
      <c r="DN49" s="50"/>
      <c r="DO49" s="50"/>
      <c r="DP49" s="50"/>
      <c r="DQ49" s="50"/>
      <c r="DR49" s="50"/>
      <c r="DS49" s="50"/>
      <c r="DT49" s="50"/>
      <c r="DU49" s="50"/>
      <c r="DV49" s="50"/>
      <c r="DW49" s="50"/>
      <c r="DX49" s="50"/>
      <c r="DY49" s="50"/>
      <c r="DZ49" s="50"/>
      <c r="EA49" s="50"/>
      <c r="EB49" s="50"/>
      <c r="EC49" s="50"/>
      <c r="ED49" s="50"/>
      <c r="EE49" s="50"/>
      <c r="EF49" s="50"/>
      <c r="EG49" s="50"/>
      <c r="EH49" s="50"/>
      <c r="EI49" s="50"/>
      <c r="EJ49" s="50"/>
      <c r="EK49" s="50"/>
      <c r="EL49" s="50"/>
      <c r="EM49" s="50"/>
      <c r="EN49" s="50"/>
      <c r="EO49" s="50"/>
      <c r="EP49" s="50"/>
      <c r="EQ49" s="50"/>
      <c r="ER49" s="50"/>
      <c r="ES49" s="50"/>
      <c r="ET49" s="50"/>
      <c r="EU49" s="50"/>
      <c r="EV49" s="50"/>
      <c r="EW49" s="50"/>
      <c r="EX49" s="50"/>
      <c r="EY49" s="50"/>
      <c r="EZ49" s="50"/>
      <c r="FA49" s="50"/>
      <c r="FB49" s="50"/>
      <c r="FC49" s="50"/>
      <c r="FD49" s="50"/>
      <c r="FE49" s="50"/>
      <c r="FF49" s="50"/>
      <c r="FG49" s="50"/>
      <c r="FH49" s="50"/>
      <c r="FI49" s="50"/>
      <c r="FJ49" s="50"/>
      <c r="FK49" s="50"/>
      <c r="FL49" s="50"/>
      <c r="FM49" s="50"/>
      <c r="FN49" s="50"/>
      <c r="FO49" s="50"/>
      <c r="FP49" s="50"/>
      <c r="FQ49" s="50"/>
      <c r="FR49" s="50"/>
      <c r="FS49" s="50"/>
      <c r="FT49" s="50"/>
      <c r="FU49" s="50"/>
      <c r="FV49" s="50"/>
      <c r="FW49" s="50"/>
    </row>
    <row r="50" spans="1:180" s="59" customFormat="1" ht="25.5" customHeight="1">
      <c r="A50" s="51" t="s">
        <v>483</v>
      </c>
      <c r="B50" s="51" t="s">
        <v>484</v>
      </c>
      <c r="C50" s="52" t="s">
        <v>485</v>
      </c>
      <c r="D50" s="71" t="s">
        <v>486</v>
      </c>
      <c r="E50" s="54" t="s">
        <v>76</v>
      </c>
      <c r="F50" s="54" t="s">
        <v>342</v>
      </c>
      <c r="G50" s="54"/>
      <c r="H50" s="54"/>
      <c r="I50" s="54"/>
      <c r="J50" s="54"/>
      <c r="K50" s="54"/>
      <c r="L50" s="54"/>
      <c r="M50" s="54" t="s">
        <v>487</v>
      </c>
      <c r="N50" s="54"/>
      <c r="O50" s="54"/>
      <c r="P50" s="54"/>
      <c r="Q50" s="54"/>
      <c r="R50" s="54"/>
      <c r="S50" s="54"/>
      <c r="T50" s="53"/>
      <c r="U50" s="53"/>
      <c r="V50" s="52" t="s">
        <v>204</v>
      </c>
      <c r="W50" s="52" t="s">
        <v>207</v>
      </c>
      <c r="X50" s="52"/>
      <c r="Y50" s="54" t="str">
        <f>"[" &amp; _xlfn.TEXTJOIN(", ", TRUE,
    IF(G50&lt;&gt;"", """" &amp; G$1 &amp; """", ""),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T50 &amp; """", ""),
    IF(U50&lt;&gt;"", """" &amp; U50 &amp; """", ""),
    IF(V50&lt;&gt;"", """" &amp; V50 &amp; """", ""),
    IF(W50&lt;&gt;"", """" &amp; W50 &amp; """", ""),
    IF(X50&lt;&gt;"", """" &amp; X50 &amp; """", "")
) &amp; "]"</f>
        <v>["BV-BRC", "Host", "Host Info"]</v>
      </c>
      <c r="Z50" s="54" t="s">
        <v>359</v>
      </c>
      <c r="AA50" s="52" t="s">
        <v>488</v>
      </c>
      <c r="AB50" s="54" t="s">
        <v>489</v>
      </c>
      <c r="AC50" s="54"/>
      <c r="AD50" s="54"/>
      <c r="AE50" s="54"/>
      <c r="AF50" s="54"/>
      <c r="AG50" s="54" t="s">
        <v>207</v>
      </c>
      <c r="AH50" s="54"/>
      <c r="AI50" s="54" t="s">
        <v>490</v>
      </c>
      <c r="AJ50" s="54" t="s">
        <v>75</v>
      </c>
      <c r="AK50" s="54"/>
      <c r="AL50" s="54" t="s">
        <v>491</v>
      </c>
      <c r="AM50" s="54"/>
      <c r="AN50" s="54"/>
      <c r="AO50" s="54"/>
      <c r="AP50" s="54"/>
      <c r="AQ50" s="54"/>
      <c r="AR50" s="54"/>
      <c r="AS50" s="54"/>
      <c r="AT50" s="54"/>
      <c r="AU50" s="55"/>
      <c r="AV50" s="54"/>
      <c r="AW50" s="52" t="s">
        <v>211</v>
      </c>
      <c r="AX50" s="52" t="s">
        <v>132</v>
      </c>
      <c r="AY50" s="54"/>
      <c r="AZ50" s="54"/>
      <c r="BA50" s="54"/>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c r="CH50" s="50"/>
      <c r="CI50" s="50"/>
      <c r="CJ50" s="50"/>
      <c r="CK50" s="50"/>
      <c r="CL50" s="50"/>
      <c r="CM50" s="50"/>
      <c r="CN50" s="50"/>
      <c r="CO50" s="50"/>
      <c r="CP50" s="50"/>
      <c r="CQ50" s="50"/>
      <c r="CR50" s="50"/>
      <c r="CS50" s="50"/>
      <c r="CT50" s="50"/>
      <c r="CU50" s="50"/>
      <c r="CV50" s="50"/>
      <c r="CW50" s="50"/>
      <c r="CX50" s="50"/>
      <c r="CY50" s="50"/>
      <c r="CZ50" s="50"/>
      <c r="DA50" s="50"/>
      <c r="DB50" s="50"/>
      <c r="DC50" s="50"/>
      <c r="DD50" s="50"/>
      <c r="DE50" s="50"/>
      <c r="DF50" s="50"/>
      <c r="DG50" s="50"/>
      <c r="DH50" s="50"/>
      <c r="DI50" s="50"/>
      <c r="DJ50" s="50"/>
      <c r="DK50" s="50"/>
      <c r="DL50" s="50"/>
      <c r="DM50" s="50"/>
      <c r="DN50" s="50"/>
      <c r="DO50" s="50"/>
      <c r="DP50" s="50"/>
      <c r="DQ50" s="50"/>
      <c r="DR50" s="50"/>
      <c r="DS50" s="50"/>
      <c r="DT50" s="50"/>
      <c r="DU50" s="50"/>
      <c r="DV50" s="50"/>
      <c r="DW50" s="50"/>
      <c r="DX50" s="50"/>
      <c r="DY50" s="50"/>
      <c r="DZ50" s="50"/>
      <c r="EA50" s="50"/>
      <c r="EB50" s="50"/>
      <c r="EC50" s="50"/>
      <c r="ED50" s="50"/>
      <c r="EE50" s="50"/>
      <c r="EF50" s="50"/>
      <c r="EG50" s="50"/>
      <c r="EH50" s="50"/>
      <c r="EI50" s="50"/>
      <c r="EJ50" s="50"/>
      <c r="EK50" s="50"/>
      <c r="EL50" s="50"/>
      <c r="EM50" s="50"/>
      <c r="EN50" s="50"/>
      <c r="EO50" s="50"/>
      <c r="EP50" s="50"/>
      <c r="EQ50" s="50"/>
      <c r="ER50" s="50"/>
      <c r="ES50" s="50"/>
      <c r="ET50" s="50"/>
      <c r="EU50" s="50"/>
      <c r="EV50" s="50"/>
      <c r="EW50" s="50"/>
      <c r="EX50" s="50"/>
      <c r="EY50" s="50"/>
      <c r="EZ50" s="50"/>
      <c r="FA50" s="50"/>
      <c r="FB50" s="50"/>
      <c r="FC50" s="50"/>
      <c r="FD50" s="50"/>
      <c r="FE50" s="50"/>
      <c r="FF50" s="50"/>
      <c r="FG50" s="50"/>
      <c r="FH50" s="50"/>
      <c r="FI50" s="50"/>
      <c r="FJ50" s="50"/>
      <c r="FK50" s="50"/>
      <c r="FL50" s="50"/>
      <c r="FM50" s="50"/>
      <c r="FN50" s="50"/>
      <c r="FO50" s="50"/>
      <c r="FP50" s="50"/>
      <c r="FQ50" s="50"/>
      <c r="FR50" s="50"/>
      <c r="FS50" s="50"/>
      <c r="FT50" s="50"/>
      <c r="FU50" s="50"/>
      <c r="FV50" s="50"/>
      <c r="FW50" s="50"/>
    </row>
    <row r="51" spans="1:180" s="59" customFormat="1" ht="25.5" customHeight="1">
      <c r="A51" s="51" t="s">
        <v>492</v>
      </c>
      <c r="B51" s="51" t="s">
        <v>493</v>
      </c>
      <c r="C51" s="52" t="s">
        <v>494</v>
      </c>
      <c r="D51" s="71" t="s">
        <v>495</v>
      </c>
      <c r="E51" s="54" t="s">
        <v>216</v>
      </c>
      <c r="F51" s="54" t="s">
        <v>342</v>
      </c>
      <c r="G51" s="54"/>
      <c r="H51" s="54"/>
      <c r="I51" s="54" t="s">
        <v>496</v>
      </c>
      <c r="J51" s="54"/>
      <c r="K51" s="54"/>
      <c r="L51" s="54"/>
      <c r="M51" s="54"/>
      <c r="N51" s="54"/>
      <c r="O51" s="54"/>
      <c r="P51" s="54"/>
      <c r="Q51" s="54"/>
      <c r="R51" s="54"/>
      <c r="S51" s="54"/>
      <c r="T51" s="53"/>
      <c r="U51" s="53"/>
      <c r="V51" s="52" t="s">
        <v>204</v>
      </c>
      <c r="W51" s="52" t="s">
        <v>69</v>
      </c>
      <c r="X51" s="52"/>
      <c r="Y51" s="54" t="str">
        <f>"[" &amp; _xlfn.TEXTJOIN(", ", TRUE,
    IF(G51&lt;&gt;"", """" &amp; G$1 &amp; """", ""),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T51 &amp; """", ""),
    IF(U51&lt;&gt;"", """" &amp; U51 &amp; """", ""),
    IF(V51&lt;&gt;"", """" &amp; V51 &amp; """", ""),
    IF(W51&lt;&gt;"", """" &amp; W51 &amp; """", ""),
    IF(X51&lt;&gt;"", """" &amp; X51 &amp; """", "")
) &amp; "]"</f>
        <v>["MIGS-VI", "Host", "Identifiers"]</v>
      </c>
      <c r="Z51" s="54"/>
      <c r="AA51" s="52" t="s">
        <v>497</v>
      </c>
      <c r="AB51" s="54" t="s">
        <v>337</v>
      </c>
      <c r="AC51" s="54"/>
      <c r="AD51" s="54"/>
      <c r="AE51" s="54"/>
      <c r="AF51" s="54"/>
      <c r="AG51" s="54"/>
      <c r="AH51" s="54"/>
      <c r="AI51" s="54"/>
      <c r="AJ51" s="54"/>
      <c r="AK51" s="54"/>
      <c r="AL51" s="54"/>
      <c r="AM51" s="54"/>
      <c r="AN51" s="54"/>
      <c r="AO51" s="54"/>
      <c r="AP51" s="54"/>
      <c r="AQ51" s="54"/>
      <c r="AR51" s="54"/>
      <c r="AS51" s="54"/>
      <c r="AT51" s="54"/>
      <c r="AU51" s="55"/>
      <c r="AV51" s="54"/>
      <c r="AW51" s="52" t="s">
        <v>76</v>
      </c>
      <c r="AX51" s="52" t="s">
        <v>77</v>
      </c>
      <c r="AY51" s="54"/>
      <c r="AZ51" s="54"/>
      <c r="BA51" s="54"/>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c r="CH51" s="50"/>
      <c r="CI51" s="50"/>
      <c r="CJ51" s="50"/>
      <c r="CK51" s="50"/>
      <c r="CL51" s="50"/>
      <c r="CM51" s="50"/>
      <c r="CN51" s="50"/>
      <c r="CO51" s="50"/>
      <c r="CP51" s="50"/>
      <c r="CQ51" s="50"/>
      <c r="CR51" s="50"/>
      <c r="CS51" s="50"/>
      <c r="CT51" s="50"/>
      <c r="CU51" s="50"/>
      <c r="CV51" s="50"/>
      <c r="CW51" s="50"/>
      <c r="CX51" s="50"/>
      <c r="CY51" s="50"/>
      <c r="CZ51" s="50"/>
      <c r="DA51" s="50"/>
      <c r="DB51" s="50"/>
      <c r="DC51" s="50"/>
      <c r="DD51" s="50"/>
      <c r="DE51" s="50"/>
      <c r="DF51" s="50"/>
      <c r="DG51" s="50"/>
      <c r="DH51" s="50"/>
      <c r="DI51" s="50"/>
      <c r="DJ51" s="50"/>
      <c r="DK51" s="50"/>
      <c r="DL51" s="50"/>
      <c r="DM51" s="50"/>
      <c r="DN51" s="50"/>
      <c r="DO51" s="50"/>
      <c r="DP51" s="50"/>
      <c r="DQ51" s="50"/>
      <c r="DR51" s="50"/>
      <c r="DS51" s="50"/>
      <c r="DT51" s="50"/>
      <c r="DU51" s="50"/>
      <c r="DV51" s="50"/>
      <c r="DW51" s="50"/>
      <c r="DX51" s="50"/>
      <c r="DY51" s="50"/>
      <c r="DZ51" s="50"/>
      <c r="EA51" s="50"/>
      <c r="EB51" s="50"/>
      <c r="EC51" s="50"/>
      <c r="ED51" s="50"/>
      <c r="EE51" s="50"/>
      <c r="EF51" s="50"/>
      <c r="EG51" s="50"/>
      <c r="EH51" s="50"/>
      <c r="EI51" s="50"/>
      <c r="EJ51" s="50"/>
      <c r="EK51" s="50"/>
      <c r="EL51" s="50"/>
      <c r="EM51" s="50"/>
      <c r="EN51" s="50"/>
      <c r="EO51" s="50"/>
      <c r="EP51" s="50"/>
      <c r="EQ51" s="50"/>
      <c r="ER51" s="50"/>
      <c r="ES51" s="50"/>
      <c r="ET51" s="50"/>
      <c r="EU51" s="50"/>
      <c r="EV51" s="50"/>
      <c r="EW51" s="50"/>
      <c r="EX51" s="50"/>
      <c r="EY51" s="50"/>
      <c r="EZ51" s="50"/>
      <c r="FA51" s="50"/>
      <c r="FB51" s="50"/>
      <c r="FC51" s="50"/>
      <c r="FD51" s="50"/>
      <c r="FE51" s="50"/>
      <c r="FF51" s="50"/>
      <c r="FG51" s="50"/>
      <c r="FH51" s="50"/>
      <c r="FI51" s="50"/>
      <c r="FJ51" s="50"/>
      <c r="FK51" s="50"/>
      <c r="FL51" s="50"/>
      <c r="FM51" s="50"/>
      <c r="FN51" s="50"/>
      <c r="FO51" s="50"/>
      <c r="FP51" s="50"/>
      <c r="FQ51" s="50"/>
      <c r="FR51" s="50"/>
      <c r="FS51" s="50"/>
      <c r="FT51" s="50"/>
      <c r="FU51" s="50"/>
      <c r="FV51" s="50"/>
      <c r="FW51" s="50"/>
    </row>
    <row r="52" spans="1:180" s="59" customFormat="1" ht="25.5" customHeight="1">
      <c r="A52" s="51" t="s">
        <v>498</v>
      </c>
      <c r="B52" s="51" t="s">
        <v>499</v>
      </c>
      <c r="C52" s="52" t="s">
        <v>500</v>
      </c>
      <c r="D52" s="71" t="s">
        <v>501</v>
      </c>
      <c r="E52" s="54" t="s">
        <v>76</v>
      </c>
      <c r="F52" s="54" t="s">
        <v>342</v>
      </c>
      <c r="G52" s="54" t="s">
        <v>490</v>
      </c>
      <c r="H52" s="54"/>
      <c r="I52" s="54" t="s">
        <v>496</v>
      </c>
      <c r="J52" s="54"/>
      <c r="K52" s="54"/>
      <c r="L52" s="54"/>
      <c r="M52" s="54"/>
      <c r="N52" s="54"/>
      <c r="O52" s="54"/>
      <c r="P52" s="54"/>
      <c r="Q52" s="54"/>
      <c r="R52" s="54"/>
      <c r="S52" s="54"/>
      <c r="T52" s="53"/>
      <c r="U52" s="53"/>
      <c r="V52" s="52" t="s">
        <v>204</v>
      </c>
      <c r="W52" s="52" t="s">
        <v>207</v>
      </c>
      <c r="X52" s="52"/>
      <c r="Y52" s="54" t="str">
        <f>"[" &amp; _xlfn.TEXTJOIN(", ", TRUE,
    IF(G52&lt;&gt;"", """" &amp; G$1 &amp; """", ""),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T52 &amp; """", ""),
    IF(U52&lt;&gt;"", """" &amp; U52 &amp; """", ""),
    IF(V52&lt;&gt;"", """" &amp; V52 &amp; """", ""),
    IF(W52&lt;&gt;"", """" &amp; W52 &amp; """", ""),
    IF(X52&lt;&gt;"", """" &amp; X52 &amp; """", "")
) &amp; "]"</f>
        <v>["ENA", "MIGS-VI", "Host", "Host Info"]</v>
      </c>
      <c r="Z52" s="54"/>
      <c r="AA52" s="52" t="s">
        <v>497</v>
      </c>
      <c r="AB52" s="54" t="s">
        <v>337</v>
      </c>
      <c r="AC52" s="54"/>
      <c r="AD52" s="54"/>
      <c r="AE52" s="54"/>
      <c r="AF52" s="54"/>
      <c r="AG52" s="54"/>
      <c r="AH52" s="54"/>
      <c r="AI52" s="54"/>
      <c r="AJ52" s="54"/>
      <c r="AK52" s="54"/>
      <c r="AL52" s="54"/>
      <c r="AM52" s="54"/>
      <c r="AN52" s="54"/>
      <c r="AO52" s="54"/>
      <c r="AP52" s="54"/>
      <c r="AQ52" s="54"/>
      <c r="AR52" s="54"/>
      <c r="AS52" s="54" t="s">
        <v>236</v>
      </c>
      <c r="AT52" s="54" t="s">
        <v>236</v>
      </c>
      <c r="AU52" s="55"/>
      <c r="AV52" s="54"/>
      <c r="AW52" s="52" t="s">
        <v>211</v>
      </c>
      <c r="AX52" s="52" t="s">
        <v>77</v>
      </c>
      <c r="AY52" s="54"/>
      <c r="AZ52" s="54"/>
      <c r="BA52" s="54"/>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c r="CH52" s="50"/>
      <c r="CI52" s="50"/>
      <c r="CJ52" s="50"/>
      <c r="CK52" s="50"/>
      <c r="CL52" s="50"/>
      <c r="CM52" s="50"/>
      <c r="CN52" s="50"/>
      <c r="CO52" s="50"/>
      <c r="CP52" s="50"/>
      <c r="CQ52" s="50"/>
      <c r="CR52" s="50"/>
      <c r="CS52" s="50"/>
      <c r="CT52" s="50"/>
      <c r="CU52" s="50"/>
      <c r="CV52" s="50"/>
      <c r="CW52" s="50"/>
      <c r="CX52" s="50"/>
      <c r="CY52" s="50"/>
      <c r="CZ52" s="50"/>
      <c r="DA52" s="50"/>
      <c r="DB52" s="50"/>
      <c r="DC52" s="50"/>
      <c r="DD52" s="50"/>
      <c r="DE52" s="50"/>
      <c r="DF52" s="50"/>
      <c r="DG52" s="50"/>
      <c r="DH52" s="50"/>
      <c r="DI52" s="50"/>
      <c r="DJ52" s="50"/>
      <c r="DK52" s="50"/>
      <c r="DL52" s="50"/>
      <c r="DM52" s="50"/>
      <c r="DN52" s="50"/>
      <c r="DO52" s="50"/>
      <c r="DP52" s="50"/>
      <c r="DQ52" s="50"/>
      <c r="DR52" s="50"/>
      <c r="DS52" s="50"/>
      <c r="DT52" s="50"/>
      <c r="DU52" s="50"/>
      <c r="DV52" s="50"/>
      <c r="DW52" s="50"/>
      <c r="DX52" s="50"/>
      <c r="DY52" s="50"/>
      <c r="DZ52" s="50"/>
      <c r="EA52" s="50"/>
      <c r="EB52" s="50"/>
      <c r="EC52" s="50"/>
      <c r="ED52" s="50"/>
      <c r="EE52" s="50"/>
      <c r="EF52" s="50"/>
      <c r="EG52" s="50"/>
      <c r="EH52" s="50"/>
      <c r="EI52" s="50"/>
      <c r="EJ52" s="50"/>
      <c r="EK52" s="50"/>
      <c r="EL52" s="50"/>
      <c r="EM52" s="50"/>
      <c r="EN52" s="50"/>
      <c r="EO52" s="50"/>
      <c r="EP52" s="50"/>
      <c r="EQ52" s="50"/>
      <c r="ER52" s="50"/>
      <c r="ES52" s="50"/>
      <c r="ET52" s="50"/>
      <c r="EU52" s="50"/>
      <c r="EV52" s="50"/>
      <c r="EW52" s="50"/>
      <c r="EX52" s="50"/>
      <c r="EY52" s="50"/>
      <c r="EZ52" s="50"/>
      <c r="FA52" s="50"/>
      <c r="FB52" s="50"/>
      <c r="FC52" s="50"/>
      <c r="FD52" s="50"/>
      <c r="FE52" s="50"/>
      <c r="FF52" s="50"/>
      <c r="FG52" s="50"/>
      <c r="FH52" s="50"/>
      <c r="FI52" s="50"/>
      <c r="FJ52" s="50"/>
      <c r="FK52" s="50"/>
      <c r="FL52" s="50"/>
      <c r="FM52" s="50"/>
      <c r="FN52" s="50"/>
      <c r="FO52" s="50"/>
      <c r="FP52" s="50"/>
      <c r="FQ52" s="50"/>
      <c r="FR52" s="50"/>
      <c r="FS52" s="50"/>
      <c r="FT52" s="50"/>
      <c r="FU52" s="50"/>
      <c r="FV52" s="50"/>
      <c r="FW52" s="50"/>
    </row>
    <row r="53" spans="1:180" s="59" customFormat="1" ht="25.5" customHeight="1">
      <c r="A53" s="51" t="s">
        <v>502</v>
      </c>
      <c r="B53" s="51" t="s">
        <v>503</v>
      </c>
      <c r="C53" s="52" t="s">
        <v>504</v>
      </c>
      <c r="D53" s="71" t="s">
        <v>505</v>
      </c>
      <c r="E53" s="54" t="s">
        <v>76</v>
      </c>
      <c r="F53" s="54" t="s">
        <v>64</v>
      </c>
      <c r="G53" s="54" t="s">
        <v>506</v>
      </c>
      <c r="H53" s="54"/>
      <c r="I53" s="54" t="s">
        <v>496</v>
      </c>
      <c r="J53" s="54"/>
      <c r="K53" s="54"/>
      <c r="L53" s="54"/>
      <c r="M53" s="54" t="s">
        <v>507</v>
      </c>
      <c r="N53" s="54" t="s">
        <v>506</v>
      </c>
      <c r="O53" s="54" t="s">
        <v>506</v>
      </c>
      <c r="P53" s="54"/>
      <c r="Q53" s="54"/>
      <c r="R53" s="54"/>
      <c r="S53" s="54"/>
      <c r="T53" s="53" t="s">
        <v>110</v>
      </c>
      <c r="U53" s="53" t="s">
        <v>111</v>
      </c>
      <c r="V53" s="52" t="s">
        <v>204</v>
      </c>
      <c r="W53" s="52" t="s">
        <v>207</v>
      </c>
      <c r="X53" s="52"/>
      <c r="Y53" s="54" t="str">
        <f>"[" &amp; _xlfn.TEXTJOIN(", ", TRUE,
    IF(G53&lt;&gt;"", """" &amp; G$1 &amp; """", ""),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T53 &amp; """", ""),
    IF(U53&lt;&gt;"", """" &amp; U53 &amp; """", ""),
    IF(V53&lt;&gt;"", """" &amp; V53 &amp; """", ""),
    IF(W53&lt;&gt;"", """" &amp; W53 &amp; """", ""),
    IF(X53&lt;&gt;"", """" &amp; X53 &amp; """", "")
) &amp; "]"</f>
        <v>["ENA", "MIGS-VI", "BV-BRC", "ENA ERC32", "ENA ERC33", "ENA Sample", "VJDB Sample", "Host", "Host Info"]</v>
      </c>
      <c r="Z53" s="54" t="s">
        <v>359</v>
      </c>
      <c r="AA53" s="52"/>
      <c r="AB53" s="54"/>
      <c r="AC53" s="54"/>
      <c r="AD53" s="54"/>
      <c r="AE53" s="54"/>
      <c r="AF53" s="54"/>
      <c r="AG53" s="54" t="s">
        <v>207</v>
      </c>
      <c r="AH53" s="54"/>
      <c r="AI53" s="54" t="s">
        <v>508</v>
      </c>
      <c r="AJ53" s="54" t="s">
        <v>75</v>
      </c>
      <c r="AK53" s="54"/>
      <c r="AL53" s="54" t="s">
        <v>509</v>
      </c>
      <c r="AM53" s="54" t="s">
        <v>510</v>
      </c>
      <c r="AN53" s="54"/>
      <c r="AO53" s="54"/>
      <c r="AP53" s="54" t="s">
        <v>510</v>
      </c>
      <c r="AQ53" s="54"/>
      <c r="AR53" s="54" t="s">
        <v>129</v>
      </c>
      <c r="AS53" s="54" t="s">
        <v>101</v>
      </c>
      <c r="AT53" s="54" t="s">
        <v>101</v>
      </c>
      <c r="AU53" s="55" t="s">
        <v>511</v>
      </c>
      <c r="AV53" s="54" t="s">
        <v>512</v>
      </c>
      <c r="AW53" s="52" t="s">
        <v>211</v>
      </c>
      <c r="AX53" s="52" t="s">
        <v>77</v>
      </c>
      <c r="AY53" s="54"/>
      <c r="AZ53" s="54"/>
      <c r="BA53" s="54"/>
      <c r="BB53" s="58" t="s">
        <v>80</v>
      </c>
      <c r="BC53" s="58" t="s">
        <v>80</v>
      </c>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c r="CH53" s="50"/>
      <c r="CI53" s="50"/>
      <c r="CJ53" s="50"/>
      <c r="CK53" s="50"/>
      <c r="CL53" s="50"/>
      <c r="CM53" s="50"/>
      <c r="CN53" s="50"/>
      <c r="CO53" s="50"/>
      <c r="CP53" s="50"/>
      <c r="CQ53" s="50"/>
      <c r="CR53" s="50"/>
      <c r="CS53" s="50"/>
      <c r="CT53" s="50"/>
      <c r="CU53" s="50"/>
      <c r="CV53" s="50"/>
      <c r="CW53" s="50"/>
      <c r="CX53" s="50"/>
      <c r="CY53" s="50"/>
      <c r="CZ53" s="50"/>
      <c r="DA53" s="50"/>
      <c r="DB53" s="50"/>
      <c r="DC53" s="50"/>
      <c r="DD53" s="50"/>
      <c r="DE53" s="50"/>
      <c r="DF53" s="50"/>
      <c r="DG53" s="50"/>
      <c r="DH53" s="50"/>
      <c r="DI53" s="50"/>
      <c r="DJ53" s="50"/>
      <c r="DK53" s="50"/>
      <c r="DL53" s="50"/>
      <c r="DM53" s="50"/>
      <c r="DN53" s="50"/>
      <c r="DO53" s="50"/>
      <c r="DP53" s="50"/>
      <c r="DQ53" s="50"/>
      <c r="DR53" s="50"/>
      <c r="DS53" s="50"/>
      <c r="DT53" s="50"/>
      <c r="DU53" s="50"/>
      <c r="DV53" s="50"/>
      <c r="DW53" s="50"/>
      <c r="DX53" s="50"/>
      <c r="DY53" s="50"/>
      <c r="DZ53" s="50"/>
      <c r="EA53" s="50"/>
      <c r="EB53" s="50"/>
      <c r="EC53" s="50"/>
      <c r="ED53" s="50"/>
      <c r="EE53" s="50"/>
      <c r="EF53" s="50"/>
      <c r="EG53" s="50"/>
      <c r="EH53" s="50"/>
      <c r="EI53" s="50"/>
      <c r="EJ53" s="50"/>
      <c r="EK53" s="50"/>
      <c r="EL53" s="50"/>
      <c r="EM53" s="50"/>
      <c r="EN53" s="50"/>
      <c r="EO53" s="50"/>
      <c r="EP53" s="50"/>
      <c r="EQ53" s="50"/>
      <c r="ER53" s="50"/>
      <c r="ES53" s="50"/>
      <c r="ET53" s="50"/>
      <c r="EU53" s="50"/>
      <c r="EV53" s="50"/>
      <c r="EW53" s="50"/>
      <c r="EX53" s="50"/>
      <c r="EY53" s="50"/>
      <c r="EZ53" s="50"/>
      <c r="FA53" s="50"/>
      <c r="FB53" s="50"/>
      <c r="FC53" s="50"/>
      <c r="FD53" s="50"/>
      <c r="FE53" s="50"/>
      <c r="FF53" s="50"/>
      <c r="FG53" s="50"/>
      <c r="FH53" s="50"/>
      <c r="FI53" s="50"/>
      <c r="FJ53" s="50"/>
      <c r="FK53" s="50"/>
      <c r="FL53" s="50"/>
      <c r="FM53" s="50"/>
      <c r="FN53" s="50"/>
      <c r="FO53" s="50"/>
      <c r="FP53" s="50"/>
      <c r="FQ53" s="50"/>
      <c r="FR53" s="50"/>
      <c r="FS53" s="50"/>
      <c r="FT53" s="50"/>
      <c r="FU53" s="50"/>
      <c r="FV53" s="50"/>
      <c r="FW53" s="50"/>
    </row>
    <row r="54" spans="1:180" s="59" customFormat="1" ht="25.5" customHeight="1">
      <c r="A54" s="51" t="s">
        <v>513</v>
      </c>
      <c r="B54" s="51" t="s">
        <v>514</v>
      </c>
      <c r="C54" s="52" t="s">
        <v>515</v>
      </c>
      <c r="D54" s="71" t="s">
        <v>516</v>
      </c>
      <c r="E54" s="54" t="s">
        <v>216</v>
      </c>
      <c r="F54" s="54" t="s">
        <v>64</v>
      </c>
      <c r="G54" s="54"/>
      <c r="H54" s="54"/>
      <c r="I54" s="54" t="s">
        <v>496</v>
      </c>
      <c r="J54" s="54"/>
      <c r="K54" s="54"/>
      <c r="L54" s="54"/>
      <c r="M54" s="54"/>
      <c r="N54" s="54"/>
      <c r="O54" s="54"/>
      <c r="P54" s="60" t="s">
        <v>514</v>
      </c>
      <c r="Q54" s="60" t="s">
        <v>514</v>
      </c>
      <c r="R54" s="60" t="s">
        <v>514</v>
      </c>
      <c r="S54" s="54"/>
      <c r="T54" s="53" t="s">
        <v>110</v>
      </c>
      <c r="U54" s="53" t="s">
        <v>111</v>
      </c>
      <c r="V54" s="52" t="s">
        <v>204</v>
      </c>
      <c r="W54" s="52" t="s">
        <v>205</v>
      </c>
      <c r="X54" s="52" t="s">
        <v>517</v>
      </c>
      <c r="Y54" s="54" t="str">
        <f>"[" &amp; _xlfn.TEXTJOIN(", ", TRUE,
    IF(G54&lt;&gt;"", """" &amp; G$1 &amp; """", ""),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T54 &amp; """", ""),
    IF(U54&lt;&gt;"", """" &amp; U54 &amp; """", ""),
    IF(V54&lt;&gt;"", """" &amp; V54 &amp; """", ""),
    IF(W54&lt;&gt;"", """" &amp; W54 &amp; """", ""),
    IF(X54&lt;&gt;"", """" &amp; X54 &amp; """", "")
) &amp; "]"</f>
        <v>["MIGS-VI", "IMG/VR", "PHD", "PhiSpy", "ENA Sample", "VJDB Sample", "Host", "Host Taxonomy", "NCBI Taxonomy"]</v>
      </c>
      <c r="Z54" s="54" t="s">
        <v>13</v>
      </c>
      <c r="AA54" s="52"/>
      <c r="AB54" s="54" t="s">
        <v>337</v>
      </c>
      <c r="AC54" s="54"/>
      <c r="AD54" s="54"/>
      <c r="AE54" s="54"/>
      <c r="AF54" s="54"/>
      <c r="AG54" s="54"/>
      <c r="AH54" s="54"/>
      <c r="AI54" s="54"/>
      <c r="AJ54" s="54"/>
      <c r="AK54" s="54"/>
      <c r="AL54" s="54"/>
      <c r="AM54" s="54"/>
      <c r="AN54" s="54"/>
      <c r="AO54" s="54"/>
      <c r="AP54" s="54" t="s">
        <v>518</v>
      </c>
      <c r="AQ54" s="54"/>
      <c r="AR54" s="54" t="s">
        <v>129</v>
      </c>
      <c r="AS54" s="54"/>
      <c r="AT54" s="54"/>
      <c r="AU54" s="55" t="s">
        <v>519</v>
      </c>
      <c r="AV54" s="54" t="s">
        <v>520</v>
      </c>
      <c r="AW54" s="52" t="s">
        <v>76</v>
      </c>
      <c r="AX54" s="52" t="s">
        <v>77</v>
      </c>
      <c r="AY54" s="54"/>
      <c r="AZ54" s="54"/>
      <c r="BA54" s="54"/>
      <c r="BB54" s="50"/>
      <c r="BC54" s="58" t="s">
        <v>80</v>
      </c>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c r="CH54" s="50"/>
      <c r="CI54" s="50"/>
      <c r="CJ54" s="50"/>
      <c r="CK54" s="50"/>
      <c r="CL54" s="50"/>
      <c r="CM54" s="50"/>
      <c r="CN54" s="50"/>
      <c r="CO54" s="50"/>
      <c r="CP54" s="50"/>
      <c r="CQ54" s="50"/>
      <c r="CR54" s="50"/>
      <c r="CS54" s="50"/>
      <c r="CT54" s="50"/>
      <c r="CU54" s="50"/>
      <c r="CV54" s="50"/>
      <c r="CW54" s="50"/>
      <c r="CX54" s="50"/>
      <c r="CY54" s="50"/>
      <c r="CZ54" s="50"/>
      <c r="DA54" s="50"/>
      <c r="DB54" s="50"/>
      <c r="DC54" s="50"/>
      <c r="DD54" s="50"/>
      <c r="DE54" s="50"/>
      <c r="DF54" s="50"/>
      <c r="DG54" s="50"/>
      <c r="DH54" s="50"/>
      <c r="DI54" s="50"/>
      <c r="DJ54" s="50"/>
      <c r="DK54" s="50"/>
      <c r="DL54" s="50"/>
      <c r="DM54" s="50"/>
      <c r="DN54" s="50"/>
      <c r="DO54" s="50"/>
      <c r="DP54" s="50"/>
      <c r="DQ54" s="50"/>
      <c r="DR54" s="50"/>
      <c r="DS54" s="50"/>
      <c r="DT54" s="50"/>
      <c r="DU54" s="50"/>
      <c r="DV54" s="50"/>
      <c r="DW54" s="50"/>
      <c r="DX54" s="50"/>
      <c r="DY54" s="50"/>
      <c r="DZ54" s="50"/>
      <c r="EA54" s="50"/>
      <c r="EB54" s="50"/>
      <c r="EC54" s="50"/>
      <c r="ED54" s="50"/>
      <c r="EE54" s="50"/>
      <c r="EF54" s="50"/>
      <c r="EG54" s="50"/>
      <c r="EH54" s="50"/>
      <c r="EI54" s="50"/>
      <c r="EJ54" s="50"/>
      <c r="EK54" s="50"/>
      <c r="EL54" s="50"/>
      <c r="EM54" s="50"/>
      <c r="EN54" s="50"/>
      <c r="EO54" s="50"/>
      <c r="EP54" s="50"/>
      <c r="EQ54" s="50"/>
      <c r="ER54" s="50"/>
      <c r="ES54" s="50"/>
      <c r="ET54" s="50"/>
      <c r="EU54" s="50"/>
      <c r="EV54" s="50"/>
      <c r="EW54" s="50"/>
      <c r="EX54" s="50"/>
      <c r="EY54" s="50"/>
      <c r="EZ54" s="50"/>
      <c r="FA54" s="50"/>
      <c r="FB54" s="50"/>
      <c r="FC54" s="50"/>
      <c r="FD54" s="50"/>
      <c r="FE54" s="50"/>
      <c r="FF54" s="50"/>
      <c r="FG54" s="50"/>
      <c r="FH54" s="50"/>
      <c r="FI54" s="50"/>
      <c r="FJ54" s="50"/>
      <c r="FK54" s="50"/>
      <c r="FL54" s="50"/>
      <c r="FM54" s="50"/>
      <c r="FN54" s="50"/>
      <c r="FO54" s="50"/>
      <c r="FP54" s="50"/>
      <c r="FQ54" s="50"/>
      <c r="FR54" s="50"/>
      <c r="FS54" s="50"/>
      <c r="FT54" s="50"/>
      <c r="FU54" s="50"/>
      <c r="FV54" s="50"/>
      <c r="FW54" s="50"/>
      <c r="FX54" s="50"/>
    </row>
    <row r="55" spans="1:180" s="59" customFormat="1" ht="25.5" customHeight="1">
      <c r="A55" s="51" t="s">
        <v>521</v>
      </c>
      <c r="B55" s="51" t="s">
        <v>522</v>
      </c>
      <c r="C55" s="52" t="s">
        <v>523</v>
      </c>
      <c r="D55" s="71" t="s">
        <v>524</v>
      </c>
      <c r="E55" s="54" t="s">
        <v>63</v>
      </c>
      <c r="F55" s="54" t="s">
        <v>64</v>
      </c>
      <c r="G55" s="54" t="s">
        <v>525</v>
      </c>
      <c r="H55" s="54"/>
      <c r="I55" s="54"/>
      <c r="J55" s="54"/>
      <c r="K55" s="54"/>
      <c r="L55" s="54"/>
      <c r="M55" s="54" t="s">
        <v>526</v>
      </c>
      <c r="N55" s="54" t="s">
        <v>525</v>
      </c>
      <c r="O55" s="54" t="s">
        <v>525</v>
      </c>
      <c r="P55" s="54"/>
      <c r="Q55" s="54"/>
      <c r="R55" s="54"/>
      <c r="S55" s="54"/>
      <c r="T55" s="53" t="s">
        <v>110</v>
      </c>
      <c r="U55" s="53" t="s">
        <v>111</v>
      </c>
      <c r="V55" s="52" t="s">
        <v>204</v>
      </c>
      <c r="W55" s="52" t="s">
        <v>437</v>
      </c>
      <c r="X55" s="52"/>
      <c r="Y55" s="54" t="str">
        <f>"[" &amp; _xlfn.TEXTJOIN(", ", TRUE,
    IF(G55&lt;&gt;"", """" &amp; G$1 &amp; """", ""),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T55 &amp; """", ""),
    IF(U55&lt;&gt;"", """" &amp; U55 &amp; """", ""),
    IF(V55&lt;&gt;"", """" &amp; V55 &amp; """", ""),
    IF(W55&lt;&gt;"", """" &amp; W55 &amp; """", ""),
    IF(X55&lt;&gt;"", """" &amp; X55 &amp; """", "")
) &amp; "]"</f>
        <v>["ENA", "BV-BRC", "ENA ERC32", "ENA ERC33", "ENA Sample", "VJDB Sample", "Host", "Clinical"]</v>
      </c>
      <c r="Z55" s="54" t="s">
        <v>359</v>
      </c>
      <c r="AA55" s="52"/>
      <c r="AB55" s="54"/>
      <c r="AC55" s="54"/>
      <c r="AD55" s="54"/>
      <c r="AE55" s="54"/>
      <c r="AF55" s="54"/>
      <c r="AG55" s="54" t="s">
        <v>207</v>
      </c>
      <c r="AH55" s="54"/>
      <c r="AI55" s="54" t="s">
        <v>527</v>
      </c>
      <c r="AJ55" s="54" t="s">
        <v>75</v>
      </c>
      <c r="AK55" s="54"/>
      <c r="AL55" s="54"/>
      <c r="AM55" s="54" t="s">
        <v>528</v>
      </c>
      <c r="AN55" s="54"/>
      <c r="AO55" s="54"/>
      <c r="AP55" s="54" t="s">
        <v>528</v>
      </c>
      <c r="AQ55" s="54"/>
      <c r="AR55" s="54" t="s">
        <v>145</v>
      </c>
      <c r="AS55" s="54" t="s">
        <v>101</v>
      </c>
      <c r="AT55" s="54" t="s">
        <v>101</v>
      </c>
      <c r="AU55" s="55" t="s">
        <v>529</v>
      </c>
      <c r="AV55" s="54" t="s">
        <v>393</v>
      </c>
      <c r="AW55" s="52" t="s">
        <v>148</v>
      </c>
      <c r="AX55" s="52" t="s">
        <v>149</v>
      </c>
      <c r="AY55" s="54"/>
      <c r="AZ55" s="54"/>
      <c r="BA55" s="54"/>
      <c r="BB55" s="50" t="s">
        <v>80</v>
      </c>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c r="CH55" s="50"/>
      <c r="CI55" s="50"/>
      <c r="CJ55" s="50"/>
      <c r="CK55" s="50"/>
      <c r="CL55" s="50"/>
      <c r="CM55" s="50"/>
      <c r="CN55" s="50"/>
      <c r="CO55" s="50"/>
      <c r="CP55" s="50"/>
      <c r="CQ55" s="50"/>
      <c r="CR55" s="50"/>
      <c r="CS55" s="50"/>
      <c r="CT55" s="50"/>
      <c r="CU55" s="50"/>
      <c r="CV55" s="50"/>
      <c r="CW55" s="50"/>
      <c r="CX55" s="50"/>
      <c r="CY55" s="50"/>
      <c r="CZ55" s="50"/>
      <c r="DA55" s="50"/>
      <c r="DB55" s="50"/>
      <c r="DC55" s="50"/>
      <c r="DD55" s="50"/>
      <c r="DE55" s="50"/>
      <c r="DF55" s="50"/>
      <c r="DG55" s="50"/>
      <c r="DH55" s="50"/>
      <c r="DI55" s="50"/>
      <c r="DJ55" s="50"/>
      <c r="DK55" s="50"/>
      <c r="DL55" s="50"/>
      <c r="DM55" s="50"/>
      <c r="DN55" s="50"/>
      <c r="DO55" s="50"/>
      <c r="DP55" s="50"/>
      <c r="DQ55" s="50"/>
      <c r="DR55" s="50"/>
      <c r="DS55" s="50"/>
      <c r="DT55" s="50"/>
      <c r="DU55" s="50"/>
      <c r="DV55" s="50"/>
      <c r="DW55" s="50"/>
      <c r="DX55" s="50"/>
      <c r="DY55" s="50"/>
      <c r="DZ55" s="50"/>
      <c r="EA55" s="50"/>
      <c r="EB55" s="50"/>
      <c r="EC55" s="50"/>
      <c r="ED55" s="50"/>
      <c r="EE55" s="50"/>
      <c r="EF55" s="50"/>
      <c r="EG55" s="50"/>
      <c r="EH55" s="50"/>
      <c r="EI55" s="50"/>
      <c r="EJ55" s="50"/>
      <c r="EK55" s="50"/>
      <c r="EL55" s="50"/>
      <c r="EM55" s="50"/>
      <c r="EN55" s="50"/>
      <c r="EO55" s="50"/>
      <c r="EP55" s="50"/>
      <c r="EQ55" s="50"/>
      <c r="ER55" s="50"/>
      <c r="ES55" s="50"/>
      <c r="ET55" s="50"/>
      <c r="EU55" s="50"/>
      <c r="EV55" s="50"/>
      <c r="EW55" s="50"/>
      <c r="EX55" s="50"/>
      <c r="EY55" s="50"/>
      <c r="EZ55" s="50"/>
      <c r="FA55" s="50"/>
      <c r="FB55" s="50"/>
      <c r="FC55" s="50"/>
      <c r="FD55" s="50"/>
      <c r="FE55" s="50"/>
      <c r="FF55" s="50"/>
      <c r="FG55" s="50"/>
      <c r="FH55" s="50"/>
      <c r="FI55" s="50"/>
      <c r="FJ55" s="50"/>
      <c r="FK55" s="50"/>
      <c r="FL55" s="50"/>
      <c r="FM55" s="50"/>
      <c r="FN55" s="50"/>
      <c r="FO55" s="50"/>
      <c r="FP55" s="50"/>
      <c r="FQ55" s="50"/>
      <c r="FR55" s="50"/>
      <c r="FS55" s="50"/>
      <c r="FT55" s="50"/>
      <c r="FU55" s="50"/>
      <c r="FV55" s="50"/>
      <c r="FW55" s="50"/>
      <c r="FX55" s="50"/>
    </row>
    <row r="56" spans="1:180" s="59" customFormat="1" ht="25.5" customHeight="1">
      <c r="A56" s="51" t="s">
        <v>530</v>
      </c>
      <c r="B56" s="51" t="s">
        <v>531</v>
      </c>
      <c r="C56" s="52" t="s">
        <v>532</v>
      </c>
      <c r="D56" s="71" t="s">
        <v>533</v>
      </c>
      <c r="E56" s="54" t="s">
        <v>63</v>
      </c>
      <c r="F56" s="54" t="s">
        <v>154</v>
      </c>
      <c r="G56" s="54" t="s">
        <v>534</v>
      </c>
      <c r="H56" s="54"/>
      <c r="I56" s="54"/>
      <c r="J56" s="54"/>
      <c r="K56" s="54"/>
      <c r="L56" s="54"/>
      <c r="M56" s="54"/>
      <c r="N56" s="54" t="s">
        <v>534</v>
      </c>
      <c r="O56" s="54" t="s">
        <v>534</v>
      </c>
      <c r="P56" s="54"/>
      <c r="Q56" s="54"/>
      <c r="R56" s="54"/>
      <c r="S56" s="54"/>
      <c r="T56" s="53" t="s">
        <v>110</v>
      </c>
      <c r="U56" s="53" t="s">
        <v>111</v>
      </c>
      <c r="V56" s="52" t="s">
        <v>204</v>
      </c>
      <c r="W56" s="52" t="s">
        <v>535</v>
      </c>
      <c r="X56" s="52"/>
      <c r="Y56" s="54" t="str">
        <f>"[" &amp; _xlfn.TEXTJOIN(", ", TRUE,
    IF(G56&lt;&gt;"", """" &amp; G$1 &amp; """", ""),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T56 &amp; """", ""),
    IF(U56&lt;&gt;"", """" &amp; U56 &amp; """", ""),
    IF(V56&lt;&gt;"", """" &amp; V56 &amp; """", ""),
    IF(W56&lt;&gt;"", """" &amp; W56 &amp; """", ""),
    IF(X56&lt;&gt;"", """" &amp; X56 &amp; """", "")
) &amp; "]"</f>
        <v>["ENA", "ENA ERC32", "ENA ERC33", "ENA Sample", "VJDB Sample", "Host", "Clinical "]</v>
      </c>
      <c r="Z56" s="54"/>
      <c r="AA56" s="52" t="s">
        <v>351</v>
      </c>
      <c r="AB56" s="54" t="s">
        <v>337</v>
      </c>
      <c r="AC56" s="54"/>
      <c r="AD56" s="54"/>
      <c r="AE56" s="54"/>
      <c r="AF56" s="54"/>
      <c r="AG56" s="54"/>
      <c r="AH56" s="54"/>
      <c r="AI56" s="54"/>
      <c r="AJ56" s="54"/>
      <c r="AK56" s="54"/>
      <c r="AL56" s="54"/>
      <c r="AM56" s="54" t="s">
        <v>536</v>
      </c>
      <c r="AN56" s="54"/>
      <c r="AO56" s="54"/>
      <c r="AP56" s="54" t="s">
        <v>536</v>
      </c>
      <c r="AQ56" s="54"/>
      <c r="AR56" s="54" t="s">
        <v>129</v>
      </c>
      <c r="AS56" s="54" t="s">
        <v>101</v>
      </c>
      <c r="AT56" s="54" t="s">
        <v>101</v>
      </c>
      <c r="AU56" s="55"/>
      <c r="AV56" s="54"/>
      <c r="AW56" s="52" t="s">
        <v>211</v>
      </c>
      <c r="AX56" s="52" t="s">
        <v>132</v>
      </c>
      <c r="AY56" s="54"/>
      <c r="AZ56" s="54"/>
      <c r="BA56" s="54"/>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c r="CH56" s="50"/>
      <c r="CI56" s="50"/>
      <c r="CJ56" s="50"/>
      <c r="CK56" s="50"/>
      <c r="CL56" s="50"/>
      <c r="CM56" s="50"/>
      <c r="CN56" s="50"/>
      <c r="CO56" s="50"/>
      <c r="CP56" s="50"/>
      <c r="CQ56" s="50"/>
      <c r="CR56" s="50"/>
      <c r="CS56" s="50"/>
      <c r="CT56" s="50"/>
      <c r="CU56" s="50"/>
      <c r="CV56" s="50"/>
      <c r="CW56" s="50"/>
      <c r="CX56" s="50"/>
      <c r="CY56" s="50"/>
      <c r="CZ56" s="50"/>
      <c r="DA56" s="50"/>
      <c r="DB56" s="50"/>
      <c r="DC56" s="50"/>
      <c r="DD56" s="50"/>
      <c r="DE56" s="50"/>
      <c r="DF56" s="50"/>
      <c r="DG56" s="50"/>
      <c r="DH56" s="50"/>
      <c r="DI56" s="50"/>
      <c r="DJ56" s="50"/>
      <c r="DK56" s="50"/>
      <c r="DL56" s="50"/>
      <c r="DM56" s="50"/>
      <c r="DN56" s="50"/>
      <c r="DO56" s="50"/>
      <c r="DP56" s="50"/>
      <c r="DQ56" s="50"/>
      <c r="DR56" s="50"/>
      <c r="DS56" s="50"/>
      <c r="DT56" s="50"/>
      <c r="DU56" s="50"/>
      <c r="DV56" s="50"/>
      <c r="DW56" s="50"/>
      <c r="DX56" s="50"/>
      <c r="DY56" s="50"/>
      <c r="DZ56" s="50"/>
      <c r="EA56" s="50"/>
      <c r="EB56" s="50"/>
      <c r="EC56" s="50"/>
      <c r="ED56" s="50"/>
      <c r="EE56" s="50"/>
      <c r="EF56" s="50"/>
      <c r="EG56" s="50"/>
      <c r="EH56" s="50"/>
      <c r="EI56" s="50"/>
      <c r="EJ56" s="50"/>
      <c r="EK56" s="50"/>
      <c r="EL56" s="50"/>
      <c r="EM56" s="50"/>
      <c r="EN56" s="50"/>
      <c r="EO56" s="50"/>
      <c r="EP56" s="50"/>
      <c r="EQ56" s="50"/>
      <c r="ER56" s="50"/>
      <c r="ES56" s="50"/>
      <c r="ET56" s="50"/>
      <c r="EU56" s="50"/>
      <c r="EV56" s="50"/>
      <c r="EW56" s="50"/>
      <c r="EX56" s="50"/>
      <c r="EY56" s="50"/>
      <c r="EZ56" s="50"/>
      <c r="FA56" s="50"/>
      <c r="FB56" s="50"/>
      <c r="FC56" s="50"/>
      <c r="FD56" s="50"/>
      <c r="FE56" s="50"/>
      <c r="FF56" s="50"/>
      <c r="FG56" s="50"/>
      <c r="FH56" s="50"/>
      <c r="FI56" s="50"/>
      <c r="FJ56" s="50"/>
      <c r="FK56" s="50"/>
      <c r="FL56" s="50"/>
      <c r="FM56" s="50"/>
      <c r="FN56" s="50"/>
      <c r="FO56" s="50"/>
      <c r="FP56" s="50"/>
      <c r="FQ56" s="50"/>
      <c r="FR56" s="50"/>
      <c r="FS56" s="50"/>
      <c r="FT56" s="50"/>
      <c r="FU56" s="50"/>
      <c r="FV56" s="50"/>
      <c r="FW56" s="50"/>
      <c r="FX56" s="50"/>
    </row>
    <row r="57" spans="1:180" s="59" customFormat="1" ht="25.5" customHeight="1">
      <c r="A57" s="51" t="s">
        <v>537</v>
      </c>
      <c r="B57" s="51" t="s">
        <v>538</v>
      </c>
      <c r="C57" s="52" t="s">
        <v>539</v>
      </c>
      <c r="D57" s="71" t="s">
        <v>540</v>
      </c>
      <c r="E57" s="54" t="s">
        <v>76</v>
      </c>
      <c r="F57" s="54" t="s">
        <v>154</v>
      </c>
      <c r="G57" s="54" t="s">
        <v>541</v>
      </c>
      <c r="H57" s="54"/>
      <c r="I57" s="54"/>
      <c r="J57" s="54"/>
      <c r="K57" s="54"/>
      <c r="L57" s="54"/>
      <c r="M57" s="54"/>
      <c r="N57" s="54" t="s">
        <v>541</v>
      </c>
      <c r="O57" s="54"/>
      <c r="P57" s="54"/>
      <c r="Q57" s="54"/>
      <c r="R57" s="54"/>
      <c r="S57" s="54"/>
      <c r="T57" s="53" t="s">
        <v>110</v>
      </c>
      <c r="U57" s="53" t="s">
        <v>111</v>
      </c>
      <c r="V57" s="52" t="s">
        <v>122</v>
      </c>
      <c r="W57" s="52" t="s">
        <v>535</v>
      </c>
      <c r="X57" s="52"/>
      <c r="Y57" s="54" t="str">
        <f>"[" &amp; _xlfn.TEXTJOIN(", ", TRUE,
    IF(G57&lt;&gt;"", """" &amp; G$1 &amp; """", ""),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T57 &amp; """", ""),
    IF(U57&lt;&gt;"", """" &amp; U57 &amp; """", ""),
    IF(V57&lt;&gt;"", """" &amp; V57 &amp; """", ""),
    IF(W57&lt;&gt;"", """" &amp; W57 &amp; """", ""),
    IF(X57&lt;&gt;"", """" &amp; X57 &amp; """", "")
) &amp; "]"</f>
        <v>["ENA", "ENA ERC32", "ENA Sample", "VJDB Sample", "Sample", "Clinical "]</v>
      </c>
      <c r="Z57" s="54"/>
      <c r="AA57" s="52"/>
      <c r="AB57" s="54" t="s">
        <v>337</v>
      </c>
      <c r="AC57" s="54"/>
      <c r="AD57" s="54"/>
      <c r="AE57" s="54"/>
      <c r="AF57" s="54"/>
      <c r="AG57" s="54"/>
      <c r="AH57" s="54"/>
      <c r="AI57" s="54"/>
      <c r="AJ57" s="54"/>
      <c r="AK57" s="54"/>
      <c r="AL57" s="54"/>
      <c r="AM57" s="54" t="s">
        <v>542</v>
      </c>
      <c r="AN57" s="54"/>
      <c r="AO57" s="54"/>
      <c r="AP57" s="54"/>
      <c r="AQ57" s="54"/>
      <c r="AR57" s="54"/>
      <c r="AS57" s="54" t="s">
        <v>101</v>
      </c>
      <c r="AT57" s="54" t="s">
        <v>101</v>
      </c>
      <c r="AU57" s="55" t="s">
        <v>543</v>
      </c>
      <c r="AV57" s="54" t="s">
        <v>544</v>
      </c>
      <c r="AW57" s="52" t="s">
        <v>211</v>
      </c>
      <c r="AX57" s="52" t="s">
        <v>77</v>
      </c>
      <c r="AY57" s="54"/>
      <c r="AZ57" s="54"/>
      <c r="BA57" s="54"/>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c r="CH57" s="50"/>
      <c r="CI57" s="50"/>
      <c r="CJ57" s="50"/>
      <c r="CK57" s="50"/>
      <c r="CL57" s="50"/>
      <c r="CM57" s="50"/>
      <c r="CN57" s="50"/>
      <c r="CO57" s="50"/>
      <c r="CP57" s="50"/>
      <c r="CQ57" s="50"/>
      <c r="CR57" s="50"/>
      <c r="CS57" s="50"/>
      <c r="CT57" s="50"/>
      <c r="CU57" s="50"/>
      <c r="CV57" s="50"/>
      <c r="CW57" s="50"/>
      <c r="CX57" s="50"/>
      <c r="CY57" s="50"/>
      <c r="CZ57" s="50"/>
      <c r="DA57" s="50"/>
      <c r="DB57" s="50"/>
      <c r="DC57" s="50"/>
      <c r="DD57" s="50"/>
      <c r="DE57" s="50"/>
      <c r="DF57" s="50"/>
      <c r="DG57" s="50"/>
      <c r="DH57" s="50"/>
      <c r="DI57" s="50"/>
      <c r="DJ57" s="50"/>
      <c r="DK57" s="50"/>
      <c r="DL57" s="50"/>
      <c r="DM57" s="50"/>
      <c r="DN57" s="50"/>
      <c r="DO57" s="50"/>
      <c r="DP57" s="50"/>
      <c r="DQ57" s="50"/>
      <c r="DR57" s="50"/>
      <c r="DS57" s="50"/>
      <c r="DT57" s="50"/>
      <c r="DU57" s="50"/>
      <c r="DV57" s="50"/>
      <c r="DW57" s="50"/>
      <c r="DX57" s="50"/>
      <c r="DY57" s="50"/>
      <c r="DZ57" s="50"/>
      <c r="EA57" s="50"/>
      <c r="EB57" s="50"/>
      <c r="EC57" s="50"/>
      <c r="ED57" s="50"/>
      <c r="EE57" s="50"/>
      <c r="EF57" s="50"/>
      <c r="EG57" s="50"/>
      <c r="EH57" s="50"/>
      <c r="EI57" s="50"/>
      <c r="EJ57" s="50"/>
      <c r="EK57" s="50"/>
      <c r="EL57" s="50"/>
      <c r="EM57" s="50"/>
      <c r="EN57" s="50"/>
      <c r="EO57" s="50"/>
      <c r="EP57" s="50"/>
      <c r="EQ57" s="50"/>
      <c r="ER57" s="50"/>
      <c r="ES57" s="50"/>
      <c r="ET57" s="50"/>
      <c r="EU57" s="50"/>
      <c r="EV57" s="50"/>
      <c r="EW57" s="50"/>
      <c r="EX57" s="50"/>
      <c r="EY57" s="50"/>
      <c r="EZ57" s="50"/>
      <c r="FA57" s="50"/>
      <c r="FB57" s="50"/>
      <c r="FC57" s="50"/>
      <c r="FD57" s="50"/>
      <c r="FE57" s="50"/>
      <c r="FF57" s="50"/>
      <c r="FG57" s="50"/>
      <c r="FH57" s="50"/>
      <c r="FI57" s="50"/>
      <c r="FJ57" s="50"/>
      <c r="FK57" s="50"/>
      <c r="FL57" s="50"/>
      <c r="FM57" s="50"/>
      <c r="FN57" s="50"/>
      <c r="FO57" s="50"/>
      <c r="FP57" s="50"/>
      <c r="FQ57" s="50"/>
      <c r="FR57" s="50"/>
      <c r="FS57" s="50"/>
      <c r="FT57" s="50"/>
      <c r="FU57" s="50"/>
      <c r="FV57" s="50"/>
      <c r="FW57" s="50"/>
    </row>
    <row r="58" spans="1:180" s="59" customFormat="1" ht="25.5" customHeight="1">
      <c r="A58" s="51" t="s">
        <v>545</v>
      </c>
      <c r="B58" s="51" t="s">
        <v>546</v>
      </c>
      <c r="C58" s="52" t="s">
        <v>547</v>
      </c>
      <c r="D58" s="71" t="s">
        <v>548</v>
      </c>
      <c r="E58" s="54" t="s">
        <v>63</v>
      </c>
      <c r="F58" s="54" t="s">
        <v>154</v>
      </c>
      <c r="G58" s="54" t="s">
        <v>549</v>
      </c>
      <c r="H58" s="54"/>
      <c r="I58" s="54"/>
      <c r="J58" s="54"/>
      <c r="K58" s="54"/>
      <c r="L58" s="54"/>
      <c r="M58" s="54"/>
      <c r="N58" s="54" t="s">
        <v>549</v>
      </c>
      <c r="O58" s="54"/>
      <c r="P58" s="54"/>
      <c r="Q58" s="54"/>
      <c r="R58" s="54"/>
      <c r="S58" s="54"/>
      <c r="T58" s="53" t="s">
        <v>110</v>
      </c>
      <c r="U58" s="53" t="s">
        <v>111</v>
      </c>
      <c r="V58" s="52" t="s">
        <v>122</v>
      </c>
      <c r="W58" s="52" t="s">
        <v>535</v>
      </c>
      <c r="X58" s="52"/>
      <c r="Y58" s="54" t="str">
        <f>"[" &amp; _xlfn.TEXTJOIN(", ", TRUE,
    IF(G58&lt;&gt;"", """" &amp; G$1 &amp; """", ""),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T58 &amp; """", ""),
    IF(U58&lt;&gt;"", """" &amp; U58 &amp; """", ""),
    IF(V58&lt;&gt;"", """" &amp; V58 &amp; """", ""),
    IF(W58&lt;&gt;"", """" &amp; W58 &amp; """", ""),
    IF(X58&lt;&gt;"", """" &amp; X58 &amp; """", "")
) &amp; "]"</f>
        <v>["ENA", "ENA ERC32", "ENA Sample", "VJDB Sample", "Sample", "Clinical "]</v>
      </c>
      <c r="Z58" s="54"/>
      <c r="AA58" s="52"/>
      <c r="AB58" s="54" t="s">
        <v>337</v>
      </c>
      <c r="AC58" s="54"/>
      <c r="AD58" s="54"/>
      <c r="AE58" s="54"/>
      <c r="AF58" s="54"/>
      <c r="AG58" s="54"/>
      <c r="AH58" s="54"/>
      <c r="AI58" s="54"/>
      <c r="AJ58" s="54"/>
      <c r="AK58" s="54"/>
      <c r="AL58" s="54"/>
      <c r="AM58" s="54" t="s">
        <v>550</v>
      </c>
      <c r="AN58" s="54"/>
      <c r="AO58" s="54"/>
      <c r="AP58" s="54"/>
      <c r="AQ58" s="54"/>
      <c r="AR58" s="54"/>
      <c r="AS58" s="54" t="s">
        <v>101</v>
      </c>
      <c r="AT58" s="54" t="s">
        <v>101</v>
      </c>
      <c r="AU58" s="55" t="s">
        <v>551</v>
      </c>
      <c r="AV58" s="54" t="s">
        <v>552</v>
      </c>
      <c r="AW58" s="52" t="s">
        <v>211</v>
      </c>
      <c r="AX58" s="52" t="s">
        <v>77</v>
      </c>
      <c r="AY58" s="54"/>
      <c r="AZ58" s="54"/>
      <c r="BA58" s="54"/>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c r="CH58" s="50"/>
      <c r="CI58" s="50"/>
      <c r="CJ58" s="50"/>
      <c r="CK58" s="50"/>
      <c r="CL58" s="50"/>
      <c r="CM58" s="50"/>
      <c r="CN58" s="50"/>
      <c r="CO58" s="50"/>
      <c r="CP58" s="50"/>
      <c r="CQ58" s="50"/>
      <c r="CR58" s="50"/>
      <c r="CS58" s="50"/>
      <c r="CT58" s="50"/>
      <c r="CU58" s="50"/>
      <c r="CV58" s="50"/>
      <c r="CW58" s="50"/>
      <c r="CX58" s="50"/>
      <c r="CY58" s="50"/>
      <c r="CZ58" s="50"/>
      <c r="DA58" s="50"/>
      <c r="DB58" s="50"/>
      <c r="DC58" s="50"/>
      <c r="DD58" s="50"/>
      <c r="DE58" s="50"/>
      <c r="DF58" s="50"/>
      <c r="DG58" s="50"/>
      <c r="DH58" s="50"/>
      <c r="DI58" s="50"/>
      <c r="DJ58" s="50"/>
      <c r="DK58" s="50"/>
      <c r="DL58" s="50"/>
      <c r="DM58" s="50"/>
      <c r="DN58" s="50"/>
      <c r="DO58" s="50"/>
      <c r="DP58" s="50"/>
      <c r="DQ58" s="50"/>
      <c r="DR58" s="50"/>
      <c r="DS58" s="50"/>
      <c r="DT58" s="50"/>
      <c r="DU58" s="50"/>
      <c r="DV58" s="50"/>
      <c r="DW58" s="50"/>
      <c r="DX58" s="50"/>
      <c r="DY58" s="50"/>
      <c r="DZ58" s="50"/>
      <c r="EA58" s="50"/>
      <c r="EB58" s="50"/>
      <c r="EC58" s="50"/>
      <c r="ED58" s="50"/>
      <c r="EE58" s="50"/>
      <c r="EF58" s="50"/>
      <c r="EG58" s="50"/>
      <c r="EH58" s="50"/>
      <c r="EI58" s="50"/>
      <c r="EJ58" s="50"/>
      <c r="EK58" s="50"/>
      <c r="EL58" s="50"/>
      <c r="EM58" s="50"/>
      <c r="EN58" s="50"/>
      <c r="EO58" s="50"/>
      <c r="EP58" s="50"/>
      <c r="EQ58" s="50"/>
      <c r="ER58" s="50"/>
      <c r="ES58" s="50"/>
      <c r="ET58" s="50"/>
      <c r="EU58" s="50"/>
      <c r="EV58" s="50"/>
      <c r="EW58" s="50"/>
      <c r="EX58" s="50"/>
      <c r="EY58" s="50"/>
      <c r="EZ58" s="50"/>
      <c r="FA58" s="50"/>
      <c r="FB58" s="50"/>
      <c r="FC58" s="50"/>
      <c r="FD58" s="50"/>
      <c r="FE58" s="50"/>
      <c r="FF58" s="50"/>
      <c r="FG58" s="50"/>
      <c r="FH58" s="50"/>
      <c r="FI58" s="50"/>
      <c r="FJ58" s="50"/>
      <c r="FK58" s="50"/>
      <c r="FL58" s="50"/>
      <c r="FM58" s="50"/>
      <c r="FN58" s="50"/>
      <c r="FO58" s="50"/>
      <c r="FP58" s="50"/>
      <c r="FQ58" s="50"/>
      <c r="FR58" s="50"/>
      <c r="FS58" s="50"/>
      <c r="FT58" s="50"/>
      <c r="FU58" s="50"/>
      <c r="FV58" s="50"/>
      <c r="FW58" s="50"/>
    </row>
    <row r="59" spans="1:180" s="59" customFormat="1" ht="25.5" customHeight="1">
      <c r="A59" s="51" t="s">
        <v>553</v>
      </c>
      <c r="B59" s="51" t="s">
        <v>554</v>
      </c>
      <c r="C59" s="52" t="s">
        <v>555</v>
      </c>
      <c r="D59" s="71" t="s">
        <v>556</v>
      </c>
      <c r="E59" s="54" t="s">
        <v>63</v>
      </c>
      <c r="F59" s="54" t="s">
        <v>154</v>
      </c>
      <c r="G59" s="54" t="s">
        <v>557</v>
      </c>
      <c r="H59" s="54"/>
      <c r="I59" s="54"/>
      <c r="J59" s="54"/>
      <c r="K59" s="54"/>
      <c r="L59" s="54"/>
      <c r="M59" s="54"/>
      <c r="N59" s="54" t="s">
        <v>557</v>
      </c>
      <c r="O59" s="54"/>
      <c r="P59" s="54"/>
      <c r="Q59" s="54"/>
      <c r="R59" s="54"/>
      <c r="S59" s="54"/>
      <c r="T59" s="53" t="s">
        <v>110</v>
      </c>
      <c r="U59" s="53" t="s">
        <v>111</v>
      </c>
      <c r="V59" s="52" t="s">
        <v>122</v>
      </c>
      <c r="W59" s="52" t="s">
        <v>535</v>
      </c>
      <c r="X59" s="52"/>
      <c r="Y59" s="54" t="str">
        <f>"[" &amp; _xlfn.TEXTJOIN(", ", TRUE,
    IF(G59&lt;&gt;"", """" &amp; G$1 &amp; """", ""),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T59 &amp; """", ""),
    IF(U59&lt;&gt;"", """" &amp; U59 &amp; """", ""),
    IF(V59&lt;&gt;"", """" &amp; V59 &amp; """", ""),
    IF(W59&lt;&gt;"", """" &amp; W59 &amp; """", ""),
    IF(X59&lt;&gt;"", """" &amp; X59 &amp; """", "")
) &amp; "]"</f>
        <v>["ENA", "ENA ERC32", "ENA Sample", "VJDB Sample", "Sample", "Clinical "]</v>
      </c>
      <c r="Z59" s="54"/>
      <c r="AA59" s="52"/>
      <c r="AB59" s="54" t="s">
        <v>337</v>
      </c>
      <c r="AC59" s="54"/>
      <c r="AD59" s="54"/>
      <c r="AE59" s="54"/>
      <c r="AF59" s="54"/>
      <c r="AG59" s="54"/>
      <c r="AH59" s="54"/>
      <c r="AI59" s="54"/>
      <c r="AJ59" s="54"/>
      <c r="AK59" s="54"/>
      <c r="AL59" s="54"/>
      <c r="AM59" s="54" t="s">
        <v>558</v>
      </c>
      <c r="AN59" s="54"/>
      <c r="AO59" s="54"/>
      <c r="AP59" s="54"/>
      <c r="AQ59" s="54"/>
      <c r="AR59" s="54"/>
      <c r="AS59" s="54" t="s">
        <v>186</v>
      </c>
      <c r="AT59" s="54" t="s">
        <v>186</v>
      </c>
      <c r="AU59" s="55" t="s">
        <v>559</v>
      </c>
      <c r="AV59" s="54" t="s">
        <v>393</v>
      </c>
      <c r="AW59" s="52" t="s">
        <v>148</v>
      </c>
      <c r="AX59" s="52" t="s">
        <v>149</v>
      </c>
      <c r="AY59" s="54"/>
      <c r="AZ59" s="54"/>
      <c r="BA59" s="54"/>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c r="CH59" s="50"/>
      <c r="CI59" s="50"/>
      <c r="CJ59" s="50"/>
      <c r="CK59" s="50"/>
      <c r="CL59" s="50"/>
      <c r="CM59" s="50"/>
      <c r="CN59" s="50"/>
      <c r="CO59" s="50"/>
      <c r="CP59" s="50"/>
      <c r="CQ59" s="50"/>
      <c r="CR59" s="50"/>
      <c r="CS59" s="50"/>
      <c r="CT59" s="50"/>
      <c r="CU59" s="50"/>
      <c r="CV59" s="50"/>
      <c r="CW59" s="50"/>
      <c r="CX59" s="50"/>
      <c r="CY59" s="50"/>
      <c r="CZ59" s="50"/>
      <c r="DA59" s="50"/>
      <c r="DB59" s="50"/>
      <c r="DC59" s="50"/>
      <c r="DD59" s="50"/>
      <c r="DE59" s="50"/>
      <c r="DF59" s="50"/>
      <c r="DG59" s="50"/>
      <c r="DH59" s="50"/>
      <c r="DI59" s="50"/>
      <c r="DJ59" s="50"/>
      <c r="DK59" s="50"/>
      <c r="DL59" s="50"/>
      <c r="DM59" s="50"/>
      <c r="DN59" s="50"/>
      <c r="DO59" s="50"/>
      <c r="DP59" s="50"/>
      <c r="DQ59" s="50"/>
      <c r="DR59" s="50"/>
      <c r="DS59" s="50"/>
      <c r="DT59" s="50"/>
      <c r="DU59" s="50"/>
      <c r="DV59" s="50"/>
      <c r="DW59" s="50"/>
      <c r="DX59" s="50"/>
      <c r="DY59" s="50"/>
      <c r="DZ59" s="50"/>
      <c r="EA59" s="50"/>
      <c r="EB59" s="50"/>
      <c r="EC59" s="50"/>
      <c r="ED59" s="50"/>
      <c r="EE59" s="50"/>
      <c r="EF59" s="50"/>
      <c r="EG59" s="50"/>
      <c r="EH59" s="50"/>
      <c r="EI59" s="50"/>
      <c r="EJ59" s="50"/>
      <c r="EK59" s="50"/>
      <c r="EL59" s="50"/>
      <c r="EM59" s="50"/>
      <c r="EN59" s="50"/>
      <c r="EO59" s="50"/>
      <c r="EP59" s="50"/>
      <c r="EQ59" s="50"/>
      <c r="ER59" s="50"/>
      <c r="ES59" s="50"/>
      <c r="ET59" s="50"/>
      <c r="EU59" s="50"/>
      <c r="EV59" s="50"/>
      <c r="EW59" s="50"/>
      <c r="EX59" s="50"/>
      <c r="EY59" s="50"/>
      <c r="EZ59" s="50"/>
      <c r="FA59" s="50"/>
      <c r="FB59" s="50"/>
      <c r="FC59" s="50"/>
      <c r="FD59" s="50"/>
      <c r="FE59" s="50"/>
      <c r="FF59" s="50"/>
      <c r="FG59" s="50"/>
      <c r="FH59" s="50"/>
      <c r="FI59" s="50"/>
      <c r="FJ59" s="50"/>
      <c r="FK59" s="50"/>
      <c r="FL59" s="50"/>
      <c r="FM59" s="50"/>
      <c r="FN59" s="50"/>
      <c r="FO59" s="50"/>
      <c r="FP59" s="50"/>
      <c r="FQ59" s="50"/>
      <c r="FR59" s="50"/>
      <c r="FS59" s="50"/>
      <c r="FT59" s="50"/>
      <c r="FU59" s="50"/>
      <c r="FV59" s="50"/>
      <c r="FW59" s="50"/>
    </row>
    <row r="60" spans="1:180" s="59" customFormat="1" ht="25.5" customHeight="1">
      <c r="A60" s="51" t="s">
        <v>560</v>
      </c>
      <c r="B60" s="51" t="s">
        <v>561</v>
      </c>
      <c r="C60" s="52" t="s">
        <v>562</v>
      </c>
      <c r="D60" s="71" t="s">
        <v>563</v>
      </c>
      <c r="E60" s="54" t="s">
        <v>162</v>
      </c>
      <c r="F60" s="54" t="s">
        <v>64</v>
      </c>
      <c r="G60" s="54"/>
      <c r="H60" s="54"/>
      <c r="I60" s="54"/>
      <c r="J60" s="54"/>
      <c r="K60" s="54"/>
      <c r="L60" s="54"/>
      <c r="M60" s="54"/>
      <c r="N60" s="54"/>
      <c r="O60" s="54"/>
      <c r="P60" s="54"/>
      <c r="Q60" s="54"/>
      <c r="R60" s="54"/>
      <c r="S60" s="54"/>
      <c r="T60" s="53"/>
      <c r="U60" s="53"/>
      <c r="V60" s="52" t="s">
        <v>164</v>
      </c>
      <c r="W60" s="52" t="s">
        <v>165</v>
      </c>
      <c r="X60" s="52"/>
      <c r="Y60" s="54" t="str">
        <f>"[" &amp; _xlfn.TEXTJOIN(", ", TRUE,
    IF(G60&lt;&gt;"", """" &amp; G$1 &amp; """", ""),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T60 &amp; """", ""),
    IF(U60&lt;&gt;"", """" &amp; U60 &amp; """", ""),
    IF(V60&lt;&gt;"", """" &amp; V60 &amp; """", ""),
    IF(W60&lt;&gt;"", """" &amp; W60 &amp; """", ""),
    IF(X60&lt;&gt;"", """" &amp; X60 &amp; """", "")
) &amp; "]"</f>
        <v>["Source", "Flags"]</v>
      </c>
      <c r="Z60" s="54" t="s">
        <v>16</v>
      </c>
      <c r="AA60" s="52"/>
      <c r="AB60" s="54" t="s">
        <v>564</v>
      </c>
      <c r="AC60" s="54"/>
      <c r="AD60" s="54"/>
      <c r="AE60" s="54"/>
      <c r="AF60" s="54"/>
      <c r="AG60" s="54"/>
      <c r="AH60" s="54"/>
      <c r="AI60" s="54"/>
      <c r="AJ60" s="54"/>
      <c r="AK60" s="54"/>
      <c r="AL60" s="54"/>
      <c r="AM60" s="54"/>
      <c r="AN60" s="54"/>
      <c r="AO60" s="54"/>
      <c r="AP60" s="54"/>
      <c r="AQ60" s="54"/>
      <c r="AR60" s="54"/>
      <c r="AS60" s="54"/>
      <c r="AT60" s="54"/>
      <c r="AU60" s="55" t="s">
        <v>80</v>
      </c>
      <c r="AV60" s="54" t="s">
        <v>169</v>
      </c>
      <c r="AW60" s="52"/>
      <c r="AX60" s="52"/>
      <c r="AY60" s="54"/>
      <c r="AZ60" s="54"/>
      <c r="BA60" s="54"/>
      <c r="BB60" s="58" t="s">
        <v>80</v>
      </c>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c r="CH60" s="50"/>
      <c r="CI60" s="50"/>
      <c r="CJ60" s="50"/>
      <c r="CK60" s="50"/>
      <c r="CL60" s="50"/>
      <c r="CM60" s="50"/>
      <c r="CN60" s="50"/>
      <c r="CO60" s="50"/>
      <c r="CP60" s="50"/>
      <c r="CQ60" s="50"/>
      <c r="CR60" s="50"/>
      <c r="CS60" s="50"/>
      <c r="CT60" s="50"/>
      <c r="CU60" s="50"/>
      <c r="CV60" s="50"/>
      <c r="CW60" s="50"/>
      <c r="CX60" s="50"/>
      <c r="CY60" s="50"/>
      <c r="CZ60" s="50"/>
      <c r="DA60" s="50"/>
      <c r="DB60" s="50"/>
      <c r="DC60" s="50"/>
      <c r="DD60" s="50"/>
      <c r="DE60" s="50"/>
      <c r="DF60" s="50"/>
      <c r="DG60" s="50"/>
      <c r="DH60" s="50"/>
      <c r="DI60" s="50"/>
      <c r="DJ60" s="50"/>
      <c r="DK60" s="50"/>
      <c r="DL60" s="50"/>
      <c r="DM60" s="50"/>
      <c r="DN60" s="50"/>
      <c r="DO60" s="50"/>
      <c r="DP60" s="50"/>
      <c r="DQ60" s="50"/>
      <c r="DR60" s="50"/>
      <c r="DS60" s="50"/>
      <c r="DT60" s="50"/>
      <c r="DU60" s="50"/>
      <c r="DV60" s="50"/>
      <c r="DW60" s="50"/>
      <c r="DX60" s="50"/>
      <c r="DY60" s="50"/>
      <c r="DZ60" s="50"/>
      <c r="EA60" s="50"/>
      <c r="EB60" s="50"/>
      <c r="EC60" s="50"/>
      <c r="ED60" s="50"/>
      <c r="EE60" s="50"/>
      <c r="EF60" s="50"/>
      <c r="EG60" s="50"/>
      <c r="EH60" s="50"/>
      <c r="EI60" s="50"/>
      <c r="EJ60" s="50"/>
      <c r="EK60" s="50"/>
      <c r="EL60" s="50"/>
      <c r="EM60" s="50"/>
      <c r="EN60" s="50"/>
      <c r="EO60" s="50"/>
      <c r="EP60" s="50"/>
      <c r="EQ60" s="50"/>
      <c r="ER60" s="50"/>
      <c r="ES60" s="50"/>
      <c r="ET60" s="50"/>
      <c r="EU60" s="50"/>
      <c r="EV60" s="50"/>
      <c r="EW60" s="50"/>
      <c r="EX60" s="50"/>
      <c r="EY60" s="50"/>
      <c r="EZ60" s="50"/>
      <c r="FA60" s="50"/>
      <c r="FB60" s="50"/>
      <c r="FC60" s="50"/>
      <c r="FD60" s="50"/>
      <c r="FE60" s="50"/>
      <c r="FF60" s="50"/>
      <c r="FG60" s="50"/>
      <c r="FH60" s="50"/>
      <c r="FI60" s="50"/>
      <c r="FJ60" s="50"/>
      <c r="FK60" s="50"/>
      <c r="FL60" s="50"/>
      <c r="FM60" s="50"/>
      <c r="FN60" s="50"/>
      <c r="FO60" s="50"/>
      <c r="FP60" s="50"/>
      <c r="FQ60" s="50"/>
      <c r="FR60" s="50"/>
      <c r="FS60" s="50"/>
      <c r="FT60" s="50"/>
      <c r="FU60" s="50"/>
      <c r="FV60" s="50"/>
      <c r="FW60" s="50"/>
    </row>
    <row r="61" spans="1:180" s="59" customFormat="1" ht="25.5" customHeight="1">
      <c r="A61" s="51" t="s">
        <v>565</v>
      </c>
      <c r="B61" s="51" t="s">
        <v>566</v>
      </c>
      <c r="C61" s="52" t="s">
        <v>567</v>
      </c>
      <c r="D61" s="71" t="s">
        <v>568</v>
      </c>
      <c r="E61" s="54" t="s">
        <v>63</v>
      </c>
      <c r="F61" s="54" t="s">
        <v>154</v>
      </c>
      <c r="G61" s="54" t="s">
        <v>569</v>
      </c>
      <c r="H61" s="54"/>
      <c r="I61" s="54"/>
      <c r="J61" s="54"/>
      <c r="K61" s="54"/>
      <c r="L61" s="54"/>
      <c r="M61" s="54"/>
      <c r="N61" s="54" t="s">
        <v>569</v>
      </c>
      <c r="O61" s="54"/>
      <c r="P61" s="54"/>
      <c r="Q61" s="54"/>
      <c r="R61" s="54"/>
      <c r="S61" s="54"/>
      <c r="T61" s="53" t="s">
        <v>110</v>
      </c>
      <c r="U61" s="53" t="s">
        <v>111</v>
      </c>
      <c r="V61" s="52" t="s">
        <v>122</v>
      </c>
      <c r="W61" s="52" t="s">
        <v>535</v>
      </c>
      <c r="X61" s="52"/>
      <c r="Y61" s="54" t="str">
        <f>"[" &amp; _xlfn.TEXTJOIN(", ", TRUE,
    IF(G61&lt;&gt;"", """" &amp; G$1 &amp; """", ""),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T61 &amp; """", ""),
    IF(U61&lt;&gt;"", """" &amp; U61 &amp; """", ""),
    IF(V61&lt;&gt;"", """" &amp; V61 &amp; """", ""),
    IF(W61&lt;&gt;"", """" &amp; W61 &amp; """", ""),
    IF(X61&lt;&gt;"", """" &amp; X61 &amp; """", "")
) &amp; "]"</f>
        <v>["ENA", "ENA ERC32", "ENA Sample", "VJDB Sample", "Sample", "Clinical "]</v>
      </c>
      <c r="Z61" s="54"/>
      <c r="AA61" s="52"/>
      <c r="AB61" s="54" t="s">
        <v>337</v>
      </c>
      <c r="AC61" s="54"/>
      <c r="AD61" s="54"/>
      <c r="AE61" s="54"/>
      <c r="AF61" s="54"/>
      <c r="AG61" s="54"/>
      <c r="AH61" s="54"/>
      <c r="AI61" s="54"/>
      <c r="AJ61" s="54"/>
      <c r="AK61" s="54"/>
      <c r="AL61" s="54"/>
      <c r="AM61" s="54" t="s">
        <v>570</v>
      </c>
      <c r="AN61" s="54"/>
      <c r="AO61" s="54"/>
      <c r="AP61" s="54"/>
      <c r="AQ61" s="54"/>
      <c r="AR61" s="54"/>
      <c r="AS61" s="54" t="s">
        <v>101</v>
      </c>
      <c r="AT61" s="54" t="s">
        <v>101</v>
      </c>
      <c r="AU61" s="55" t="s">
        <v>571</v>
      </c>
      <c r="AV61" s="54" t="s">
        <v>572</v>
      </c>
      <c r="AW61" s="52" t="s">
        <v>211</v>
      </c>
      <c r="AX61" s="52" t="s">
        <v>77</v>
      </c>
      <c r="AY61" s="54"/>
      <c r="AZ61" s="54"/>
      <c r="BA61" s="54"/>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c r="CH61" s="50"/>
      <c r="CI61" s="50"/>
      <c r="CJ61" s="50"/>
      <c r="CK61" s="50"/>
      <c r="CL61" s="50"/>
      <c r="CM61" s="50"/>
      <c r="CN61" s="50"/>
      <c r="CO61" s="50"/>
      <c r="CP61" s="50"/>
      <c r="CQ61" s="50"/>
      <c r="CR61" s="50"/>
      <c r="CS61" s="50"/>
      <c r="CT61" s="50"/>
      <c r="CU61" s="50"/>
      <c r="CV61" s="50"/>
      <c r="CW61" s="50"/>
      <c r="CX61" s="50"/>
      <c r="CY61" s="50"/>
      <c r="CZ61" s="50"/>
      <c r="DA61" s="50"/>
      <c r="DB61" s="50"/>
      <c r="DC61" s="50"/>
      <c r="DD61" s="50"/>
      <c r="DE61" s="50"/>
      <c r="DF61" s="50"/>
      <c r="DG61" s="50"/>
      <c r="DH61" s="50"/>
      <c r="DI61" s="50"/>
      <c r="DJ61" s="50"/>
      <c r="DK61" s="50"/>
      <c r="DL61" s="50"/>
      <c r="DM61" s="50"/>
      <c r="DN61" s="50"/>
      <c r="DO61" s="50"/>
      <c r="DP61" s="50"/>
      <c r="DQ61" s="50"/>
      <c r="DR61" s="50"/>
      <c r="DS61" s="50"/>
      <c r="DT61" s="50"/>
      <c r="DU61" s="50"/>
      <c r="DV61" s="50"/>
      <c r="DW61" s="50"/>
      <c r="DX61" s="50"/>
      <c r="DY61" s="50"/>
      <c r="DZ61" s="50"/>
      <c r="EA61" s="50"/>
      <c r="EB61" s="50"/>
      <c r="EC61" s="50"/>
      <c r="ED61" s="50"/>
      <c r="EE61" s="50"/>
      <c r="EF61" s="50"/>
      <c r="EG61" s="50"/>
      <c r="EH61" s="50"/>
      <c r="EI61" s="50"/>
      <c r="EJ61" s="50"/>
      <c r="EK61" s="50"/>
      <c r="EL61" s="50"/>
      <c r="EM61" s="50"/>
      <c r="EN61" s="50"/>
      <c r="EO61" s="50"/>
      <c r="EP61" s="50"/>
      <c r="EQ61" s="50"/>
      <c r="ER61" s="50"/>
      <c r="ES61" s="50"/>
      <c r="ET61" s="50"/>
      <c r="EU61" s="50"/>
      <c r="EV61" s="50"/>
      <c r="EW61" s="50"/>
      <c r="EX61" s="50"/>
      <c r="EY61" s="50"/>
      <c r="EZ61" s="50"/>
      <c r="FA61" s="50"/>
      <c r="FB61" s="50"/>
      <c r="FC61" s="50"/>
      <c r="FD61" s="50"/>
      <c r="FE61" s="50"/>
      <c r="FF61" s="50"/>
      <c r="FG61" s="50"/>
      <c r="FH61" s="50"/>
      <c r="FI61" s="50"/>
      <c r="FJ61" s="50"/>
      <c r="FK61" s="50"/>
      <c r="FL61" s="50"/>
      <c r="FM61" s="50"/>
      <c r="FN61" s="50"/>
      <c r="FO61" s="50"/>
      <c r="FP61" s="50"/>
      <c r="FQ61" s="50"/>
      <c r="FR61" s="50"/>
      <c r="FS61" s="50"/>
      <c r="FT61" s="50"/>
      <c r="FU61" s="50"/>
      <c r="FV61" s="50"/>
      <c r="FW61" s="50"/>
    </row>
    <row r="62" spans="1:180" s="59" customFormat="1" ht="25.5" customHeight="1">
      <c r="A62" s="51" t="s">
        <v>573</v>
      </c>
      <c r="B62" s="51" t="s">
        <v>574</v>
      </c>
      <c r="C62" s="52" t="s">
        <v>575</v>
      </c>
      <c r="D62" s="71" t="s">
        <v>576</v>
      </c>
      <c r="E62" s="54" t="s">
        <v>63</v>
      </c>
      <c r="F62" s="54" t="s">
        <v>154</v>
      </c>
      <c r="G62" s="54" t="s">
        <v>577</v>
      </c>
      <c r="H62" s="54"/>
      <c r="I62" s="54"/>
      <c r="J62" s="54"/>
      <c r="K62" s="54"/>
      <c r="L62" s="54"/>
      <c r="M62" s="54"/>
      <c r="N62" s="54" t="s">
        <v>577</v>
      </c>
      <c r="O62" s="54"/>
      <c r="P62" s="54"/>
      <c r="Q62" s="54"/>
      <c r="R62" s="54"/>
      <c r="S62" s="54"/>
      <c r="T62" s="53" t="s">
        <v>110</v>
      </c>
      <c r="U62" s="53" t="s">
        <v>111</v>
      </c>
      <c r="V62" s="52" t="s">
        <v>122</v>
      </c>
      <c r="W62" s="52" t="s">
        <v>535</v>
      </c>
      <c r="X62" s="52"/>
      <c r="Y62" s="54" t="str">
        <f>"[" &amp; _xlfn.TEXTJOIN(", ", TRUE,
    IF(G62&lt;&gt;"", """" &amp; G$1 &amp; """", ""),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T62 &amp; """", ""),
    IF(U62&lt;&gt;"", """" &amp; U62 &amp; """", ""),
    IF(V62&lt;&gt;"", """" &amp; V62 &amp; """", ""),
    IF(W62&lt;&gt;"", """" &amp; W62 &amp; """", ""),
    IF(X62&lt;&gt;"", """" &amp; X62 &amp; """", "")
) &amp; "]"</f>
        <v>["ENA", "ENA ERC32", "ENA Sample", "VJDB Sample", "Sample", "Clinical "]</v>
      </c>
      <c r="Z62" s="54"/>
      <c r="AA62" s="52"/>
      <c r="AB62" s="54" t="s">
        <v>337</v>
      </c>
      <c r="AC62" s="54"/>
      <c r="AD62" s="54"/>
      <c r="AE62" s="54"/>
      <c r="AF62" s="54"/>
      <c r="AG62" s="54"/>
      <c r="AH62" s="54"/>
      <c r="AI62" s="54"/>
      <c r="AJ62" s="54"/>
      <c r="AK62" s="54"/>
      <c r="AL62" s="54"/>
      <c r="AM62" s="54" t="s">
        <v>578</v>
      </c>
      <c r="AN62" s="54"/>
      <c r="AO62" s="54"/>
      <c r="AP62" s="54"/>
      <c r="AQ62" s="54"/>
      <c r="AR62" s="54"/>
      <c r="AS62" s="54" t="s">
        <v>101</v>
      </c>
      <c r="AT62" s="54" t="s">
        <v>101</v>
      </c>
      <c r="AU62" s="55" t="s">
        <v>579</v>
      </c>
      <c r="AV62" s="54" t="s">
        <v>580</v>
      </c>
      <c r="AW62" s="52" t="s">
        <v>211</v>
      </c>
      <c r="AX62" s="52" t="s">
        <v>77</v>
      </c>
      <c r="AY62" s="54"/>
      <c r="AZ62" s="54"/>
      <c r="BA62" s="54"/>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c r="CH62" s="50"/>
      <c r="CI62" s="50"/>
      <c r="CJ62" s="50"/>
      <c r="CK62" s="50"/>
      <c r="CL62" s="50"/>
      <c r="CM62" s="50"/>
      <c r="CN62" s="50"/>
      <c r="CO62" s="50"/>
      <c r="CP62" s="50"/>
      <c r="CQ62" s="50"/>
      <c r="CR62" s="50"/>
      <c r="CS62" s="50"/>
      <c r="CT62" s="50"/>
      <c r="CU62" s="50"/>
      <c r="CV62" s="50"/>
      <c r="CW62" s="50"/>
      <c r="CX62" s="50"/>
      <c r="CY62" s="50"/>
      <c r="CZ62" s="50"/>
      <c r="DA62" s="50"/>
      <c r="DB62" s="50"/>
      <c r="DC62" s="50"/>
      <c r="DD62" s="50"/>
      <c r="DE62" s="50"/>
      <c r="DF62" s="50"/>
      <c r="DG62" s="50"/>
      <c r="DH62" s="50"/>
      <c r="DI62" s="50"/>
      <c r="DJ62" s="50"/>
      <c r="DK62" s="50"/>
      <c r="DL62" s="50"/>
      <c r="DM62" s="50"/>
      <c r="DN62" s="50"/>
      <c r="DO62" s="50"/>
      <c r="DP62" s="50"/>
      <c r="DQ62" s="50"/>
      <c r="DR62" s="50"/>
      <c r="DS62" s="50"/>
      <c r="DT62" s="50"/>
      <c r="DU62" s="50"/>
      <c r="DV62" s="50"/>
      <c r="DW62" s="50"/>
      <c r="DX62" s="50"/>
      <c r="DY62" s="50"/>
      <c r="DZ62" s="50"/>
      <c r="EA62" s="50"/>
      <c r="EB62" s="50"/>
      <c r="EC62" s="50"/>
      <c r="ED62" s="50"/>
      <c r="EE62" s="50"/>
      <c r="EF62" s="50"/>
      <c r="EG62" s="50"/>
      <c r="EH62" s="50"/>
      <c r="EI62" s="50"/>
      <c r="EJ62" s="50"/>
      <c r="EK62" s="50"/>
      <c r="EL62" s="50"/>
      <c r="EM62" s="50"/>
      <c r="EN62" s="50"/>
      <c r="EO62" s="50"/>
      <c r="EP62" s="50"/>
      <c r="EQ62" s="50"/>
      <c r="ER62" s="50"/>
      <c r="ES62" s="50"/>
      <c r="ET62" s="50"/>
      <c r="EU62" s="50"/>
      <c r="EV62" s="50"/>
      <c r="EW62" s="50"/>
      <c r="EX62" s="50"/>
      <c r="EY62" s="50"/>
      <c r="EZ62" s="50"/>
      <c r="FA62" s="50"/>
      <c r="FB62" s="50"/>
      <c r="FC62" s="50"/>
      <c r="FD62" s="50"/>
      <c r="FE62" s="50"/>
      <c r="FF62" s="50"/>
      <c r="FG62" s="50"/>
      <c r="FH62" s="50"/>
      <c r="FI62" s="50"/>
      <c r="FJ62" s="50"/>
      <c r="FK62" s="50"/>
      <c r="FL62" s="50"/>
      <c r="FM62" s="50"/>
      <c r="FN62" s="50"/>
      <c r="FO62" s="50"/>
      <c r="FP62" s="50"/>
      <c r="FQ62" s="50"/>
      <c r="FR62" s="50"/>
      <c r="FS62" s="50"/>
      <c r="FT62" s="50"/>
      <c r="FU62" s="50"/>
      <c r="FV62" s="50"/>
      <c r="FW62" s="50"/>
    </row>
    <row r="63" spans="1:180" s="59" customFormat="1" ht="25.5" customHeight="1">
      <c r="A63" s="51" t="s">
        <v>581</v>
      </c>
      <c r="B63" s="51" t="s">
        <v>582</v>
      </c>
      <c r="C63" s="52" t="s">
        <v>583</v>
      </c>
      <c r="D63" s="71" t="s">
        <v>584</v>
      </c>
      <c r="E63" s="54" t="s">
        <v>63</v>
      </c>
      <c r="F63" s="54" t="s">
        <v>64</v>
      </c>
      <c r="G63" s="54"/>
      <c r="H63" s="54" t="s">
        <v>585</v>
      </c>
      <c r="I63" s="54"/>
      <c r="J63" s="54"/>
      <c r="K63" s="54"/>
      <c r="L63" s="54"/>
      <c r="M63" s="54" t="s">
        <v>586</v>
      </c>
      <c r="N63" s="54"/>
      <c r="O63" s="54"/>
      <c r="P63" s="54"/>
      <c r="Q63" s="54"/>
      <c r="R63" s="54"/>
      <c r="S63" s="54"/>
      <c r="T63" s="53"/>
      <c r="U63" s="53"/>
      <c r="V63" s="52" t="s">
        <v>587</v>
      </c>
      <c r="W63" s="52" t="s">
        <v>156</v>
      </c>
      <c r="X63" s="52"/>
      <c r="Y63" s="54" t="str">
        <f>"[" &amp; _xlfn.TEXTJOIN(", ", TRUE,
    IF(G63&lt;&gt;"", """" &amp; G$1 &amp; """", ""),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T63 &amp; """", ""),
    IF(U63&lt;&gt;"", """" &amp; U63 &amp; """", ""),
    IF(V63&lt;&gt;"", """" &amp; V63 &amp; """", ""),
    IF(W63&lt;&gt;"", """" &amp; W63 &amp; """", ""),
    IF(X63&lt;&gt;"", """" &amp; X63 &amp; """", "")
) &amp; "]"</f>
        <v>["RKI", "BV-BRC", "Analysis", "Sequence"]</v>
      </c>
      <c r="Z63" s="54" t="s">
        <v>70</v>
      </c>
      <c r="AA63" s="52" t="s">
        <v>588</v>
      </c>
      <c r="AB63" s="54"/>
      <c r="AC63" s="54"/>
      <c r="AD63" s="54"/>
      <c r="AE63" s="54"/>
      <c r="AF63" s="54"/>
      <c r="AG63" s="54" t="s">
        <v>175</v>
      </c>
      <c r="AH63" s="54"/>
      <c r="AI63" s="54" t="s">
        <v>589</v>
      </c>
      <c r="AJ63" s="54" t="s">
        <v>90</v>
      </c>
      <c r="AK63" s="54"/>
      <c r="AL63" s="54"/>
      <c r="AM63" s="54"/>
      <c r="AN63" s="54"/>
      <c r="AO63" s="54"/>
      <c r="AP63" s="54"/>
      <c r="AQ63" s="54"/>
      <c r="AR63" s="54"/>
      <c r="AS63" s="54"/>
      <c r="AT63" s="54"/>
      <c r="AU63" s="55"/>
      <c r="AV63" s="54"/>
      <c r="AW63" s="52" t="s">
        <v>211</v>
      </c>
      <c r="AX63" s="52" t="s">
        <v>132</v>
      </c>
      <c r="AY63" s="54"/>
      <c r="AZ63" s="54"/>
      <c r="BA63" s="54"/>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c r="CH63" s="50"/>
      <c r="CI63" s="50"/>
      <c r="CJ63" s="50"/>
      <c r="CK63" s="50"/>
      <c r="CL63" s="50"/>
      <c r="CM63" s="50"/>
      <c r="CN63" s="50"/>
      <c r="CO63" s="50"/>
      <c r="CP63" s="50"/>
      <c r="CQ63" s="50"/>
      <c r="CR63" s="50"/>
      <c r="CS63" s="50"/>
      <c r="CT63" s="50"/>
      <c r="CU63" s="50"/>
      <c r="CV63" s="50"/>
      <c r="CW63" s="50"/>
      <c r="CX63" s="50"/>
      <c r="CY63" s="50"/>
      <c r="CZ63" s="50"/>
      <c r="DA63" s="50"/>
      <c r="DB63" s="50"/>
      <c r="DC63" s="50"/>
      <c r="DD63" s="50"/>
      <c r="DE63" s="50"/>
      <c r="DF63" s="50"/>
      <c r="DG63" s="50"/>
      <c r="DH63" s="50"/>
      <c r="DI63" s="50"/>
      <c r="DJ63" s="50"/>
      <c r="DK63" s="50"/>
      <c r="DL63" s="50"/>
      <c r="DM63" s="50"/>
      <c r="DN63" s="50"/>
      <c r="DO63" s="50"/>
      <c r="DP63" s="50"/>
      <c r="DQ63" s="50"/>
      <c r="DR63" s="50"/>
      <c r="DS63" s="50"/>
      <c r="DT63" s="50"/>
      <c r="DU63" s="50"/>
      <c r="DV63" s="50"/>
      <c r="DW63" s="50"/>
      <c r="DX63" s="50"/>
      <c r="DY63" s="50"/>
      <c r="DZ63" s="50"/>
      <c r="EA63" s="50"/>
      <c r="EB63" s="50"/>
      <c r="EC63" s="50"/>
      <c r="ED63" s="50"/>
      <c r="EE63" s="50"/>
      <c r="EF63" s="50"/>
      <c r="EG63" s="50"/>
      <c r="EH63" s="50"/>
      <c r="EI63" s="50"/>
      <c r="EJ63" s="50"/>
      <c r="EK63" s="50"/>
      <c r="EL63" s="50"/>
      <c r="EM63" s="50"/>
      <c r="EN63" s="50"/>
      <c r="EO63" s="50"/>
      <c r="EP63" s="50"/>
      <c r="EQ63" s="50"/>
      <c r="ER63" s="50"/>
      <c r="ES63" s="50"/>
      <c r="ET63" s="50"/>
      <c r="EU63" s="50"/>
      <c r="EV63" s="50"/>
      <c r="EW63" s="50"/>
      <c r="EX63" s="50"/>
      <c r="EY63" s="50"/>
      <c r="EZ63" s="50"/>
      <c r="FA63" s="50"/>
      <c r="FB63" s="50"/>
      <c r="FC63" s="50"/>
      <c r="FD63" s="50"/>
      <c r="FE63" s="50"/>
      <c r="FF63" s="50"/>
      <c r="FG63" s="50"/>
      <c r="FH63" s="50"/>
      <c r="FI63" s="50"/>
      <c r="FJ63" s="50"/>
      <c r="FK63" s="50"/>
      <c r="FL63" s="50"/>
      <c r="FM63" s="50"/>
      <c r="FN63" s="50"/>
      <c r="FO63" s="50"/>
      <c r="FP63" s="50"/>
      <c r="FQ63" s="50"/>
      <c r="FR63" s="50"/>
      <c r="FS63" s="50"/>
      <c r="FT63" s="50"/>
      <c r="FU63" s="50"/>
      <c r="FV63" s="50"/>
      <c r="FW63" s="50"/>
    </row>
    <row r="64" spans="1:180" s="59" customFormat="1" ht="25.5" customHeight="1">
      <c r="A64" s="51" t="s">
        <v>590</v>
      </c>
      <c r="B64" s="51" t="s">
        <v>591</v>
      </c>
      <c r="C64" s="52" t="s">
        <v>592</v>
      </c>
      <c r="D64" s="71" t="s">
        <v>593</v>
      </c>
      <c r="E64" s="54" t="s">
        <v>63</v>
      </c>
      <c r="F64" s="54" t="s">
        <v>154</v>
      </c>
      <c r="G64" s="54"/>
      <c r="H64" s="54" t="s">
        <v>594</v>
      </c>
      <c r="I64" s="54"/>
      <c r="J64" s="54"/>
      <c r="K64" s="54"/>
      <c r="L64" s="54"/>
      <c r="M64" s="54"/>
      <c r="N64" s="54"/>
      <c r="O64" s="54"/>
      <c r="P64" s="54"/>
      <c r="Q64" s="54"/>
      <c r="R64" s="54"/>
      <c r="S64" s="54"/>
      <c r="T64" s="53"/>
      <c r="U64" s="53"/>
      <c r="V64" s="52" t="s">
        <v>587</v>
      </c>
      <c r="W64" s="52"/>
      <c r="X64" s="52" t="s">
        <v>219</v>
      </c>
      <c r="Y64" s="54" t="str">
        <f>"[" &amp; _xlfn.TEXTJOIN(", ", TRUE,
    IF(G64&lt;&gt;"", """" &amp; G$1 &amp; """", ""),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T64 &amp; """", ""),
    IF(U64&lt;&gt;"", """" &amp; U64 &amp; """", ""),
    IF(V64&lt;&gt;"", """" &amp; V64 &amp; """", ""),
    IF(W64&lt;&gt;"", """" &amp; W64 &amp; """", ""),
    IF(X64&lt;&gt;"", """" &amp; X64 &amp; """", "")
) &amp; "]"</f>
        <v>["RKI", "Analysis", "Workflows"]</v>
      </c>
      <c r="Z64" s="54"/>
      <c r="AA64" s="52"/>
      <c r="AB64" s="54" t="s">
        <v>337</v>
      </c>
      <c r="AC64" s="54"/>
      <c r="AD64" s="54"/>
      <c r="AE64" s="54"/>
      <c r="AF64" s="54"/>
      <c r="AG64" s="54"/>
      <c r="AH64" s="54"/>
      <c r="AI64" s="54"/>
      <c r="AJ64" s="54"/>
      <c r="AK64" s="54"/>
      <c r="AL64" s="54"/>
      <c r="AM64" s="54"/>
      <c r="AN64" s="54"/>
      <c r="AO64" s="54"/>
      <c r="AP64" s="54"/>
      <c r="AQ64" s="54"/>
      <c r="AR64" s="54"/>
      <c r="AS64" s="54"/>
      <c r="AT64" s="54"/>
      <c r="AU64" s="55"/>
      <c r="AV64" s="54"/>
      <c r="AW64" s="52" t="s">
        <v>211</v>
      </c>
      <c r="AX64" s="52" t="s">
        <v>132</v>
      </c>
      <c r="AY64" s="54"/>
      <c r="AZ64" s="54"/>
      <c r="BA64" s="54"/>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c r="CH64" s="50"/>
      <c r="CI64" s="50"/>
      <c r="CJ64" s="50"/>
      <c r="CK64" s="50"/>
      <c r="CL64" s="50"/>
      <c r="CM64" s="50"/>
      <c r="CN64" s="50"/>
      <c r="CO64" s="50"/>
      <c r="CP64" s="50"/>
      <c r="CQ64" s="50"/>
      <c r="CR64" s="50"/>
      <c r="CS64" s="50"/>
      <c r="CT64" s="50"/>
      <c r="CU64" s="50"/>
      <c r="CV64" s="50"/>
      <c r="CW64" s="50"/>
      <c r="CX64" s="50"/>
      <c r="CY64" s="50"/>
      <c r="CZ64" s="50"/>
      <c r="DA64" s="50"/>
      <c r="DB64" s="50"/>
      <c r="DC64" s="50"/>
      <c r="DD64" s="50"/>
      <c r="DE64" s="50"/>
      <c r="DF64" s="50"/>
      <c r="DG64" s="50"/>
      <c r="DH64" s="50"/>
      <c r="DI64" s="50"/>
      <c r="DJ64" s="50"/>
      <c r="DK64" s="50"/>
      <c r="DL64" s="50"/>
      <c r="DM64" s="50"/>
      <c r="DN64" s="50"/>
      <c r="DO64" s="50"/>
      <c r="DP64" s="50"/>
      <c r="DQ64" s="50"/>
      <c r="DR64" s="50"/>
      <c r="DS64" s="50"/>
      <c r="DT64" s="50"/>
      <c r="DU64" s="50"/>
      <c r="DV64" s="50"/>
      <c r="DW64" s="50"/>
      <c r="DX64" s="50"/>
      <c r="DY64" s="50"/>
      <c r="DZ64" s="50"/>
      <c r="EA64" s="50"/>
      <c r="EB64" s="50"/>
      <c r="EC64" s="50"/>
      <c r="ED64" s="50"/>
      <c r="EE64" s="50"/>
      <c r="EF64" s="50"/>
      <c r="EG64" s="50"/>
      <c r="EH64" s="50"/>
      <c r="EI64" s="50"/>
      <c r="EJ64" s="50"/>
      <c r="EK64" s="50"/>
      <c r="EL64" s="50"/>
      <c r="EM64" s="50"/>
      <c r="EN64" s="50"/>
      <c r="EO64" s="50"/>
      <c r="EP64" s="50"/>
      <c r="EQ64" s="50"/>
      <c r="ER64" s="50"/>
      <c r="ES64" s="50"/>
      <c r="ET64" s="50"/>
      <c r="EU64" s="50"/>
      <c r="EV64" s="50"/>
      <c r="EW64" s="50"/>
      <c r="EX64" s="50"/>
      <c r="EY64" s="50"/>
      <c r="EZ64" s="50"/>
      <c r="FA64" s="50"/>
      <c r="FB64" s="50"/>
      <c r="FC64" s="50"/>
      <c r="FD64" s="50"/>
      <c r="FE64" s="50"/>
      <c r="FF64" s="50"/>
      <c r="FG64" s="50"/>
      <c r="FH64" s="50"/>
      <c r="FI64" s="50"/>
      <c r="FJ64" s="50"/>
      <c r="FK64" s="50"/>
      <c r="FL64" s="50"/>
      <c r="FM64" s="50"/>
      <c r="FN64" s="50"/>
      <c r="FO64" s="50"/>
      <c r="FP64" s="50"/>
      <c r="FQ64" s="50"/>
      <c r="FR64" s="50"/>
      <c r="FS64" s="50"/>
      <c r="FT64" s="50"/>
      <c r="FU64" s="50"/>
      <c r="FV64" s="50"/>
      <c r="FW64" s="50"/>
      <c r="FX64" s="50"/>
    </row>
    <row r="65" spans="1:179" s="59" customFormat="1" ht="25.5" customHeight="1">
      <c r="A65" s="51" t="s">
        <v>595</v>
      </c>
      <c r="B65" s="51" t="s">
        <v>596</v>
      </c>
      <c r="C65" s="52" t="s">
        <v>597</v>
      </c>
      <c r="D65" s="71" t="s">
        <v>598</v>
      </c>
      <c r="E65" s="54" t="s">
        <v>117</v>
      </c>
      <c r="F65" s="54" t="s">
        <v>154</v>
      </c>
      <c r="G65" s="54" t="s">
        <v>599</v>
      </c>
      <c r="H65" s="54"/>
      <c r="I65" s="54"/>
      <c r="J65" s="54"/>
      <c r="K65" s="54"/>
      <c r="L65" s="54"/>
      <c r="M65" s="54"/>
      <c r="N65" s="54" t="s">
        <v>599</v>
      </c>
      <c r="O65" s="54" t="s">
        <v>599</v>
      </c>
      <c r="P65" s="54"/>
      <c r="Q65" s="54"/>
      <c r="R65" s="54"/>
      <c r="S65" s="54"/>
      <c r="T65" s="53" t="s">
        <v>110</v>
      </c>
      <c r="U65" s="53" t="s">
        <v>111</v>
      </c>
      <c r="V65" s="52" t="s">
        <v>122</v>
      </c>
      <c r="W65" s="52" t="s">
        <v>535</v>
      </c>
      <c r="X65" s="52"/>
      <c r="Y65" s="54" t="str">
        <f>"[" &amp; _xlfn.TEXTJOIN(", ", TRUE,
    IF(G65&lt;&gt;"", """" &amp; G$1 &amp; """", ""),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T65 &amp; """", ""),
    IF(U65&lt;&gt;"", """" &amp; U65 &amp; """", ""),
    IF(V65&lt;&gt;"", """" &amp; V65 &amp; """", ""),
    IF(W65&lt;&gt;"", """" &amp; W65 &amp; """", ""),
    IF(X65&lt;&gt;"", """" &amp; X65 &amp; """", "")
) &amp; "]"</f>
        <v>["ENA", "ENA ERC32", "ENA ERC33", "ENA Sample", "VJDB Sample", "Sample", "Clinical "]</v>
      </c>
      <c r="Z65" s="54"/>
      <c r="AA65" s="52"/>
      <c r="AB65" s="54" t="s">
        <v>337</v>
      </c>
      <c r="AC65" s="54"/>
      <c r="AD65" s="54"/>
      <c r="AE65" s="54"/>
      <c r="AF65" s="54"/>
      <c r="AG65" s="54"/>
      <c r="AH65" s="54"/>
      <c r="AI65" s="54"/>
      <c r="AJ65" s="54"/>
      <c r="AK65" s="54"/>
      <c r="AL65" s="54"/>
      <c r="AM65" s="54" t="s">
        <v>600</v>
      </c>
      <c r="AN65" s="54"/>
      <c r="AO65" s="54"/>
      <c r="AP65" s="54" t="s">
        <v>600</v>
      </c>
      <c r="AQ65" s="54"/>
      <c r="AR65" s="54" t="s">
        <v>129</v>
      </c>
      <c r="AS65" s="54" t="s">
        <v>186</v>
      </c>
      <c r="AT65" s="54" t="s">
        <v>186</v>
      </c>
      <c r="AU65" s="55" t="s">
        <v>283</v>
      </c>
      <c r="AV65" s="54" t="s">
        <v>284</v>
      </c>
      <c r="AW65" s="52" t="s">
        <v>117</v>
      </c>
      <c r="AX65" s="52" t="s">
        <v>132</v>
      </c>
      <c r="AY65" s="54"/>
      <c r="AZ65" s="54"/>
      <c r="BA65" s="54"/>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c r="CH65" s="50"/>
      <c r="CI65" s="50"/>
      <c r="CJ65" s="50"/>
      <c r="CK65" s="50"/>
      <c r="CL65" s="50"/>
      <c r="CM65" s="50"/>
      <c r="CN65" s="50"/>
      <c r="CO65" s="50"/>
      <c r="CP65" s="50"/>
      <c r="CQ65" s="50"/>
      <c r="CR65" s="50"/>
      <c r="CS65" s="50"/>
      <c r="CT65" s="50"/>
      <c r="CU65" s="50"/>
      <c r="CV65" s="50"/>
      <c r="CW65" s="50"/>
      <c r="CX65" s="50"/>
      <c r="CY65" s="50"/>
      <c r="CZ65" s="50"/>
      <c r="DA65" s="50"/>
      <c r="DB65" s="50"/>
      <c r="DC65" s="50"/>
      <c r="DD65" s="50"/>
      <c r="DE65" s="50"/>
      <c r="DF65" s="50"/>
      <c r="DG65" s="50"/>
      <c r="DH65" s="50"/>
      <c r="DI65" s="50"/>
      <c r="DJ65" s="50"/>
      <c r="DK65" s="50"/>
      <c r="DL65" s="50"/>
      <c r="DM65" s="50"/>
      <c r="DN65" s="50"/>
      <c r="DO65" s="50"/>
      <c r="DP65" s="50"/>
      <c r="DQ65" s="50"/>
      <c r="DR65" s="50"/>
      <c r="DS65" s="50"/>
      <c r="DT65" s="50"/>
      <c r="DU65" s="50"/>
      <c r="DV65" s="50"/>
      <c r="DW65" s="50"/>
      <c r="DX65" s="50"/>
      <c r="DY65" s="50"/>
      <c r="DZ65" s="50"/>
      <c r="EA65" s="50"/>
      <c r="EB65" s="50"/>
      <c r="EC65" s="50"/>
      <c r="ED65" s="50"/>
      <c r="EE65" s="50"/>
      <c r="EF65" s="50"/>
      <c r="EG65" s="50"/>
      <c r="EH65" s="50"/>
      <c r="EI65" s="50"/>
      <c r="EJ65" s="50"/>
      <c r="EK65" s="50"/>
      <c r="EL65" s="50"/>
      <c r="EM65" s="50"/>
      <c r="EN65" s="50"/>
      <c r="EO65" s="50"/>
      <c r="EP65" s="50"/>
      <c r="EQ65" s="50"/>
      <c r="ER65" s="50"/>
      <c r="ES65" s="50"/>
      <c r="ET65" s="50"/>
      <c r="EU65" s="50"/>
      <c r="EV65" s="50"/>
      <c r="EW65" s="50"/>
      <c r="EX65" s="50"/>
      <c r="EY65" s="50"/>
      <c r="EZ65" s="50"/>
      <c r="FA65" s="50"/>
      <c r="FB65" s="50"/>
      <c r="FC65" s="50"/>
      <c r="FD65" s="50"/>
      <c r="FE65" s="50"/>
      <c r="FF65" s="50"/>
      <c r="FG65" s="50"/>
      <c r="FH65" s="50"/>
      <c r="FI65" s="50"/>
      <c r="FJ65" s="50"/>
      <c r="FK65" s="50"/>
      <c r="FL65" s="50"/>
      <c r="FM65" s="50"/>
      <c r="FN65" s="50"/>
      <c r="FO65" s="50"/>
      <c r="FP65" s="50"/>
      <c r="FQ65" s="50"/>
      <c r="FR65" s="50"/>
      <c r="FS65" s="50"/>
      <c r="FT65" s="50"/>
      <c r="FU65" s="50"/>
      <c r="FV65" s="50"/>
      <c r="FW65" s="50"/>
    </row>
    <row r="66" spans="1:179" s="59" customFormat="1" ht="25.5" customHeight="1">
      <c r="A66" s="51" t="s">
        <v>601</v>
      </c>
      <c r="B66" s="51" t="s">
        <v>602</v>
      </c>
      <c r="C66" s="52" t="s">
        <v>603</v>
      </c>
      <c r="D66" s="71" t="s">
        <v>604</v>
      </c>
      <c r="E66" s="54" t="s">
        <v>63</v>
      </c>
      <c r="F66" s="54" t="s">
        <v>154</v>
      </c>
      <c r="G66" s="54"/>
      <c r="H66" s="54" t="s">
        <v>605</v>
      </c>
      <c r="I66" s="54"/>
      <c r="J66" s="54"/>
      <c r="K66" s="54"/>
      <c r="L66" s="54"/>
      <c r="M66" s="54"/>
      <c r="N66" s="54"/>
      <c r="O66" s="54"/>
      <c r="P66" s="54"/>
      <c r="Q66" s="54"/>
      <c r="R66" s="54"/>
      <c r="S66" s="54"/>
      <c r="T66" s="53"/>
      <c r="U66" s="53"/>
      <c r="V66" s="52" t="s">
        <v>68</v>
      </c>
      <c r="W66" s="52" t="s">
        <v>69</v>
      </c>
      <c r="X66" s="52"/>
      <c r="Y66" s="54" t="str">
        <f>"[" &amp; _xlfn.TEXTJOIN(", ", TRUE,
    IF(G66&lt;&gt;"", """" &amp; G$1 &amp; """", ""),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T66 &amp; """", ""),
    IF(U66&lt;&gt;"", """" &amp; U66 &amp; """", ""),
    IF(V66&lt;&gt;"", """" &amp; V66 &amp; """", ""),
    IF(W66&lt;&gt;"", """" &amp; W66 &amp; """", ""),
    IF(X66&lt;&gt;"", """" &amp; X66 &amp; """", "")
) &amp; "]"</f>
        <v>["RKI", "Organizational", "Identifiers"]</v>
      </c>
      <c r="Z66" s="54"/>
      <c r="AA66" s="52" t="s">
        <v>71</v>
      </c>
      <c r="AB66" s="54" t="s">
        <v>414</v>
      </c>
      <c r="AC66" s="54"/>
      <c r="AD66" s="54"/>
      <c r="AE66" s="54"/>
      <c r="AF66" s="54"/>
      <c r="AG66" s="54"/>
      <c r="AH66" s="54"/>
      <c r="AI66" s="54"/>
      <c r="AJ66" s="54"/>
      <c r="AK66" s="54"/>
      <c r="AL66" s="54"/>
      <c r="AM66" s="54"/>
      <c r="AN66" s="54"/>
      <c r="AO66" s="54"/>
      <c r="AP66" s="54"/>
      <c r="AQ66" s="54"/>
      <c r="AR66" s="54"/>
      <c r="AS66" s="54"/>
      <c r="AT66" s="54"/>
      <c r="AU66" s="55"/>
      <c r="AV66" s="54"/>
      <c r="AW66" s="52" t="s">
        <v>76</v>
      </c>
      <c r="AX66" s="52" t="s">
        <v>132</v>
      </c>
      <c r="AY66" s="54"/>
      <c r="AZ66" s="54"/>
      <c r="BA66" s="54"/>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c r="CH66" s="50"/>
      <c r="CI66" s="50"/>
      <c r="CJ66" s="50"/>
      <c r="CK66" s="50"/>
      <c r="CL66" s="50"/>
      <c r="CM66" s="50"/>
      <c r="CN66" s="50"/>
      <c r="CO66" s="50"/>
      <c r="CP66" s="50"/>
      <c r="CQ66" s="50"/>
      <c r="CR66" s="50"/>
      <c r="CS66" s="50"/>
      <c r="CT66" s="50"/>
      <c r="CU66" s="50"/>
      <c r="CV66" s="50"/>
      <c r="CW66" s="50"/>
      <c r="CX66" s="50"/>
      <c r="CY66" s="50"/>
      <c r="CZ66" s="50"/>
      <c r="DA66" s="50"/>
      <c r="DB66" s="50"/>
      <c r="DC66" s="50"/>
      <c r="DD66" s="50"/>
      <c r="DE66" s="50"/>
      <c r="DF66" s="50"/>
      <c r="DG66" s="50"/>
      <c r="DH66" s="50"/>
      <c r="DI66" s="50"/>
      <c r="DJ66" s="50"/>
      <c r="DK66" s="50"/>
      <c r="DL66" s="50"/>
      <c r="DM66" s="50"/>
      <c r="DN66" s="50"/>
      <c r="DO66" s="50"/>
      <c r="DP66" s="50"/>
      <c r="DQ66" s="50"/>
      <c r="DR66" s="50"/>
      <c r="DS66" s="50"/>
      <c r="DT66" s="50"/>
      <c r="DU66" s="50"/>
      <c r="DV66" s="50"/>
      <c r="DW66" s="50"/>
      <c r="DX66" s="50"/>
      <c r="DY66" s="50"/>
      <c r="DZ66" s="50"/>
      <c r="EA66" s="50"/>
      <c r="EB66" s="50"/>
      <c r="EC66" s="50"/>
      <c r="ED66" s="50"/>
      <c r="EE66" s="50"/>
      <c r="EF66" s="50"/>
      <c r="EG66" s="50"/>
      <c r="EH66" s="50"/>
      <c r="EI66" s="50"/>
      <c r="EJ66" s="50"/>
      <c r="EK66" s="50"/>
      <c r="EL66" s="50"/>
      <c r="EM66" s="50"/>
      <c r="EN66" s="50"/>
      <c r="EO66" s="50"/>
      <c r="EP66" s="50"/>
      <c r="EQ66" s="50"/>
      <c r="ER66" s="50"/>
      <c r="ES66" s="50"/>
      <c r="ET66" s="50"/>
      <c r="EU66" s="50"/>
      <c r="EV66" s="50"/>
      <c r="EW66" s="50"/>
      <c r="EX66" s="50"/>
      <c r="EY66" s="50"/>
      <c r="EZ66" s="50"/>
      <c r="FA66" s="50"/>
      <c r="FB66" s="50"/>
      <c r="FC66" s="50"/>
      <c r="FD66" s="50"/>
      <c r="FE66" s="50"/>
      <c r="FF66" s="50"/>
      <c r="FG66" s="50"/>
      <c r="FH66" s="50"/>
      <c r="FI66" s="50"/>
      <c r="FJ66" s="50"/>
      <c r="FK66" s="50"/>
      <c r="FL66" s="50"/>
      <c r="FM66" s="50"/>
      <c r="FN66" s="50"/>
      <c r="FO66" s="50"/>
      <c r="FP66" s="50"/>
      <c r="FQ66" s="50"/>
      <c r="FR66" s="50"/>
      <c r="FS66" s="50"/>
      <c r="FT66" s="50"/>
      <c r="FU66" s="50"/>
      <c r="FV66" s="50"/>
      <c r="FW66" s="50"/>
    </row>
    <row r="67" spans="1:179" s="59" customFormat="1" ht="25.5" customHeight="1">
      <c r="A67" s="51" t="s">
        <v>606</v>
      </c>
      <c r="B67" s="51" t="s">
        <v>607</v>
      </c>
      <c r="C67" s="52" t="s">
        <v>608</v>
      </c>
      <c r="D67" s="71" t="s">
        <v>609</v>
      </c>
      <c r="E67" s="54" t="s">
        <v>63</v>
      </c>
      <c r="F67" s="54" t="s">
        <v>154</v>
      </c>
      <c r="G67" s="54" t="s">
        <v>610</v>
      </c>
      <c r="H67" s="54"/>
      <c r="I67" s="54"/>
      <c r="J67" s="54"/>
      <c r="K67" s="54"/>
      <c r="L67" s="54"/>
      <c r="M67" s="54"/>
      <c r="N67" s="54"/>
      <c r="O67" s="54"/>
      <c r="P67" s="54"/>
      <c r="Q67" s="54"/>
      <c r="R67" s="54"/>
      <c r="S67" s="54"/>
      <c r="T67" s="53"/>
      <c r="U67" s="53"/>
      <c r="V67" s="52" t="s">
        <v>68</v>
      </c>
      <c r="W67" s="52" t="s">
        <v>69</v>
      </c>
      <c r="X67" s="52"/>
      <c r="Y67" s="54" t="str">
        <f>"[" &amp; _xlfn.TEXTJOIN(", ", TRUE,
    IF(G67&lt;&gt;"", """" &amp; G$1 &amp; """", ""),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T67 &amp; """", ""),
    IF(U67&lt;&gt;"", """" &amp; U67 &amp; """", ""),
    IF(V67&lt;&gt;"", """" &amp; V67 &amp; """", ""),
    IF(W67&lt;&gt;"", """" &amp; W67 &amp; """", ""),
    IF(X67&lt;&gt;"", """" &amp; X67 &amp; """", "")
) &amp; "]"</f>
        <v>["ENA", "Organizational", "Identifiers"]</v>
      </c>
      <c r="Z67" s="54"/>
      <c r="AA67" s="52" t="s">
        <v>71</v>
      </c>
      <c r="AB67" s="54" t="s">
        <v>337</v>
      </c>
      <c r="AC67" s="54"/>
      <c r="AD67" s="54"/>
      <c r="AE67" s="54"/>
      <c r="AF67" s="54"/>
      <c r="AG67" s="54"/>
      <c r="AH67" s="54"/>
      <c r="AI67" s="54"/>
      <c r="AJ67" s="54"/>
      <c r="AK67" s="54"/>
      <c r="AL67" s="54"/>
      <c r="AM67" s="54"/>
      <c r="AN67" s="54"/>
      <c r="AO67" s="54"/>
      <c r="AP67" s="54"/>
      <c r="AQ67" s="54"/>
      <c r="AR67" s="54"/>
      <c r="AS67" s="54" t="s">
        <v>186</v>
      </c>
      <c r="AT67" s="54" t="s">
        <v>186</v>
      </c>
      <c r="AU67" s="55"/>
      <c r="AV67" s="54"/>
      <c r="AW67" s="52" t="s">
        <v>76</v>
      </c>
      <c r="AX67" s="52" t="s">
        <v>77</v>
      </c>
      <c r="AY67" s="54"/>
      <c r="AZ67" s="54"/>
      <c r="BA67" s="54"/>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c r="CH67" s="50"/>
      <c r="CI67" s="50"/>
      <c r="CJ67" s="50"/>
      <c r="CK67" s="50"/>
      <c r="CL67" s="50"/>
      <c r="CM67" s="50"/>
      <c r="CN67" s="50"/>
      <c r="CO67" s="50"/>
      <c r="CP67" s="50"/>
      <c r="CQ67" s="50"/>
      <c r="CR67" s="50"/>
      <c r="CS67" s="50"/>
      <c r="CT67" s="50"/>
      <c r="CU67" s="50"/>
      <c r="CV67" s="50"/>
      <c r="CW67" s="50"/>
      <c r="CX67" s="50"/>
      <c r="CY67" s="50"/>
      <c r="CZ67" s="50"/>
      <c r="DA67" s="50"/>
      <c r="DB67" s="50"/>
      <c r="DC67" s="50"/>
      <c r="DD67" s="50"/>
      <c r="DE67" s="50"/>
      <c r="DF67" s="50"/>
      <c r="DG67" s="50"/>
      <c r="DH67" s="50"/>
      <c r="DI67" s="50"/>
      <c r="DJ67" s="50"/>
      <c r="DK67" s="50"/>
      <c r="DL67" s="50"/>
      <c r="DM67" s="50"/>
      <c r="DN67" s="50"/>
      <c r="DO67" s="50"/>
      <c r="DP67" s="50"/>
      <c r="DQ67" s="50"/>
      <c r="DR67" s="50"/>
      <c r="DS67" s="50"/>
      <c r="DT67" s="50"/>
      <c r="DU67" s="50"/>
      <c r="DV67" s="50"/>
      <c r="DW67" s="50"/>
      <c r="DX67" s="50"/>
      <c r="DY67" s="50"/>
      <c r="DZ67" s="50"/>
      <c r="EA67" s="50"/>
      <c r="EB67" s="50"/>
      <c r="EC67" s="50"/>
      <c r="ED67" s="50"/>
      <c r="EE67" s="50"/>
      <c r="EF67" s="50"/>
      <c r="EG67" s="50"/>
      <c r="EH67" s="50"/>
      <c r="EI67" s="50"/>
      <c r="EJ67" s="50"/>
      <c r="EK67" s="50"/>
      <c r="EL67" s="50"/>
      <c r="EM67" s="50"/>
      <c r="EN67" s="50"/>
      <c r="EO67" s="50"/>
      <c r="EP67" s="50"/>
      <c r="EQ67" s="50"/>
      <c r="ER67" s="50"/>
      <c r="ES67" s="50"/>
      <c r="ET67" s="50"/>
      <c r="EU67" s="50"/>
      <c r="EV67" s="50"/>
      <c r="EW67" s="50"/>
      <c r="EX67" s="50"/>
      <c r="EY67" s="50"/>
      <c r="EZ67" s="50"/>
      <c r="FA67" s="50"/>
      <c r="FB67" s="50"/>
      <c r="FC67" s="50"/>
      <c r="FD67" s="50"/>
      <c r="FE67" s="50"/>
      <c r="FF67" s="50"/>
      <c r="FG67" s="50"/>
      <c r="FH67" s="50"/>
      <c r="FI67" s="50"/>
      <c r="FJ67" s="50"/>
      <c r="FK67" s="50"/>
      <c r="FL67" s="50"/>
      <c r="FM67" s="50"/>
      <c r="FN67" s="50"/>
      <c r="FO67" s="50"/>
      <c r="FP67" s="50"/>
      <c r="FQ67" s="50"/>
      <c r="FR67" s="50"/>
      <c r="FS67" s="50"/>
      <c r="FT67" s="50"/>
      <c r="FU67" s="50"/>
      <c r="FV67" s="50"/>
      <c r="FW67" s="50"/>
    </row>
    <row r="68" spans="1:179" s="59" customFormat="1" ht="25.5" customHeight="1">
      <c r="A68" s="51" t="s">
        <v>611</v>
      </c>
      <c r="B68" s="51" t="s">
        <v>612</v>
      </c>
      <c r="C68" s="52" t="s">
        <v>613</v>
      </c>
      <c r="D68" s="71" t="s">
        <v>614</v>
      </c>
      <c r="E68" s="54" t="s">
        <v>216</v>
      </c>
      <c r="F68" s="54" t="s">
        <v>64</v>
      </c>
      <c r="G68" s="54" t="s">
        <v>615</v>
      </c>
      <c r="H68" s="54"/>
      <c r="I68" s="54" t="s">
        <v>616</v>
      </c>
      <c r="J68" s="54"/>
      <c r="K68" s="54"/>
      <c r="L68" s="54"/>
      <c r="M68" s="54" t="s">
        <v>617</v>
      </c>
      <c r="N68" s="54" t="s">
        <v>618</v>
      </c>
      <c r="O68" s="54" t="s">
        <v>618</v>
      </c>
      <c r="P68" s="60" t="s">
        <v>619</v>
      </c>
      <c r="Q68" s="60" t="s">
        <v>619</v>
      </c>
      <c r="R68" s="60" t="s">
        <v>619</v>
      </c>
      <c r="S68" s="60" t="s">
        <v>620</v>
      </c>
      <c r="T68" s="53" t="s">
        <v>110</v>
      </c>
      <c r="U68" s="53" t="s">
        <v>111</v>
      </c>
      <c r="V68" s="52" t="s">
        <v>621</v>
      </c>
      <c r="W68" s="52" t="s">
        <v>69</v>
      </c>
      <c r="X68" s="52" t="s">
        <v>517</v>
      </c>
      <c r="Y68" s="54" t="str">
        <f>"[" &amp; _xlfn.TEXTJOIN(", ", TRUE,
    IF(G68&lt;&gt;"", """" &amp; G$1 &amp; """", ""),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T68 &amp; """", ""),
    IF(U68&lt;&gt;"", """" &amp; U68 &amp; """", ""),
    IF(V68&lt;&gt;"", """" &amp; V68 &amp; """", ""),
    IF(W68&lt;&gt;"", """" &amp; W68 &amp; """", ""),
    IF(X68&lt;&gt;"", """" &amp; X68 &amp; """", "")
) &amp; "]"</f>
        <v>["ENA", "MIGS-VI", "BV-BRC", "ENA ERC32", "ENA ERC33", "IMG/VR", "PHD", "PhiSpy", "GTDB", "ENA Sample", "VJDB Sample", "Taxonomy", "Identifiers", "NCBI Taxonomy"]</v>
      </c>
      <c r="Z68" s="54" t="s">
        <v>359</v>
      </c>
      <c r="AA68" s="52" t="s">
        <v>622</v>
      </c>
      <c r="AB68" s="54"/>
      <c r="AC68" s="54"/>
      <c r="AD68" s="54"/>
      <c r="AE68" s="54"/>
      <c r="AF68" s="54"/>
      <c r="AG68" s="54" t="s">
        <v>623</v>
      </c>
      <c r="AH68" s="54" t="s">
        <v>621</v>
      </c>
      <c r="AI68" s="54" t="s">
        <v>618</v>
      </c>
      <c r="AJ68" s="54" t="s">
        <v>224</v>
      </c>
      <c r="AK68" s="54"/>
      <c r="AL68" s="54"/>
      <c r="AM68" s="54" t="s">
        <v>624</v>
      </c>
      <c r="AN68" s="54"/>
      <c r="AO68" s="54"/>
      <c r="AP68" s="54" t="s">
        <v>624</v>
      </c>
      <c r="AQ68" s="54"/>
      <c r="AR68" s="54" t="s">
        <v>129</v>
      </c>
      <c r="AS68" s="54" t="s">
        <v>101</v>
      </c>
      <c r="AT68" s="54" t="s">
        <v>101</v>
      </c>
      <c r="AU68" s="55" t="s">
        <v>625</v>
      </c>
      <c r="AV68" s="54" t="s">
        <v>520</v>
      </c>
      <c r="AW68" s="52" t="s">
        <v>211</v>
      </c>
      <c r="AX68" s="52" t="s">
        <v>77</v>
      </c>
      <c r="AY68" s="54"/>
      <c r="AZ68" s="54"/>
      <c r="BA68" s="54"/>
      <c r="BB68" s="50"/>
      <c r="BC68" s="58" t="s">
        <v>80</v>
      </c>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c r="CH68" s="50"/>
      <c r="CI68" s="50"/>
      <c r="CJ68" s="50"/>
      <c r="CK68" s="50"/>
      <c r="CL68" s="50"/>
      <c r="CM68" s="50"/>
      <c r="CN68" s="50"/>
      <c r="CO68" s="50"/>
      <c r="CP68" s="50"/>
      <c r="CQ68" s="50"/>
      <c r="CR68" s="50"/>
      <c r="CS68" s="50"/>
      <c r="CT68" s="50"/>
      <c r="CU68" s="50"/>
      <c r="CV68" s="50"/>
      <c r="CW68" s="50"/>
      <c r="CX68" s="50"/>
      <c r="CY68" s="50"/>
      <c r="CZ68" s="50"/>
      <c r="DA68" s="50"/>
      <c r="DB68" s="50"/>
      <c r="DC68" s="50"/>
      <c r="DD68" s="50"/>
      <c r="DE68" s="50"/>
      <c r="DF68" s="50"/>
      <c r="DG68" s="50"/>
      <c r="DH68" s="50"/>
      <c r="DI68" s="50"/>
      <c r="DJ68" s="50"/>
      <c r="DK68" s="50"/>
      <c r="DL68" s="50"/>
      <c r="DM68" s="50"/>
      <c r="DN68" s="50"/>
      <c r="DO68" s="50"/>
      <c r="DP68" s="50"/>
      <c r="DQ68" s="50"/>
      <c r="DR68" s="50"/>
      <c r="DS68" s="50"/>
      <c r="DT68" s="50"/>
      <c r="DU68" s="50"/>
      <c r="DV68" s="50"/>
      <c r="DW68" s="50"/>
      <c r="DX68" s="50"/>
      <c r="DY68" s="50"/>
      <c r="DZ68" s="50"/>
      <c r="EA68" s="50"/>
      <c r="EB68" s="50"/>
      <c r="EC68" s="50"/>
      <c r="ED68" s="50"/>
      <c r="EE68" s="50"/>
      <c r="EF68" s="50"/>
      <c r="EG68" s="50"/>
      <c r="EH68" s="50"/>
      <c r="EI68" s="50"/>
      <c r="EJ68" s="50"/>
      <c r="EK68" s="50"/>
      <c r="EL68" s="50"/>
      <c r="EM68" s="50"/>
      <c r="EN68" s="50"/>
      <c r="EO68" s="50"/>
      <c r="EP68" s="50"/>
      <c r="EQ68" s="50"/>
      <c r="ER68" s="50"/>
      <c r="ES68" s="50"/>
      <c r="ET68" s="50"/>
      <c r="EU68" s="50"/>
      <c r="EV68" s="50"/>
      <c r="EW68" s="50"/>
      <c r="EX68" s="50"/>
      <c r="EY68" s="50"/>
      <c r="EZ68" s="50"/>
      <c r="FA68" s="50"/>
      <c r="FB68" s="50"/>
      <c r="FC68" s="50"/>
      <c r="FD68" s="50"/>
      <c r="FE68" s="50"/>
      <c r="FF68" s="50"/>
      <c r="FG68" s="50"/>
      <c r="FH68" s="50"/>
      <c r="FI68" s="50"/>
      <c r="FJ68" s="50"/>
      <c r="FK68" s="50"/>
      <c r="FL68" s="50"/>
      <c r="FM68" s="50"/>
      <c r="FN68" s="50"/>
      <c r="FO68" s="50"/>
      <c r="FP68" s="50"/>
      <c r="FQ68" s="50"/>
      <c r="FR68" s="50"/>
      <c r="FS68" s="50"/>
      <c r="FT68" s="50"/>
      <c r="FU68" s="50"/>
      <c r="FV68" s="50"/>
      <c r="FW68" s="50"/>
    </row>
    <row r="69" spans="1:179" s="59" customFormat="1" ht="25.5" customHeight="1">
      <c r="A69" s="51" t="s">
        <v>626</v>
      </c>
      <c r="B69" s="51" t="s">
        <v>627</v>
      </c>
      <c r="C69" s="52" t="s">
        <v>628</v>
      </c>
      <c r="D69" s="71" t="s">
        <v>629</v>
      </c>
      <c r="E69" s="54" t="s">
        <v>76</v>
      </c>
      <c r="F69" s="54" t="s">
        <v>154</v>
      </c>
      <c r="G69" s="54" t="s">
        <v>627</v>
      </c>
      <c r="H69" s="54"/>
      <c r="I69" s="54" t="s">
        <v>630</v>
      </c>
      <c r="J69" s="54"/>
      <c r="K69" s="54"/>
      <c r="L69" s="54"/>
      <c r="M69" s="54"/>
      <c r="N69" s="54" t="s">
        <v>631</v>
      </c>
      <c r="O69" s="54" t="s">
        <v>631</v>
      </c>
      <c r="P69" s="54"/>
      <c r="Q69" s="54"/>
      <c r="R69" s="54"/>
      <c r="S69" s="54"/>
      <c r="T69" s="53" t="s">
        <v>110</v>
      </c>
      <c r="U69" s="53" t="s">
        <v>111</v>
      </c>
      <c r="V69" s="52" t="s">
        <v>122</v>
      </c>
      <c r="W69" s="52" t="s">
        <v>437</v>
      </c>
      <c r="X69" s="52"/>
      <c r="Y69" s="54" t="str">
        <f>"[" &amp; _xlfn.TEXTJOIN(", ", TRUE,
    IF(G69&lt;&gt;"", """" &amp; G$1 &amp; """", ""),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T69 &amp; """", ""),
    IF(U69&lt;&gt;"", """" &amp; U69 &amp; """", ""),
    IF(V69&lt;&gt;"", """" &amp; V69 &amp; """", ""),
    IF(W69&lt;&gt;"", """" &amp; W69 &amp; """", ""),
    IF(X69&lt;&gt;"", """" &amp; X69 &amp; """", "")
) &amp; "]"</f>
        <v>["ENA", "MIGS-VI", "ENA ERC32", "ENA ERC33", "ENA Sample", "VJDB Sample", "Sample", "Clinical"]</v>
      </c>
      <c r="Z69" s="54"/>
      <c r="AA69" s="52" t="s">
        <v>632</v>
      </c>
      <c r="AB69" s="54" t="s">
        <v>337</v>
      </c>
      <c r="AC69" s="54"/>
      <c r="AD69" s="54"/>
      <c r="AE69" s="54"/>
      <c r="AF69" s="54"/>
      <c r="AG69" s="54"/>
      <c r="AH69" s="54"/>
      <c r="AI69" s="54"/>
      <c r="AJ69" s="54"/>
      <c r="AK69" s="54"/>
      <c r="AL69" s="54"/>
      <c r="AM69" s="54" t="s">
        <v>633</v>
      </c>
      <c r="AN69" s="54"/>
      <c r="AO69" s="54"/>
      <c r="AP69" s="54" t="s">
        <v>633</v>
      </c>
      <c r="AQ69" s="54"/>
      <c r="AR69" s="54" t="s">
        <v>129</v>
      </c>
      <c r="AS69" s="54" t="s">
        <v>186</v>
      </c>
      <c r="AT69" s="54" t="s">
        <v>186</v>
      </c>
      <c r="AU69" s="55" t="s">
        <v>634</v>
      </c>
      <c r="AV69" s="54" t="s">
        <v>210</v>
      </c>
      <c r="AW69" s="52" t="s">
        <v>211</v>
      </c>
      <c r="AX69" s="52" t="s">
        <v>132</v>
      </c>
      <c r="AY69" s="54"/>
      <c r="AZ69" s="54"/>
      <c r="BA69" s="54"/>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c r="CH69" s="50"/>
      <c r="CI69" s="50"/>
      <c r="CJ69" s="50"/>
      <c r="CK69" s="50"/>
      <c r="CL69" s="50"/>
      <c r="CM69" s="50"/>
      <c r="CN69" s="50"/>
      <c r="CO69" s="50"/>
      <c r="CP69" s="50"/>
      <c r="CQ69" s="50"/>
      <c r="CR69" s="50"/>
      <c r="CS69" s="50"/>
      <c r="CT69" s="50"/>
      <c r="CU69" s="50"/>
      <c r="CV69" s="50"/>
      <c r="CW69" s="50"/>
      <c r="CX69" s="50"/>
      <c r="CY69" s="50"/>
      <c r="CZ69" s="50"/>
      <c r="DA69" s="50"/>
      <c r="DB69" s="50"/>
      <c r="DC69" s="50"/>
      <c r="DD69" s="50"/>
      <c r="DE69" s="50"/>
      <c r="DF69" s="50"/>
      <c r="DG69" s="50"/>
      <c r="DH69" s="50"/>
      <c r="DI69" s="50"/>
      <c r="DJ69" s="50"/>
      <c r="DK69" s="50"/>
      <c r="DL69" s="50"/>
      <c r="DM69" s="50"/>
      <c r="DN69" s="50"/>
      <c r="DO69" s="50"/>
      <c r="DP69" s="50"/>
      <c r="DQ69" s="50"/>
      <c r="DR69" s="50"/>
      <c r="DS69" s="50"/>
      <c r="DT69" s="50"/>
      <c r="DU69" s="50"/>
      <c r="DV69" s="50"/>
      <c r="DW69" s="50"/>
      <c r="DX69" s="50"/>
      <c r="DY69" s="50"/>
      <c r="DZ69" s="50"/>
      <c r="EA69" s="50"/>
      <c r="EB69" s="50"/>
      <c r="EC69" s="50"/>
      <c r="ED69" s="50"/>
      <c r="EE69" s="50"/>
      <c r="EF69" s="50"/>
      <c r="EG69" s="50"/>
      <c r="EH69" s="50"/>
      <c r="EI69" s="50"/>
      <c r="EJ69" s="50"/>
      <c r="EK69" s="50"/>
      <c r="EL69" s="50"/>
      <c r="EM69" s="50"/>
      <c r="EN69" s="50"/>
      <c r="EO69" s="50"/>
      <c r="EP69" s="50"/>
      <c r="EQ69" s="50"/>
      <c r="ER69" s="50"/>
      <c r="ES69" s="50"/>
      <c r="ET69" s="50"/>
      <c r="EU69" s="50"/>
      <c r="EV69" s="50"/>
      <c r="EW69" s="50"/>
      <c r="EX69" s="50"/>
      <c r="EY69" s="50"/>
      <c r="EZ69" s="50"/>
      <c r="FA69" s="50"/>
      <c r="FB69" s="50"/>
      <c r="FC69" s="50"/>
      <c r="FD69" s="50"/>
      <c r="FE69" s="50"/>
      <c r="FF69" s="50"/>
      <c r="FG69" s="50"/>
      <c r="FH69" s="50"/>
      <c r="FI69" s="50"/>
      <c r="FJ69" s="50"/>
      <c r="FK69" s="50"/>
      <c r="FL69" s="50"/>
      <c r="FM69" s="50"/>
      <c r="FN69" s="50"/>
      <c r="FO69" s="50"/>
      <c r="FP69" s="50"/>
      <c r="FQ69" s="50"/>
      <c r="FR69" s="50"/>
      <c r="FS69" s="50"/>
      <c r="FT69" s="50"/>
      <c r="FU69" s="50"/>
      <c r="FV69" s="50"/>
      <c r="FW69" s="50"/>
    </row>
    <row r="70" spans="1:179" s="59" customFormat="1" ht="25.5" customHeight="1">
      <c r="A70" s="51" t="s">
        <v>635</v>
      </c>
      <c r="B70" s="51" t="s">
        <v>636</v>
      </c>
      <c r="C70" s="52" t="s">
        <v>637</v>
      </c>
      <c r="D70" s="71" t="s">
        <v>638</v>
      </c>
      <c r="E70" s="54" t="s">
        <v>63</v>
      </c>
      <c r="F70" s="54" t="s">
        <v>154</v>
      </c>
      <c r="G70" s="54"/>
      <c r="H70" s="54"/>
      <c r="I70" s="54"/>
      <c r="J70" s="54"/>
      <c r="K70" s="54"/>
      <c r="L70" s="54"/>
      <c r="M70" s="54"/>
      <c r="N70" s="54"/>
      <c r="O70" s="54"/>
      <c r="P70" s="54"/>
      <c r="Q70" s="54"/>
      <c r="R70" s="54"/>
      <c r="S70" s="54"/>
      <c r="T70" s="53"/>
      <c r="U70" s="53"/>
      <c r="V70" s="52" t="s">
        <v>122</v>
      </c>
      <c r="W70" s="52" t="s">
        <v>233</v>
      </c>
      <c r="X70" s="52" t="s">
        <v>639</v>
      </c>
      <c r="Y70" s="54" t="str">
        <f>"["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["Sample", "Virus Info", "ICTV Taxonomy"]</v>
      </c>
      <c r="Z70" s="54" t="s">
        <v>640</v>
      </c>
      <c r="AA70" s="52"/>
      <c r="AB70" s="54" t="s">
        <v>641</v>
      </c>
      <c r="AC70" s="54"/>
      <c r="AD70" s="54"/>
      <c r="AE70" s="54"/>
      <c r="AF70" s="54"/>
      <c r="AG70" s="54"/>
      <c r="AH70" s="54"/>
      <c r="AI70" s="54"/>
      <c r="AJ70" s="54"/>
      <c r="AK70" s="54"/>
      <c r="AL70" s="54"/>
      <c r="AM70" s="54"/>
      <c r="AN70" s="54"/>
      <c r="AO70" s="54"/>
      <c r="AP70" s="54"/>
      <c r="AQ70" s="54"/>
      <c r="AR70" s="54"/>
      <c r="AS70" s="54"/>
      <c r="AT70" s="54"/>
      <c r="AU70" s="55" t="s">
        <v>642</v>
      </c>
      <c r="AV70" s="54" t="s">
        <v>643</v>
      </c>
      <c r="AW70" s="52" t="s">
        <v>211</v>
      </c>
      <c r="AX70" s="52" t="s">
        <v>132</v>
      </c>
      <c r="AY70" s="54" t="s">
        <v>644</v>
      </c>
      <c r="AZ70" s="54" t="s">
        <v>644</v>
      </c>
      <c r="BA70" s="54"/>
      <c r="BB70" s="50"/>
      <c r="BC70" s="58" t="s">
        <v>80</v>
      </c>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c r="CH70" s="50"/>
      <c r="CI70" s="50"/>
      <c r="CJ70" s="50"/>
      <c r="CK70" s="50"/>
      <c r="CL70" s="50"/>
      <c r="CM70" s="50"/>
      <c r="CN70" s="50"/>
      <c r="CO70" s="50"/>
      <c r="CP70" s="50"/>
      <c r="CQ70" s="50"/>
      <c r="CR70" s="50"/>
      <c r="CS70" s="50"/>
      <c r="CT70" s="50"/>
      <c r="CU70" s="50"/>
      <c r="CV70" s="50"/>
      <c r="CW70" s="50"/>
      <c r="CX70" s="50"/>
      <c r="CY70" s="50"/>
      <c r="CZ70" s="50"/>
      <c r="DA70" s="50"/>
      <c r="DB70" s="50"/>
      <c r="DC70" s="50"/>
      <c r="DD70" s="50"/>
      <c r="DE70" s="50"/>
      <c r="DF70" s="50"/>
      <c r="DG70" s="50"/>
      <c r="DH70" s="50"/>
      <c r="DI70" s="50"/>
      <c r="DJ70" s="50"/>
      <c r="DK70" s="50"/>
      <c r="DL70" s="50"/>
      <c r="DM70" s="50"/>
      <c r="DN70" s="50"/>
      <c r="DO70" s="50"/>
      <c r="DP70" s="50"/>
      <c r="DQ70" s="50"/>
      <c r="DR70" s="50"/>
      <c r="DS70" s="50"/>
      <c r="DT70" s="50"/>
      <c r="DU70" s="50"/>
      <c r="DV70" s="50"/>
      <c r="DW70" s="50"/>
      <c r="DX70" s="50"/>
      <c r="DY70" s="50"/>
      <c r="DZ70" s="50"/>
      <c r="EA70" s="50"/>
      <c r="EB70" s="50"/>
      <c r="EC70" s="50"/>
      <c r="ED70" s="50"/>
      <c r="EE70" s="50"/>
      <c r="EF70" s="50"/>
      <c r="EG70" s="50"/>
      <c r="EH70" s="50"/>
      <c r="EI70" s="50"/>
      <c r="EJ70" s="50"/>
      <c r="EK70" s="50"/>
      <c r="EL70" s="50"/>
      <c r="EM70" s="50"/>
      <c r="EN70" s="50"/>
      <c r="EO70" s="50"/>
      <c r="EP70" s="50"/>
      <c r="EQ70" s="50"/>
      <c r="ER70" s="50"/>
      <c r="ES70" s="50"/>
      <c r="ET70" s="50"/>
      <c r="EU70" s="50"/>
      <c r="EV70" s="50"/>
      <c r="EW70" s="50"/>
      <c r="EX70" s="50"/>
      <c r="EY70" s="50"/>
      <c r="EZ70" s="50"/>
      <c r="FA70" s="50"/>
      <c r="FB70" s="50"/>
      <c r="FC70" s="50"/>
      <c r="FD70" s="50"/>
      <c r="FE70" s="50"/>
      <c r="FF70" s="50"/>
      <c r="FG70" s="50"/>
      <c r="FH70" s="50"/>
      <c r="FI70" s="50"/>
      <c r="FJ70" s="50"/>
      <c r="FK70" s="50"/>
      <c r="FL70" s="50"/>
      <c r="FM70" s="50"/>
      <c r="FN70" s="50"/>
      <c r="FO70" s="50"/>
      <c r="FP70" s="50"/>
      <c r="FQ70" s="50"/>
      <c r="FR70" s="50"/>
      <c r="FS70" s="50"/>
      <c r="FT70" s="50"/>
      <c r="FU70" s="50"/>
      <c r="FV70" s="50"/>
      <c r="FW70" s="50"/>
    </row>
    <row r="71" spans="1:179" s="59" customFormat="1" ht="25.5" customHeight="1">
      <c r="A71" s="51" t="s">
        <v>645</v>
      </c>
      <c r="B71" s="51" t="s">
        <v>646</v>
      </c>
      <c r="C71" s="52" t="s">
        <v>647</v>
      </c>
      <c r="D71" s="72" t="s">
        <v>648</v>
      </c>
      <c r="E71" s="52" t="s">
        <v>216</v>
      </c>
      <c r="F71" s="52" t="s">
        <v>154</v>
      </c>
      <c r="G71" s="52"/>
      <c r="H71" s="52"/>
      <c r="I71" s="52"/>
      <c r="J71" s="52"/>
      <c r="K71" s="52"/>
      <c r="L71" s="52"/>
      <c r="M71" s="52"/>
      <c r="N71" s="52"/>
      <c r="O71" s="52"/>
      <c r="P71" s="52"/>
      <c r="Q71" s="52"/>
      <c r="R71" s="52"/>
      <c r="S71" s="52"/>
      <c r="T71" s="62"/>
      <c r="U71" s="62"/>
      <c r="V71" s="52" t="s">
        <v>122</v>
      </c>
      <c r="W71" s="52" t="s">
        <v>69</v>
      </c>
      <c r="X71" s="52" t="s">
        <v>517</v>
      </c>
      <c r="Y71" s="54" t="str">
        <f>"[" &amp; _xlfn.TEXTJOIN(", ", TRUE,
    IF(G71&lt;&gt;"", """" &amp; G$1 &amp; """", ""),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T71 &amp; """", ""),
    IF(U71&lt;&gt;"", """" &amp; U71 &amp; """", ""),
    IF(V71&lt;&gt;"", """" &amp; V71 &amp; """", ""),
    IF(W71&lt;&gt;"", """" &amp; W71 &amp; """", ""),
    IF(X71&lt;&gt;"", """" &amp; X71 &amp; """", "")
) &amp; "]"</f>
        <v>["Sample", "Identifiers", "NCBI Taxonomy"]</v>
      </c>
      <c r="Z71" s="52" t="s">
        <v>517</v>
      </c>
      <c r="AA71" s="52" t="s">
        <v>649</v>
      </c>
      <c r="AB71" s="52" t="s">
        <v>641</v>
      </c>
      <c r="AC71" s="52"/>
      <c r="AD71" s="52"/>
      <c r="AE71" s="52"/>
      <c r="AF71" s="52"/>
      <c r="AG71" s="52"/>
      <c r="AH71" s="52"/>
      <c r="AI71" s="52"/>
      <c r="AJ71" s="52"/>
      <c r="AK71" s="52"/>
      <c r="AL71" s="52"/>
      <c r="AM71" s="52"/>
      <c r="AN71" s="52"/>
      <c r="AO71" s="52"/>
      <c r="AP71" s="52"/>
      <c r="AQ71" s="52"/>
      <c r="AR71" s="52"/>
      <c r="AS71" s="52"/>
      <c r="AT71" s="52"/>
      <c r="AU71" s="63"/>
      <c r="AV71" s="52"/>
      <c r="AW71" s="52" t="s">
        <v>211</v>
      </c>
      <c r="AX71" s="52" t="s">
        <v>132</v>
      </c>
      <c r="AY71" s="52"/>
      <c r="AZ71" s="52"/>
      <c r="BA71" s="52"/>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c r="CH71" s="50"/>
      <c r="CI71" s="50"/>
      <c r="CJ71" s="50"/>
      <c r="CK71" s="50"/>
      <c r="CL71" s="50"/>
      <c r="CM71" s="50"/>
      <c r="CN71" s="50"/>
      <c r="CO71" s="50"/>
      <c r="CP71" s="50"/>
      <c r="CQ71" s="50"/>
      <c r="CR71" s="50"/>
      <c r="CS71" s="50"/>
      <c r="CT71" s="50"/>
      <c r="CU71" s="50"/>
      <c r="CV71" s="50"/>
      <c r="CW71" s="50"/>
      <c r="CX71" s="50"/>
      <c r="CY71" s="50"/>
      <c r="CZ71" s="50"/>
      <c r="DA71" s="50"/>
      <c r="DB71" s="50"/>
      <c r="DC71" s="50"/>
      <c r="DD71" s="50"/>
      <c r="DE71" s="50"/>
      <c r="DF71" s="50"/>
      <c r="DG71" s="50"/>
      <c r="DH71" s="50"/>
      <c r="DI71" s="50"/>
      <c r="DJ71" s="50"/>
      <c r="DK71" s="50"/>
      <c r="DL71" s="50"/>
      <c r="DM71" s="50"/>
      <c r="DN71" s="50"/>
      <c r="DO71" s="50"/>
      <c r="DP71" s="50"/>
      <c r="DQ71" s="50"/>
      <c r="DR71" s="50"/>
      <c r="DS71" s="50"/>
      <c r="DT71" s="50"/>
      <c r="DU71" s="50"/>
      <c r="DV71" s="50"/>
      <c r="DW71" s="50"/>
      <c r="DX71" s="50"/>
      <c r="DY71" s="50"/>
      <c r="DZ71" s="50"/>
      <c r="EA71" s="50"/>
      <c r="EB71" s="50"/>
      <c r="EC71" s="50"/>
      <c r="ED71" s="50"/>
      <c r="EE71" s="50"/>
      <c r="EF71" s="50"/>
      <c r="EG71" s="50"/>
      <c r="EH71" s="50"/>
      <c r="EI71" s="50"/>
      <c r="EJ71" s="50"/>
      <c r="EK71" s="50"/>
      <c r="EL71" s="50"/>
      <c r="EM71" s="50"/>
      <c r="EN71" s="50"/>
      <c r="EO71" s="50"/>
      <c r="EP71" s="50"/>
      <c r="EQ71" s="50"/>
      <c r="ER71" s="50"/>
      <c r="ES71" s="50"/>
      <c r="ET71" s="50"/>
      <c r="EU71" s="50"/>
      <c r="EV71" s="50"/>
      <c r="EW71" s="50"/>
      <c r="EX71" s="50"/>
      <c r="EY71" s="50"/>
      <c r="EZ71" s="50"/>
      <c r="FA71" s="50"/>
      <c r="FB71" s="50"/>
      <c r="FC71" s="50"/>
      <c r="FD71" s="50"/>
      <c r="FE71" s="50"/>
      <c r="FF71" s="50"/>
      <c r="FG71" s="50"/>
      <c r="FH71" s="50"/>
      <c r="FI71" s="50"/>
      <c r="FJ71" s="50"/>
      <c r="FK71" s="50"/>
      <c r="FL71" s="50"/>
      <c r="FM71" s="50"/>
      <c r="FN71" s="50"/>
      <c r="FO71" s="50"/>
      <c r="FP71" s="50"/>
      <c r="FQ71" s="50"/>
      <c r="FR71" s="50"/>
      <c r="FS71" s="50"/>
      <c r="FT71" s="50"/>
      <c r="FU71" s="50"/>
      <c r="FV71" s="50"/>
      <c r="FW71" s="50"/>
    </row>
    <row r="72" spans="1:179" s="59" customFormat="1" ht="25.5" customHeight="1">
      <c r="A72" s="51" t="s">
        <v>650</v>
      </c>
      <c r="B72" s="51" t="s">
        <v>651</v>
      </c>
      <c r="C72" s="52" t="s">
        <v>652</v>
      </c>
      <c r="D72" s="71" t="s">
        <v>653</v>
      </c>
      <c r="E72" s="54" t="s">
        <v>254</v>
      </c>
      <c r="F72" s="54" t="s">
        <v>64</v>
      </c>
      <c r="G72" s="54" t="s">
        <v>654</v>
      </c>
      <c r="H72" s="54"/>
      <c r="I72" s="54"/>
      <c r="J72" s="54"/>
      <c r="K72" s="54"/>
      <c r="L72" s="54"/>
      <c r="M72" s="54" t="s">
        <v>655</v>
      </c>
      <c r="N72" s="54"/>
      <c r="O72" s="54"/>
      <c r="P72" s="54"/>
      <c r="Q72" s="54"/>
      <c r="R72" s="54"/>
      <c r="S72" s="54"/>
      <c r="T72" s="53"/>
      <c r="U72" s="53"/>
      <c r="V72" s="52" t="s">
        <v>587</v>
      </c>
      <c r="W72" s="52" t="s">
        <v>156</v>
      </c>
      <c r="X72" s="52" t="s">
        <v>219</v>
      </c>
      <c r="Y72" s="54" t="str">
        <f>"[" &amp; _xlfn.TEXTJOIN(", ", TRUE,
    IF(G72&lt;&gt;"", """" &amp; G$1 &amp; """", ""),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T72 &amp; """", ""),
    IF(U72&lt;&gt;"", """" &amp; U72 &amp; """", ""),
    IF(V72&lt;&gt;"", """" &amp; V72 &amp; """", ""),
    IF(W72&lt;&gt;"", """" &amp; W72 &amp; """", ""),
    IF(X72&lt;&gt;"", """" &amp; X72 &amp; """", "")
) &amp; "]"</f>
        <v>["ENA", "BV-BRC", "Analysis", "Sequence", "Workflows"]</v>
      </c>
      <c r="Z72" s="54" t="s">
        <v>359</v>
      </c>
      <c r="AA72" s="52"/>
      <c r="AB72" s="54"/>
      <c r="AC72" s="54"/>
      <c r="AD72" s="54"/>
      <c r="AE72" s="54"/>
      <c r="AF72" s="54"/>
      <c r="AG72" s="54" t="s">
        <v>360</v>
      </c>
      <c r="AH72" s="54"/>
      <c r="AI72" s="54" t="s">
        <v>656</v>
      </c>
      <c r="AJ72" s="54" t="s">
        <v>75</v>
      </c>
      <c r="AK72" s="54"/>
      <c r="AL72" s="54" t="s">
        <v>657</v>
      </c>
      <c r="AM72" s="54"/>
      <c r="AN72" s="54"/>
      <c r="AO72" s="54"/>
      <c r="AP72" s="54"/>
      <c r="AQ72" s="54"/>
      <c r="AR72" s="54"/>
      <c r="AS72" s="54" t="s">
        <v>101</v>
      </c>
      <c r="AT72" s="54" t="s">
        <v>101</v>
      </c>
      <c r="AU72" s="55" t="s">
        <v>658</v>
      </c>
      <c r="AV72" s="54" t="s">
        <v>659</v>
      </c>
      <c r="AW72" s="52" t="s">
        <v>76</v>
      </c>
      <c r="AX72" s="52" t="s">
        <v>77</v>
      </c>
      <c r="AY72" s="54"/>
      <c r="AZ72" s="54"/>
      <c r="BA72" s="54"/>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c r="CH72" s="50"/>
      <c r="CI72" s="50"/>
      <c r="CJ72" s="50"/>
      <c r="CK72" s="50"/>
      <c r="CL72" s="50"/>
      <c r="CM72" s="50"/>
      <c r="CN72" s="50"/>
      <c r="CO72" s="50"/>
      <c r="CP72" s="50"/>
      <c r="CQ72" s="50"/>
      <c r="CR72" s="50"/>
      <c r="CS72" s="50"/>
      <c r="CT72" s="50"/>
      <c r="CU72" s="50"/>
      <c r="CV72" s="50"/>
      <c r="CW72" s="50"/>
      <c r="CX72" s="50"/>
      <c r="CY72" s="50"/>
      <c r="CZ72" s="50"/>
      <c r="DA72" s="50"/>
      <c r="DB72" s="50"/>
      <c r="DC72" s="50"/>
      <c r="DD72" s="50"/>
      <c r="DE72" s="50"/>
      <c r="DF72" s="50"/>
      <c r="DG72" s="50"/>
      <c r="DH72" s="50"/>
      <c r="DI72" s="50"/>
      <c r="DJ72" s="50"/>
      <c r="DK72" s="50"/>
      <c r="DL72" s="50"/>
      <c r="DM72" s="50"/>
      <c r="DN72" s="50"/>
      <c r="DO72" s="50"/>
      <c r="DP72" s="50"/>
      <c r="DQ72" s="50"/>
      <c r="DR72" s="50"/>
      <c r="DS72" s="50"/>
      <c r="DT72" s="50"/>
      <c r="DU72" s="50"/>
      <c r="DV72" s="50"/>
      <c r="DW72" s="50"/>
      <c r="DX72" s="50"/>
      <c r="DY72" s="50"/>
      <c r="DZ72" s="50"/>
      <c r="EA72" s="50"/>
      <c r="EB72" s="50"/>
      <c r="EC72" s="50"/>
      <c r="ED72" s="50"/>
      <c r="EE72" s="50"/>
      <c r="EF72" s="50"/>
      <c r="EG72" s="50"/>
      <c r="EH72" s="50"/>
      <c r="EI72" s="50"/>
      <c r="EJ72" s="50"/>
      <c r="EK72" s="50"/>
      <c r="EL72" s="50"/>
      <c r="EM72" s="50"/>
      <c r="EN72" s="50"/>
      <c r="EO72" s="50"/>
      <c r="EP72" s="50"/>
      <c r="EQ72" s="50"/>
      <c r="ER72" s="50"/>
      <c r="ES72" s="50"/>
      <c r="ET72" s="50"/>
      <c r="EU72" s="50"/>
      <c r="EV72" s="50"/>
      <c r="EW72" s="50"/>
      <c r="EX72" s="50"/>
      <c r="EY72" s="50"/>
      <c r="EZ72" s="50"/>
      <c r="FA72" s="50"/>
      <c r="FB72" s="50"/>
      <c r="FC72" s="50"/>
      <c r="FD72" s="50"/>
      <c r="FE72" s="50"/>
      <c r="FF72" s="50"/>
      <c r="FG72" s="50"/>
      <c r="FH72" s="50"/>
      <c r="FI72" s="50"/>
      <c r="FJ72" s="50"/>
      <c r="FK72" s="50"/>
      <c r="FL72" s="50"/>
      <c r="FM72" s="50"/>
      <c r="FN72" s="50"/>
      <c r="FO72" s="50"/>
      <c r="FP72" s="50"/>
      <c r="FQ72" s="50"/>
      <c r="FR72" s="50"/>
      <c r="FS72" s="50"/>
      <c r="FT72" s="50"/>
      <c r="FU72" s="50"/>
      <c r="FV72" s="50"/>
      <c r="FW72" s="50"/>
    </row>
    <row r="73" spans="1:179" s="59" customFormat="1" ht="25.5" customHeight="1">
      <c r="A73" s="51" t="s">
        <v>660</v>
      </c>
      <c r="B73" s="51" t="s">
        <v>661</v>
      </c>
      <c r="C73" s="52" t="s">
        <v>662</v>
      </c>
      <c r="D73" s="71" t="s">
        <v>663</v>
      </c>
      <c r="E73" s="54" t="s">
        <v>254</v>
      </c>
      <c r="F73" s="54" t="s">
        <v>64</v>
      </c>
      <c r="G73" s="54"/>
      <c r="H73" s="54"/>
      <c r="I73" s="54"/>
      <c r="J73" s="54"/>
      <c r="K73" s="54"/>
      <c r="L73" s="54"/>
      <c r="M73" s="54" t="s">
        <v>664</v>
      </c>
      <c r="N73" s="54"/>
      <c r="O73" s="54"/>
      <c r="P73" s="54"/>
      <c r="Q73" s="54"/>
      <c r="R73" s="54"/>
      <c r="S73" s="54"/>
      <c r="T73" s="53"/>
      <c r="U73" s="53"/>
      <c r="V73" s="52" t="s">
        <v>587</v>
      </c>
      <c r="W73" s="52" t="s">
        <v>156</v>
      </c>
      <c r="X73" s="52" t="s">
        <v>219</v>
      </c>
      <c r="Y73" s="54" t="str">
        <f>"[" &amp; _xlfn.TEXTJOIN(", ", TRUE,
    IF(G73&lt;&gt;"", """" &amp; G$1 &amp; """", ""),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T73 &amp; """", ""),
    IF(U73&lt;&gt;"", """" &amp; U73 &amp; """", ""),
    IF(V73&lt;&gt;"", """" &amp; V73 &amp; """", ""),
    IF(W73&lt;&gt;"", """" &amp; W73 &amp; """", ""),
    IF(X73&lt;&gt;"", """" &amp; X73 &amp; """", "")
) &amp; "]"</f>
        <v>["BV-BRC", "Analysis", "Sequence", "Workflows"]</v>
      </c>
      <c r="Z73" s="54" t="s">
        <v>359</v>
      </c>
      <c r="AA73" s="52"/>
      <c r="AB73" s="54"/>
      <c r="AC73" s="54"/>
      <c r="AD73" s="54"/>
      <c r="AE73" s="54"/>
      <c r="AF73" s="54"/>
      <c r="AG73" s="54" t="s">
        <v>222</v>
      </c>
      <c r="AH73" s="54" t="s">
        <v>222</v>
      </c>
      <c r="AI73" s="54" t="s">
        <v>665</v>
      </c>
      <c r="AJ73" s="54" t="s">
        <v>254</v>
      </c>
      <c r="AK73" s="54"/>
      <c r="AL73" s="54"/>
      <c r="AM73" s="54"/>
      <c r="AN73" s="54"/>
      <c r="AO73" s="54"/>
      <c r="AP73" s="54"/>
      <c r="AQ73" s="54"/>
      <c r="AR73" s="54"/>
      <c r="AS73" s="54"/>
      <c r="AT73" s="54"/>
      <c r="AU73" s="55" t="s">
        <v>666</v>
      </c>
      <c r="AV73" s="54" t="s">
        <v>667</v>
      </c>
      <c r="AW73" s="52" t="s">
        <v>76</v>
      </c>
      <c r="AX73" s="52" t="s">
        <v>132</v>
      </c>
      <c r="AY73" s="54"/>
      <c r="AZ73" s="54"/>
      <c r="BA73" s="54"/>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c r="CH73" s="50"/>
      <c r="CI73" s="50"/>
      <c r="CJ73" s="50"/>
      <c r="CK73" s="50"/>
      <c r="CL73" s="50"/>
      <c r="CM73" s="50"/>
      <c r="CN73" s="50"/>
      <c r="CO73" s="50"/>
      <c r="CP73" s="50"/>
      <c r="CQ73" s="50"/>
      <c r="CR73" s="50"/>
      <c r="CS73" s="50"/>
      <c r="CT73" s="50"/>
      <c r="CU73" s="50"/>
      <c r="CV73" s="50"/>
      <c r="CW73" s="50"/>
      <c r="CX73" s="50"/>
      <c r="CY73" s="50"/>
      <c r="CZ73" s="50"/>
      <c r="DA73" s="50"/>
      <c r="DB73" s="50"/>
      <c r="DC73" s="50"/>
      <c r="DD73" s="50"/>
      <c r="DE73" s="50"/>
      <c r="DF73" s="50"/>
      <c r="DG73" s="50"/>
      <c r="DH73" s="50"/>
      <c r="DI73" s="50"/>
      <c r="DJ73" s="50"/>
      <c r="DK73" s="50"/>
      <c r="DL73" s="50"/>
      <c r="DM73" s="50"/>
      <c r="DN73" s="50"/>
      <c r="DO73" s="50"/>
      <c r="DP73" s="50"/>
      <c r="DQ73" s="50"/>
      <c r="DR73" s="50"/>
      <c r="DS73" s="50"/>
      <c r="DT73" s="50"/>
      <c r="DU73" s="50"/>
      <c r="DV73" s="50"/>
      <c r="DW73" s="50"/>
      <c r="DX73" s="50"/>
      <c r="DY73" s="50"/>
      <c r="DZ73" s="50"/>
      <c r="EA73" s="50"/>
      <c r="EB73" s="50"/>
      <c r="EC73" s="50"/>
      <c r="ED73" s="50"/>
      <c r="EE73" s="50"/>
      <c r="EF73" s="50"/>
      <c r="EG73" s="50"/>
      <c r="EH73" s="50"/>
      <c r="EI73" s="50"/>
      <c r="EJ73" s="50"/>
      <c r="EK73" s="50"/>
      <c r="EL73" s="50"/>
      <c r="EM73" s="50"/>
      <c r="EN73" s="50"/>
      <c r="EO73" s="50"/>
      <c r="EP73" s="50"/>
      <c r="EQ73" s="50"/>
      <c r="ER73" s="50"/>
      <c r="ES73" s="50"/>
      <c r="ET73" s="50"/>
      <c r="EU73" s="50"/>
      <c r="EV73" s="50"/>
      <c r="EW73" s="50"/>
      <c r="EX73" s="50"/>
      <c r="EY73" s="50"/>
      <c r="EZ73" s="50"/>
      <c r="FA73" s="50"/>
      <c r="FB73" s="50"/>
      <c r="FC73" s="50"/>
      <c r="FD73" s="50"/>
      <c r="FE73" s="50"/>
      <c r="FF73" s="50"/>
      <c r="FG73" s="50"/>
      <c r="FH73" s="50"/>
      <c r="FI73" s="50"/>
      <c r="FJ73" s="50"/>
      <c r="FK73" s="50"/>
      <c r="FL73" s="50"/>
      <c r="FM73" s="50"/>
      <c r="FN73" s="50"/>
      <c r="FO73" s="50"/>
      <c r="FP73" s="50"/>
      <c r="FQ73" s="50"/>
      <c r="FR73" s="50"/>
      <c r="FS73" s="50"/>
      <c r="FT73" s="50"/>
      <c r="FU73" s="50"/>
      <c r="FV73" s="50"/>
      <c r="FW73" s="50"/>
    </row>
    <row r="74" spans="1:179" s="59" customFormat="1" ht="25.5" customHeight="1">
      <c r="A74" s="51" t="s">
        <v>668</v>
      </c>
      <c r="B74" s="51" t="s">
        <v>669</v>
      </c>
      <c r="C74" s="52" t="s">
        <v>670</v>
      </c>
      <c r="D74" s="71" t="s">
        <v>671</v>
      </c>
      <c r="E74" s="54" t="s">
        <v>254</v>
      </c>
      <c r="F74" s="54" t="s">
        <v>672</v>
      </c>
      <c r="G74" s="54"/>
      <c r="H74" s="54"/>
      <c r="I74" s="54" t="s">
        <v>673</v>
      </c>
      <c r="J74" s="54"/>
      <c r="K74" s="54"/>
      <c r="L74" s="54"/>
      <c r="M74" s="54"/>
      <c r="N74" s="54"/>
      <c r="O74" s="54"/>
      <c r="P74" s="54"/>
      <c r="Q74" s="54"/>
      <c r="R74" s="54"/>
      <c r="S74" s="54"/>
      <c r="T74" s="53"/>
      <c r="U74" s="53"/>
      <c r="V74" s="52" t="s">
        <v>344</v>
      </c>
      <c r="W74" s="52" t="s">
        <v>156</v>
      </c>
      <c r="X74" s="52"/>
      <c r="Y74" s="54" t="str">
        <f>"[" &amp; _xlfn.TEXTJOIN(", ", TRUE,
    IF(G74&lt;&gt;"", """" &amp; G$1 &amp; """", ""),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T74 &amp; """", ""),
    IF(U74&lt;&gt;"", """" &amp; U74 &amp; """", ""),
    IF(V74&lt;&gt;"", """" &amp; V74 &amp; """", ""),
    IF(W74&lt;&gt;"", """" &amp; W74 &amp; """", ""),
    IF(X74&lt;&gt;"", """" &amp; X74 &amp; """", "")
) &amp; "]"</f>
        <v>["MIGS-VI", "Internal", "Sequence"]</v>
      </c>
      <c r="Z74" s="54" t="s">
        <v>412</v>
      </c>
      <c r="AA74" s="52" t="s">
        <v>351</v>
      </c>
      <c r="AB74" s="54" t="s">
        <v>674</v>
      </c>
      <c r="AC74" s="54"/>
      <c r="AD74" s="54"/>
      <c r="AE74" s="54"/>
      <c r="AF74" s="54"/>
      <c r="AG74" s="54"/>
      <c r="AH74" s="54"/>
      <c r="AI74" s="54"/>
      <c r="AJ74" s="54"/>
      <c r="AK74" s="54"/>
      <c r="AL74" s="54"/>
      <c r="AM74" s="54"/>
      <c r="AN74" s="54"/>
      <c r="AO74" s="54"/>
      <c r="AP74" s="54"/>
      <c r="AQ74" s="54"/>
      <c r="AR74" s="54"/>
      <c r="AS74" s="54"/>
      <c r="AT74" s="54"/>
      <c r="AU74" s="55"/>
      <c r="AV74" s="54"/>
      <c r="AW74" s="52" t="s">
        <v>76</v>
      </c>
      <c r="AX74" s="52" t="s">
        <v>132</v>
      </c>
      <c r="AY74" s="54"/>
      <c r="AZ74" s="54"/>
      <c r="BA74" s="54"/>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c r="CH74" s="50"/>
      <c r="CI74" s="50"/>
      <c r="CJ74" s="50"/>
      <c r="CK74" s="50"/>
      <c r="CL74" s="50"/>
      <c r="CM74" s="50"/>
      <c r="CN74" s="50"/>
      <c r="CO74" s="50"/>
      <c r="CP74" s="50"/>
      <c r="CQ74" s="50"/>
      <c r="CR74" s="50"/>
      <c r="CS74" s="50"/>
      <c r="CT74" s="50"/>
      <c r="CU74" s="50"/>
      <c r="CV74" s="50"/>
      <c r="CW74" s="50"/>
      <c r="CX74" s="50"/>
      <c r="CY74" s="50"/>
      <c r="CZ74" s="50"/>
      <c r="DA74" s="50"/>
      <c r="DB74" s="50"/>
      <c r="DC74" s="50"/>
      <c r="DD74" s="50"/>
      <c r="DE74" s="50"/>
      <c r="DF74" s="50"/>
      <c r="DG74" s="50"/>
      <c r="DH74" s="50"/>
      <c r="DI74" s="50"/>
      <c r="DJ74" s="50"/>
      <c r="DK74" s="50"/>
      <c r="DL74" s="50"/>
      <c r="DM74" s="50"/>
      <c r="DN74" s="50"/>
      <c r="DO74" s="50"/>
      <c r="DP74" s="50"/>
      <c r="DQ74" s="50"/>
      <c r="DR74" s="50"/>
      <c r="DS74" s="50"/>
      <c r="DT74" s="50"/>
      <c r="DU74" s="50"/>
      <c r="DV74" s="50"/>
      <c r="DW74" s="50"/>
      <c r="DX74" s="50"/>
      <c r="DY74" s="50"/>
      <c r="DZ74" s="50"/>
      <c r="EA74" s="50"/>
      <c r="EB74" s="50"/>
      <c r="EC74" s="50"/>
      <c r="ED74" s="50"/>
      <c r="EE74" s="50"/>
      <c r="EF74" s="50"/>
      <c r="EG74" s="50"/>
      <c r="EH74" s="50"/>
      <c r="EI74" s="50"/>
      <c r="EJ74" s="50"/>
      <c r="EK74" s="50"/>
      <c r="EL74" s="50"/>
      <c r="EM74" s="50"/>
      <c r="EN74" s="50"/>
      <c r="EO74" s="50"/>
      <c r="EP74" s="50"/>
      <c r="EQ74" s="50"/>
      <c r="ER74" s="50"/>
      <c r="ES74" s="50"/>
      <c r="ET74" s="50"/>
      <c r="EU74" s="50"/>
      <c r="EV74" s="50"/>
      <c r="EW74" s="50"/>
      <c r="EX74" s="50"/>
      <c r="EY74" s="50"/>
      <c r="EZ74" s="50"/>
      <c r="FA74" s="50"/>
      <c r="FB74" s="50"/>
      <c r="FC74" s="50"/>
      <c r="FD74" s="50"/>
      <c r="FE74" s="50"/>
      <c r="FF74" s="50"/>
      <c r="FG74" s="50"/>
      <c r="FH74" s="50"/>
      <c r="FI74" s="50"/>
      <c r="FJ74" s="50"/>
      <c r="FK74" s="50"/>
      <c r="FL74" s="50"/>
      <c r="FM74" s="50"/>
      <c r="FN74" s="50"/>
      <c r="FO74" s="50"/>
      <c r="FP74" s="50"/>
      <c r="FQ74" s="50"/>
      <c r="FR74" s="50"/>
      <c r="FS74" s="50"/>
      <c r="FT74" s="50"/>
      <c r="FU74" s="50"/>
      <c r="FV74" s="50"/>
      <c r="FW74" s="50"/>
    </row>
    <row r="75" spans="1:179" s="59" customFormat="1" ht="25.5" customHeight="1">
      <c r="A75" s="51" t="s">
        <v>675</v>
      </c>
      <c r="B75" s="51" t="s">
        <v>676</v>
      </c>
      <c r="C75" s="52" t="s">
        <v>677</v>
      </c>
      <c r="D75" s="71" t="s">
        <v>678</v>
      </c>
      <c r="E75" s="54" t="s">
        <v>76</v>
      </c>
      <c r="F75" s="54" t="s">
        <v>154</v>
      </c>
      <c r="G75" s="54"/>
      <c r="H75" s="54"/>
      <c r="I75" s="54" t="s">
        <v>679</v>
      </c>
      <c r="J75" s="54"/>
      <c r="K75" s="54"/>
      <c r="L75" s="54"/>
      <c r="M75" s="54" t="s">
        <v>680</v>
      </c>
      <c r="N75" s="54"/>
      <c r="O75" s="54"/>
      <c r="P75" s="54"/>
      <c r="Q75" s="54"/>
      <c r="R75" s="54"/>
      <c r="S75" s="54"/>
      <c r="T75" s="53"/>
      <c r="U75" s="53"/>
      <c r="V75" s="52" t="s">
        <v>587</v>
      </c>
      <c r="W75" s="52"/>
      <c r="X75" s="52" t="s">
        <v>219</v>
      </c>
      <c r="Y75" s="54" t="str">
        <f>"[" &amp; _xlfn.TEXTJOIN(", ", TRUE,
    IF(G75&lt;&gt;"", """" &amp; G$1 &amp; """", ""),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T75 &amp; """", ""),
    IF(U75&lt;&gt;"", """" &amp; U75 &amp; """", ""),
    IF(V75&lt;&gt;"", """" &amp; V75 &amp; """", ""),
    IF(W75&lt;&gt;"", """" &amp; W75 &amp; """", ""),
    IF(X75&lt;&gt;"", """" &amp; X75 &amp; """", "")
) &amp; "]"</f>
        <v>["MIGS-VI", "BV-BRC", "Analysis", "Workflows"]</v>
      </c>
      <c r="Z75" s="54" t="s">
        <v>359</v>
      </c>
      <c r="AA75" s="52" t="s">
        <v>71</v>
      </c>
      <c r="AB75" s="54" t="s">
        <v>681</v>
      </c>
      <c r="AC75" s="54"/>
      <c r="AD75" s="54"/>
      <c r="AE75" s="54"/>
      <c r="AF75" s="54"/>
      <c r="AG75" s="54" t="s">
        <v>376</v>
      </c>
      <c r="AH75" s="54"/>
      <c r="AI75" s="54" t="s">
        <v>682</v>
      </c>
      <c r="AJ75" s="54" t="s">
        <v>75</v>
      </c>
      <c r="AK75" s="54"/>
      <c r="AL75" s="54" t="s">
        <v>683</v>
      </c>
      <c r="AM75" s="54"/>
      <c r="AN75" s="54"/>
      <c r="AO75" s="54"/>
      <c r="AP75" s="54"/>
      <c r="AQ75" s="54"/>
      <c r="AR75" s="54"/>
      <c r="AS75" s="54"/>
      <c r="AT75" s="54"/>
      <c r="AU75" s="55"/>
      <c r="AV75" s="54"/>
      <c r="AW75" s="52" t="s">
        <v>76</v>
      </c>
      <c r="AX75" s="52" t="s">
        <v>132</v>
      </c>
      <c r="AY75" s="54"/>
      <c r="AZ75" s="54"/>
      <c r="BA75" s="54"/>
      <c r="BB75" s="50"/>
      <c r="BC75" s="58" t="s">
        <v>80</v>
      </c>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c r="CH75" s="50"/>
      <c r="CI75" s="50"/>
      <c r="CJ75" s="50"/>
      <c r="CK75" s="50"/>
      <c r="CL75" s="50"/>
      <c r="CM75" s="50"/>
      <c r="CN75" s="50"/>
      <c r="CO75" s="50"/>
      <c r="CP75" s="50"/>
      <c r="CQ75" s="50"/>
      <c r="CR75" s="50"/>
      <c r="CS75" s="50"/>
      <c r="CT75" s="50"/>
      <c r="CU75" s="50"/>
      <c r="CV75" s="50"/>
      <c r="CW75" s="50"/>
      <c r="CX75" s="50"/>
      <c r="CY75" s="50"/>
      <c r="CZ75" s="50"/>
      <c r="DA75" s="50"/>
      <c r="DB75" s="50"/>
      <c r="DC75" s="50"/>
      <c r="DD75" s="50"/>
      <c r="DE75" s="50"/>
      <c r="DF75" s="50"/>
      <c r="DG75" s="50"/>
      <c r="DH75" s="50"/>
      <c r="DI75" s="50"/>
      <c r="DJ75" s="50"/>
      <c r="DK75" s="50"/>
      <c r="DL75" s="50"/>
      <c r="DM75" s="50"/>
      <c r="DN75" s="50"/>
      <c r="DO75" s="50"/>
      <c r="DP75" s="50"/>
      <c r="DQ75" s="50"/>
      <c r="DR75" s="50"/>
      <c r="DS75" s="50"/>
      <c r="DT75" s="50"/>
      <c r="DU75" s="50"/>
      <c r="DV75" s="50"/>
      <c r="DW75" s="50"/>
      <c r="DX75" s="50"/>
      <c r="DY75" s="50"/>
      <c r="DZ75" s="50"/>
      <c r="EA75" s="50"/>
      <c r="EB75" s="50"/>
      <c r="EC75" s="50"/>
      <c r="ED75" s="50"/>
      <c r="EE75" s="50"/>
      <c r="EF75" s="50"/>
      <c r="EG75" s="50"/>
      <c r="EH75" s="50"/>
      <c r="EI75" s="50"/>
      <c r="EJ75" s="50"/>
      <c r="EK75" s="50"/>
      <c r="EL75" s="50"/>
      <c r="EM75" s="50"/>
      <c r="EN75" s="50"/>
      <c r="EO75" s="50"/>
      <c r="EP75" s="50"/>
      <c r="EQ75" s="50"/>
      <c r="ER75" s="50"/>
      <c r="ES75" s="50"/>
      <c r="ET75" s="50"/>
      <c r="EU75" s="50"/>
      <c r="EV75" s="50"/>
      <c r="EW75" s="50"/>
      <c r="EX75" s="50"/>
      <c r="EY75" s="50"/>
      <c r="EZ75" s="50"/>
      <c r="FA75" s="50"/>
      <c r="FB75" s="50"/>
      <c r="FC75" s="50"/>
      <c r="FD75" s="50"/>
      <c r="FE75" s="50"/>
      <c r="FF75" s="50"/>
      <c r="FG75" s="50"/>
      <c r="FH75" s="50"/>
      <c r="FI75" s="50"/>
      <c r="FJ75" s="50"/>
      <c r="FK75" s="50"/>
      <c r="FL75" s="50"/>
      <c r="FM75" s="50"/>
      <c r="FN75" s="50"/>
      <c r="FO75" s="50"/>
      <c r="FP75" s="50"/>
      <c r="FQ75" s="50"/>
      <c r="FR75" s="50"/>
      <c r="FS75" s="50"/>
      <c r="FT75" s="50"/>
      <c r="FU75" s="50"/>
      <c r="FV75" s="50"/>
      <c r="FW75" s="50"/>
    </row>
    <row r="76" spans="1:179" s="59" customFormat="1" ht="25.5" customHeight="1">
      <c r="A76" s="51" t="s">
        <v>684</v>
      </c>
      <c r="B76" s="51" t="s">
        <v>685</v>
      </c>
      <c r="C76" s="52" t="s">
        <v>686</v>
      </c>
      <c r="D76" s="71" t="s">
        <v>687</v>
      </c>
      <c r="E76" s="54" t="s">
        <v>216</v>
      </c>
      <c r="F76" s="54" t="s">
        <v>672</v>
      </c>
      <c r="G76" s="54"/>
      <c r="H76" s="54"/>
      <c r="I76" s="54" t="s">
        <v>688</v>
      </c>
      <c r="J76" s="54"/>
      <c r="K76" s="54"/>
      <c r="L76" s="54"/>
      <c r="M76" s="54"/>
      <c r="N76" s="54"/>
      <c r="O76" s="54"/>
      <c r="P76" s="54"/>
      <c r="Q76" s="54"/>
      <c r="R76" s="54"/>
      <c r="S76" s="54"/>
      <c r="T76" s="53"/>
      <c r="U76" s="53"/>
      <c r="V76" s="52" t="s">
        <v>344</v>
      </c>
      <c r="W76" s="52" t="s">
        <v>156</v>
      </c>
      <c r="X76" s="52"/>
      <c r="Y76" s="54" t="str">
        <f>"[" &amp; _xlfn.TEXTJOIN(", ", TRUE,
    IF(G76&lt;&gt;"", """" &amp; G$1 &amp; """", ""),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T76 &amp; """", ""),
    IF(U76&lt;&gt;"", """" &amp; U76 &amp; """", ""),
    IF(V76&lt;&gt;"", """" &amp; V76 &amp; """", ""),
    IF(W76&lt;&gt;"", """" &amp; W76 &amp; """", ""),
    IF(X76&lt;&gt;"", """" &amp; X76 &amp; """", "")
) &amp; "]"</f>
        <v>["MIGS-VI", "Internal", "Sequence"]</v>
      </c>
      <c r="Z76" s="54" t="s">
        <v>412</v>
      </c>
      <c r="AA76" s="52"/>
      <c r="AB76" s="54" t="s">
        <v>414</v>
      </c>
      <c r="AC76" s="54"/>
      <c r="AD76" s="54"/>
      <c r="AE76" s="54"/>
      <c r="AF76" s="54"/>
      <c r="AG76" s="54"/>
      <c r="AH76" s="54"/>
      <c r="AI76" s="54"/>
      <c r="AJ76" s="54"/>
      <c r="AK76" s="54"/>
      <c r="AL76" s="54"/>
      <c r="AM76" s="54"/>
      <c r="AN76" s="54"/>
      <c r="AO76" s="54"/>
      <c r="AP76" s="54"/>
      <c r="AQ76" s="54"/>
      <c r="AR76" s="54"/>
      <c r="AS76" s="54"/>
      <c r="AT76" s="54"/>
      <c r="AU76" s="55" t="s">
        <v>689</v>
      </c>
      <c r="AV76" s="54" t="s">
        <v>690</v>
      </c>
      <c r="AW76" s="52" t="s">
        <v>76</v>
      </c>
      <c r="AX76" s="52" t="s">
        <v>132</v>
      </c>
      <c r="AY76" s="54"/>
      <c r="AZ76" s="54"/>
      <c r="BA76" s="54"/>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c r="CH76" s="50"/>
      <c r="CI76" s="50"/>
      <c r="CJ76" s="50"/>
      <c r="CK76" s="50"/>
      <c r="CL76" s="50"/>
      <c r="CM76" s="50"/>
      <c r="CN76" s="50"/>
      <c r="CO76" s="50"/>
      <c r="CP76" s="50"/>
      <c r="CQ76" s="50"/>
      <c r="CR76" s="50"/>
      <c r="CS76" s="50"/>
      <c r="CT76" s="50"/>
      <c r="CU76" s="50"/>
      <c r="CV76" s="50"/>
      <c r="CW76" s="50"/>
      <c r="CX76" s="50"/>
      <c r="CY76" s="50"/>
      <c r="CZ76" s="50"/>
      <c r="DA76" s="50"/>
      <c r="DB76" s="50"/>
      <c r="DC76" s="50"/>
      <c r="DD76" s="50"/>
      <c r="DE76" s="50"/>
      <c r="DF76" s="50"/>
      <c r="DG76" s="50"/>
      <c r="DH76" s="50"/>
      <c r="DI76" s="50"/>
      <c r="DJ76" s="50"/>
      <c r="DK76" s="50"/>
      <c r="DL76" s="50"/>
      <c r="DM76" s="50"/>
      <c r="DN76" s="50"/>
      <c r="DO76" s="50"/>
      <c r="DP76" s="50"/>
      <c r="DQ76" s="50"/>
      <c r="DR76" s="50"/>
      <c r="DS76" s="50"/>
      <c r="DT76" s="50"/>
      <c r="DU76" s="50"/>
      <c r="DV76" s="50"/>
      <c r="DW76" s="50"/>
      <c r="DX76" s="50"/>
      <c r="DY76" s="50"/>
      <c r="DZ76" s="50"/>
      <c r="EA76" s="50"/>
      <c r="EB76" s="50"/>
      <c r="EC76" s="50"/>
      <c r="ED76" s="50"/>
      <c r="EE76" s="50"/>
      <c r="EF76" s="50"/>
      <c r="EG76" s="50"/>
      <c r="EH76" s="50"/>
      <c r="EI76" s="50"/>
      <c r="EJ76" s="50"/>
      <c r="EK76" s="50"/>
      <c r="EL76" s="50"/>
      <c r="EM76" s="50"/>
      <c r="EN76" s="50"/>
      <c r="EO76" s="50"/>
      <c r="EP76" s="50"/>
      <c r="EQ76" s="50"/>
      <c r="ER76" s="50"/>
      <c r="ES76" s="50"/>
      <c r="ET76" s="50"/>
      <c r="EU76" s="50"/>
      <c r="EV76" s="50"/>
      <c r="EW76" s="50"/>
      <c r="EX76" s="50"/>
      <c r="EY76" s="50"/>
      <c r="EZ76" s="50"/>
      <c r="FA76" s="50"/>
      <c r="FB76" s="50"/>
      <c r="FC76" s="50"/>
      <c r="FD76" s="50"/>
      <c r="FE76" s="50"/>
      <c r="FF76" s="50"/>
      <c r="FG76" s="50"/>
      <c r="FH76" s="50"/>
      <c r="FI76" s="50"/>
      <c r="FJ76" s="50"/>
      <c r="FK76" s="50"/>
      <c r="FL76" s="50"/>
      <c r="FM76" s="50"/>
      <c r="FN76" s="50"/>
      <c r="FO76" s="50"/>
      <c r="FP76" s="50"/>
      <c r="FQ76" s="50"/>
      <c r="FR76" s="50"/>
      <c r="FS76" s="50"/>
      <c r="FT76" s="50"/>
      <c r="FU76" s="50"/>
      <c r="FV76" s="50"/>
      <c r="FW76" s="50"/>
    </row>
    <row r="77" spans="1:179" s="59" customFormat="1" ht="25.5" customHeight="1">
      <c r="A77" s="51" t="s">
        <v>691</v>
      </c>
      <c r="B77" s="51" t="s">
        <v>692</v>
      </c>
      <c r="C77" s="52" t="s">
        <v>693</v>
      </c>
      <c r="D77" s="71" t="s">
        <v>694</v>
      </c>
      <c r="E77" s="54" t="s">
        <v>63</v>
      </c>
      <c r="F77" s="54" t="s">
        <v>154</v>
      </c>
      <c r="G77" s="54"/>
      <c r="H77" s="54"/>
      <c r="I77" s="54" t="s">
        <v>695</v>
      </c>
      <c r="J77" s="54"/>
      <c r="K77" s="54"/>
      <c r="L77" s="54"/>
      <c r="M77" s="54"/>
      <c r="N77" s="54"/>
      <c r="O77" s="54"/>
      <c r="P77" s="54"/>
      <c r="Q77" s="54"/>
      <c r="R77" s="54"/>
      <c r="S77" s="54"/>
      <c r="T77" s="53"/>
      <c r="U77" s="53"/>
      <c r="V77" s="52" t="s">
        <v>68</v>
      </c>
      <c r="W77" s="52" t="s">
        <v>69</v>
      </c>
      <c r="X77" s="52"/>
      <c r="Y77" s="54" t="str">
        <f>"[" &amp; _xlfn.TEXTJOIN(", ", TRUE,
    IF(G77&lt;&gt;"", """" &amp; G$1 &amp; """", ""),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T77 &amp; """", ""),
    IF(U77&lt;&gt;"", """" &amp; U77 &amp; """", ""),
    IF(V77&lt;&gt;"", """" &amp; V77 &amp; """", ""),
    IF(W77&lt;&gt;"", """" &amp; W77 &amp; """", ""),
    IF(X77&lt;&gt;"", """" &amp; X77 &amp; """", "")
) &amp; "]"</f>
        <v>["MIGS-VI", "Organizational", "Identifiers"]</v>
      </c>
      <c r="Z77" s="54" t="s">
        <v>412</v>
      </c>
      <c r="AA77" s="52" t="s">
        <v>696</v>
      </c>
      <c r="AB77" s="54" t="s">
        <v>414</v>
      </c>
      <c r="AC77" s="54"/>
      <c r="AD77" s="54"/>
      <c r="AE77" s="54"/>
      <c r="AF77" s="54"/>
      <c r="AG77" s="54"/>
      <c r="AH77" s="54"/>
      <c r="AI77" s="54"/>
      <c r="AJ77" s="54"/>
      <c r="AK77" s="54"/>
      <c r="AL77" s="54"/>
      <c r="AM77" s="54"/>
      <c r="AN77" s="54"/>
      <c r="AO77" s="54"/>
      <c r="AP77" s="54"/>
      <c r="AQ77" s="54"/>
      <c r="AR77" s="54"/>
      <c r="AS77" s="54"/>
      <c r="AT77" s="54"/>
      <c r="AU77" s="55" t="s">
        <v>697</v>
      </c>
      <c r="AV77" s="54"/>
      <c r="AW77" s="52" t="s">
        <v>76</v>
      </c>
      <c r="AX77" s="52" t="s">
        <v>132</v>
      </c>
      <c r="AY77" s="54"/>
      <c r="AZ77" s="54"/>
      <c r="BA77" s="54"/>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c r="CH77" s="50"/>
      <c r="CI77" s="50"/>
      <c r="CJ77" s="50"/>
      <c r="CK77" s="50"/>
      <c r="CL77" s="50"/>
      <c r="CM77" s="50"/>
      <c r="CN77" s="50"/>
      <c r="CO77" s="50"/>
      <c r="CP77" s="50"/>
      <c r="CQ77" s="50"/>
      <c r="CR77" s="50"/>
      <c r="CS77" s="50"/>
      <c r="CT77" s="50"/>
      <c r="CU77" s="50"/>
      <c r="CV77" s="50"/>
      <c r="CW77" s="50"/>
      <c r="CX77" s="50"/>
      <c r="CY77" s="50"/>
      <c r="CZ77" s="50"/>
      <c r="DA77" s="50"/>
      <c r="DB77" s="50"/>
      <c r="DC77" s="50"/>
      <c r="DD77" s="50"/>
      <c r="DE77" s="50"/>
      <c r="DF77" s="50"/>
      <c r="DG77" s="50"/>
      <c r="DH77" s="50"/>
      <c r="DI77" s="50"/>
      <c r="DJ77" s="50"/>
      <c r="DK77" s="50"/>
      <c r="DL77" s="50"/>
      <c r="DM77" s="50"/>
      <c r="DN77" s="50"/>
      <c r="DO77" s="50"/>
      <c r="DP77" s="50"/>
      <c r="DQ77" s="50"/>
      <c r="DR77" s="50"/>
      <c r="DS77" s="50"/>
      <c r="DT77" s="50"/>
      <c r="DU77" s="50"/>
      <c r="DV77" s="50"/>
      <c r="DW77" s="50"/>
      <c r="DX77" s="50"/>
      <c r="DY77" s="50"/>
      <c r="DZ77" s="50"/>
      <c r="EA77" s="50"/>
      <c r="EB77" s="50"/>
      <c r="EC77" s="50"/>
      <c r="ED77" s="50"/>
      <c r="EE77" s="50"/>
      <c r="EF77" s="50"/>
      <c r="EG77" s="50"/>
      <c r="EH77" s="50"/>
      <c r="EI77" s="50"/>
      <c r="EJ77" s="50"/>
      <c r="EK77" s="50"/>
      <c r="EL77" s="50"/>
      <c r="EM77" s="50"/>
      <c r="EN77" s="50"/>
      <c r="EO77" s="50"/>
      <c r="EP77" s="50"/>
      <c r="EQ77" s="50"/>
      <c r="ER77" s="50"/>
      <c r="ES77" s="50"/>
      <c r="ET77" s="50"/>
      <c r="EU77" s="50"/>
      <c r="EV77" s="50"/>
      <c r="EW77" s="50"/>
      <c r="EX77" s="50"/>
      <c r="EY77" s="50"/>
      <c r="EZ77" s="50"/>
      <c r="FA77" s="50"/>
      <c r="FB77" s="50"/>
      <c r="FC77" s="50"/>
      <c r="FD77" s="50"/>
      <c r="FE77" s="50"/>
      <c r="FF77" s="50"/>
      <c r="FG77" s="50"/>
      <c r="FH77" s="50"/>
      <c r="FI77" s="50"/>
      <c r="FJ77" s="50"/>
      <c r="FK77" s="50"/>
      <c r="FL77" s="50"/>
      <c r="FM77" s="50"/>
      <c r="FN77" s="50"/>
      <c r="FO77" s="50"/>
      <c r="FP77" s="50"/>
      <c r="FQ77" s="50"/>
      <c r="FR77" s="50"/>
      <c r="FS77" s="50"/>
      <c r="FT77" s="50"/>
      <c r="FU77" s="50"/>
      <c r="FV77" s="50"/>
      <c r="FW77" s="50"/>
    </row>
    <row r="78" spans="1:179" s="59" customFormat="1" ht="25.5" customHeight="1">
      <c r="A78" s="51" t="s">
        <v>698</v>
      </c>
      <c r="B78" s="51" t="s">
        <v>699</v>
      </c>
      <c r="C78" s="52" t="s">
        <v>700</v>
      </c>
      <c r="D78" s="71" t="s">
        <v>701</v>
      </c>
      <c r="E78" s="54" t="s">
        <v>216</v>
      </c>
      <c r="F78" s="54" t="s">
        <v>154</v>
      </c>
      <c r="G78" s="54"/>
      <c r="H78" s="54"/>
      <c r="I78" s="54" t="s">
        <v>695</v>
      </c>
      <c r="J78" s="54"/>
      <c r="K78" s="54"/>
      <c r="L78" s="54"/>
      <c r="M78" s="54" t="s">
        <v>702</v>
      </c>
      <c r="N78" s="54"/>
      <c r="O78" s="54"/>
      <c r="P78" s="54"/>
      <c r="Q78" s="54"/>
      <c r="R78" s="54"/>
      <c r="S78" s="54"/>
      <c r="T78" s="53"/>
      <c r="U78" s="53"/>
      <c r="V78" s="52" t="s">
        <v>68</v>
      </c>
      <c r="W78" s="52" t="s">
        <v>69</v>
      </c>
      <c r="X78" s="52"/>
      <c r="Y78" s="54" t="str">
        <f>"[" &amp; _xlfn.TEXTJOIN(", ", TRUE,
    IF(G78&lt;&gt;"", """" &amp; G$1 &amp; """", ""),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T78 &amp; """", ""),
    IF(U78&lt;&gt;"", """" &amp; U78 &amp; """", ""),
    IF(V78&lt;&gt;"", """" &amp; V78 &amp; """", ""),
    IF(W78&lt;&gt;"", """" &amp; W78 &amp; """", ""),
    IF(X78&lt;&gt;"", """" &amp; X78 &amp; """", "")
) &amp; "]"</f>
        <v>["MIGS-VI", "BV-BRC", "Organizational", "Identifiers"]</v>
      </c>
      <c r="Z78" s="54" t="s">
        <v>359</v>
      </c>
      <c r="AA78" s="52" t="s">
        <v>703</v>
      </c>
      <c r="AB78" s="54"/>
      <c r="AC78" s="54"/>
      <c r="AD78" s="54"/>
      <c r="AE78" s="54"/>
      <c r="AF78" s="54"/>
      <c r="AG78" s="54" t="s">
        <v>73</v>
      </c>
      <c r="AH78" s="54"/>
      <c r="AI78" s="54" t="s">
        <v>704</v>
      </c>
      <c r="AJ78" s="54" t="s">
        <v>90</v>
      </c>
      <c r="AK78" s="54"/>
      <c r="AL78" s="54" t="s">
        <v>705</v>
      </c>
      <c r="AM78" s="54"/>
      <c r="AN78" s="54"/>
      <c r="AO78" s="54"/>
      <c r="AP78" s="54"/>
      <c r="AQ78" s="54"/>
      <c r="AR78" s="54"/>
      <c r="AS78" s="54"/>
      <c r="AT78" s="54"/>
      <c r="AU78" s="55"/>
      <c r="AV78" s="54"/>
      <c r="AW78" s="52" t="s">
        <v>76</v>
      </c>
      <c r="AX78" s="52" t="s">
        <v>132</v>
      </c>
      <c r="AY78" s="54"/>
      <c r="AZ78" s="54"/>
      <c r="BA78" s="54"/>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c r="CH78" s="50"/>
      <c r="CI78" s="50"/>
      <c r="CJ78" s="50"/>
      <c r="CK78" s="50"/>
      <c r="CL78" s="50"/>
      <c r="CM78" s="50"/>
      <c r="CN78" s="50"/>
      <c r="CO78" s="50"/>
      <c r="CP78" s="50"/>
      <c r="CQ78" s="50"/>
      <c r="CR78" s="50"/>
      <c r="CS78" s="50"/>
      <c r="CT78" s="50"/>
      <c r="CU78" s="50"/>
      <c r="CV78" s="50"/>
      <c r="CW78" s="50"/>
      <c r="CX78" s="50"/>
      <c r="CY78" s="50"/>
      <c r="CZ78" s="50"/>
      <c r="DA78" s="50"/>
      <c r="DB78" s="50"/>
      <c r="DC78" s="50"/>
      <c r="DD78" s="50"/>
      <c r="DE78" s="50"/>
      <c r="DF78" s="50"/>
      <c r="DG78" s="50"/>
      <c r="DH78" s="50"/>
      <c r="DI78" s="50"/>
      <c r="DJ78" s="50"/>
      <c r="DK78" s="50"/>
      <c r="DL78" s="50"/>
      <c r="DM78" s="50"/>
      <c r="DN78" s="50"/>
      <c r="DO78" s="50"/>
      <c r="DP78" s="50"/>
      <c r="DQ78" s="50"/>
      <c r="DR78" s="50"/>
      <c r="DS78" s="50"/>
      <c r="DT78" s="50"/>
      <c r="DU78" s="50"/>
      <c r="DV78" s="50"/>
      <c r="DW78" s="50"/>
      <c r="DX78" s="50"/>
      <c r="DY78" s="50"/>
      <c r="DZ78" s="50"/>
      <c r="EA78" s="50"/>
      <c r="EB78" s="50"/>
      <c r="EC78" s="50"/>
      <c r="ED78" s="50"/>
      <c r="EE78" s="50"/>
      <c r="EF78" s="50"/>
      <c r="EG78" s="50"/>
      <c r="EH78" s="50"/>
      <c r="EI78" s="50"/>
      <c r="EJ78" s="50"/>
      <c r="EK78" s="50"/>
      <c r="EL78" s="50"/>
      <c r="EM78" s="50"/>
      <c r="EN78" s="50"/>
      <c r="EO78" s="50"/>
      <c r="EP78" s="50"/>
      <c r="EQ78" s="50"/>
      <c r="ER78" s="50"/>
      <c r="ES78" s="50"/>
      <c r="ET78" s="50"/>
      <c r="EU78" s="50"/>
      <c r="EV78" s="50"/>
      <c r="EW78" s="50"/>
      <c r="EX78" s="50"/>
      <c r="EY78" s="50"/>
      <c r="EZ78" s="50"/>
      <c r="FA78" s="50"/>
      <c r="FB78" s="50"/>
      <c r="FC78" s="50"/>
      <c r="FD78" s="50"/>
      <c r="FE78" s="50"/>
      <c r="FF78" s="50"/>
      <c r="FG78" s="50"/>
      <c r="FH78" s="50"/>
      <c r="FI78" s="50"/>
      <c r="FJ78" s="50"/>
      <c r="FK78" s="50"/>
      <c r="FL78" s="50"/>
      <c r="FM78" s="50"/>
      <c r="FN78" s="50"/>
      <c r="FO78" s="50"/>
      <c r="FP78" s="50"/>
      <c r="FQ78" s="50"/>
      <c r="FR78" s="50"/>
      <c r="FS78" s="50"/>
      <c r="FT78" s="50"/>
      <c r="FU78" s="50"/>
      <c r="FV78" s="50"/>
      <c r="FW78" s="50"/>
    </row>
    <row r="79" spans="1:179" s="59" customFormat="1" ht="25.5" customHeight="1">
      <c r="A79" s="51" t="s">
        <v>706</v>
      </c>
      <c r="B79" s="51" t="s">
        <v>707</v>
      </c>
      <c r="C79" s="52" t="s">
        <v>708</v>
      </c>
      <c r="D79" s="71" t="s">
        <v>709</v>
      </c>
      <c r="E79" s="54" t="s">
        <v>117</v>
      </c>
      <c r="F79" s="54" t="s">
        <v>154</v>
      </c>
      <c r="G79" s="54"/>
      <c r="H79" s="54"/>
      <c r="I79" s="54"/>
      <c r="J79" s="54"/>
      <c r="K79" s="54"/>
      <c r="L79" s="54"/>
      <c r="M79" s="54" t="s">
        <v>710</v>
      </c>
      <c r="N79" s="54"/>
      <c r="O79" s="54"/>
      <c r="P79" s="54"/>
      <c r="Q79" s="54"/>
      <c r="R79" s="54"/>
      <c r="S79" s="54"/>
      <c r="T79" s="53"/>
      <c r="U79" s="53"/>
      <c r="V79" s="52" t="s">
        <v>68</v>
      </c>
      <c r="W79" s="52"/>
      <c r="X79" s="52" t="s">
        <v>219</v>
      </c>
      <c r="Y79" s="54" t="str">
        <f>"[" &amp; _xlfn.TEXTJOIN(", ", TRUE,
    IF(G79&lt;&gt;"", """" &amp; G$1 &amp; """", ""),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T79 &amp; """", ""),
    IF(U79&lt;&gt;"", """" &amp; U79 &amp; """", ""),
    IF(V79&lt;&gt;"", """" &amp; V79 &amp; """", ""),
    IF(W79&lt;&gt;"", """" &amp; W79 &amp; """", ""),
    IF(X79&lt;&gt;"", """" &amp; X79 &amp; """", "")
) &amp; "]"</f>
        <v>["BV-BRC", "Organizational", "Workflows"]</v>
      </c>
      <c r="Z79" s="54" t="s">
        <v>359</v>
      </c>
      <c r="AA79" s="52"/>
      <c r="AB79" s="54" t="s">
        <v>711</v>
      </c>
      <c r="AC79" s="54"/>
      <c r="AD79" s="54"/>
      <c r="AE79" s="54"/>
      <c r="AF79" s="54"/>
      <c r="AG79" s="54" t="s">
        <v>712</v>
      </c>
      <c r="AH79" s="54"/>
      <c r="AI79" s="54" t="s">
        <v>713</v>
      </c>
      <c r="AJ79" s="54" t="s">
        <v>714</v>
      </c>
      <c r="AK79" s="54"/>
      <c r="AL79" s="54"/>
      <c r="AM79" s="54"/>
      <c r="AN79" s="54"/>
      <c r="AO79" s="54"/>
      <c r="AP79" s="54"/>
      <c r="AQ79" s="54"/>
      <c r="AR79" s="54"/>
      <c r="AS79" s="54"/>
      <c r="AT79" s="54"/>
      <c r="AU79" s="55" t="s">
        <v>283</v>
      </c>
      <c r="AV79" s="54" t="s">
        <v>284</v>
      </c>
      <c r="AW79" s="52" t="s">
        <v>117</v>
      </c>
      <c r="AX79" s="52" t="s">
        <v>132</v>
      </c>
      <c r="AY79" s="54"/>
      <c r="AZ79" s="54"/>
      <c r="BA79" s="54"/>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c r="CH79" s="50"/>
      <c r="CI79" s="50"/>
      <c r="CJ79" s="50"/>
      <c r="CK79" s="50"/>
      <c r="CL79" s="50"/>
      <c r="CM79" s="50"/>
      <c r="CN79" s="50"/>
      <c r="CO79" s="50"/>
      <c r="CP79" s="50"/>
      <c r="CQ79" s="50"/>
      <c r="CR79" s="50"/>
      <c r="CS79" s="50"/>
      <c r="CT79" s="50"/>
      <c r="CU79" s="50"/>
      <c r="CV79" s="50"/>
      <c r="CW79" s="50"/>
      <c r="CX79" s="50"/>
      <c r="CY79" s="50"/>
      <c r="CZ79" s="50"/>
      <c r="DA79" s="50"/>
      <c r="DB79" s="50"/>
      <c r="DC79" s="50"/>
      <c r="DD79" s="50"/>
      <c r="DE79" s="50"/>
      <c r="DF79" s="50"/>
      <c r="DG79" s="50"/>
      <c r="DH79" s="50"/>
      <c r="DI79" s="50"/>
      <c r="DJ79" s="50"/>
      <c r="DK79" s="50"/>
      <c r="DL79" s="50"/>
      <c r="DM79" s="50"/>
      <c r="DN79" s="50"/>
      <c r="DO79" s="50"/>
      <c r="DP79" s="50"/>
      <c r="DQ79" s="50"/>
      <c r="DR79" s="50"/>
      <c r="DS79" s="50"/>
      <c r="DT79" s="50"/>
      <c r="DU79" s="50"/>
      <c r="DV79" s="50"/>
      <c r="DW79" s="50"/>
      <c r="DX79" s="50"/>
      <c r="DY79" s="50"/>
      <c r="DZ79" s="50"/>
      <c r="EA79" s="50"/>
      <c r="EB79" s="50"/>
      <c r="EC79" s="50"/>
      <c r="ED79" s="50"/>
      <c r="EE79" s="50"/>
      <c r="EF79" s="50"/>
      <c r="EG79" s="50"/>
      <c r="EH79" s="50"/>
      <c r="EI79" s="50"/>
      <c r="EJ79" s="50"/>
      <c r="EK79" s="50"/>
      <c r="EL79" s="50"/>
      <c r="EM79" s="50"/>
      <c r="EN79" s="50"/>
      <c r="EO79" s="50"/>
      <c r="EP79" s="50"/>
      <c r="EQ79" s="50"/>
      <c r="ER79" s="50"/>
      <c r="ES79" s="50"/>
      <c r="ET79" s="50"/>
      <c r="EU79" s="50"/>
      <c r="EV79" s="50"/>
      <c r="EW79" s="50"/>
      <c r="EX79" s="50"/>
      <c r="EY79" s="50"/>
      <c r="EZ79" s="50"/>
      <c r="FA79" s="50"/>
      <c r="FB79" s="50"/>
      <c r="FC79" s="50"/>
      <c r="FD79" s="50"/>
      <c r="FE79" s="50"/>
      <c r="FF79" s="50"/>
      <c r="FG79" s="50"/>
      <c r="FH79" s="50"/>
      <c r="FI79" s="50"/>
      <c r="FJ79" s="50"/>
      <c r="FK79" s="50"/>
      <c r="FL79" s="50"/>
      <c r="FM79" s="50"/>
      <c r="FN79" s="50"/>
      <c r="FO79" s="50"/>
      <c r="FP79" s="50"/>
      <c r="FQ79" s="50"/>
      <c r="FR79" s="50"/>
      <c r="FS79" s="50"/>
      <c r="FT79" s="50"/>
      <c r="FU79" s="50"/>
      <c r="FV79" s="50"/>
      <c r="FW79" s="50"/>
    </row>
    <row r="80" spans="1:179" s="59" customFormat="1" ht="25.5" customHeight="1">
      <c r="A80" s="51" t="s">
        <v>715</v>
      </c>
      <c r="B80" s="51" t="s">
        <v>716</v>
      </c>
      <c r="C80" s="52" t="s">
        <v>717</v>
      </c>
      <c r="D80" s="71" t="s">
        <v>718</v>
      </c>
      <c r="E80" s="54" t="s">
        <v>63</v>
      </c>
      <c r="F80" s="54" t="s">
        <v>672</v>
      </c>
      <c r="G80" s="54"/>
      <c r="H80" s="54" t="s">
        <v>719</v>
      </c>
      <c r="I80" s="54"/>
      <c r="J80" s="54"/>
      <c r="K80" s="54"/>
      <c r="L80" s="54"/>
      <c r="M80" s="54"/>
      <c r="N80" s="54"/>
      <c r="O80" s="54"/>
      <c r="P80" s="54"/>
      <c r="Q80" s="54"/>
      <c r="R80" s="54"/>
      <c r="S80" s="54"/>
      <c r="T80" s="53"/>
      <c r="U80" s="53"/>
      <c r="V80" s="52" t="s">
        <v>344</v>
      </c>
      <c r="W80" s="52" t="s">
        <v>156</v>
      </c>
      <c r="X80" s="52"/>
      <c r="Y80" s="54" t="str">
        <f>"[" &amp; _xlfn.TEXTJOIN(", ", TRUE,
    IF(G80&lt;&gt;"", """" &amp; G$1 &amp; """", ""),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T80 &amp; """", ""),
    IF(U80&lt;&gt;"", """" &amp; U80 &amp; """", ""),
    IF(V80&lt;&gt;"", """" &amp; V80 &amp; """", ""),
    IF(W80&lt;&gt;"", """" &amp; W80 &amp; """", ""),
    IF(X80&lt;&gt;"", """" &amp; X80 &amp; """", "")
) &amp; "]"</f>
        <v>["RKI", "Internal", "Sequence"]</v>
      </c>
      <c r="Z80" s="54" t="s">
        <v>412</v>
      </c>
      <c r="AA80" s="52" t="s">
        <v>351</v>
      </c>
      <c r="AB80" s="54" t="s">
        <v>414</v>
      </c>
      <c r="AC80" s="54"/>
      <c r="AD80" s="54"/>
      <c r="AE80" s="54"/>
      <c r="AF80" s="54"/>
      <c r="AG80" s="54"/>
      <c r="AH80" s="54"/>
      <c r="AI80" s="54"/>
      <c r="AJ80" s="54"/>
      <c r="AK80" s="54"/>
      <c r="AL80" s="54"/>
      <c r="AM80" s="54"/>
      <c r="AN80" s="54"/>
      <c r="AO80" s="54"/>
      <c r="AP80" s="54"/>
      <c r="AQ80" s="54"/>
      <c r="AR80" s="54"/>
      <c r="AS80" s="54"/>
      <c r="AT80" s="54"/>
      <c r="AU80" s="55"/>
      <c r="AV80" s="54"/>
      <c r="AW80" s="52" t="s">
        <v>76</v>
      </c>
      <c r="AX80" s="52" t="s">
        <v>132</v>
      </c>
      <c r="AY80" s="54"/>
      <c r="AZ80" s="54"/>
      <c r="BA80" s="54"/>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c r="CH80" s="50"/>
      <c r="CI80" s="50"/>
      <c r="CJ80" s="50"/>
      <c r="CK80" s="50"/>
      <c r="CL80" s="50"/>
      <c r="CM80" s="50"/>
      <c r="CN80" s="50"/>
      <c r="CO80" s="50"/>
      <c r="CP80" s="50"/>
      <c r="CQ80" s="50"/>
      <c r="CR80" s="50"/>
      <c r="CS80" s="50"/>
      <c r="CT80" s="50"/>
      <c r="CU80" s="50"/>
      <c r="CV80" s="50"/>
      <c r="CW80" s="50"/>
      <c r="CX80" s="50"/>
      <c r="CY80" s="50"/>
      <c r="CZ80" s="50"/>
      <c r="DA80" s="50"/>
      <c r="DB80" s="50"/>
      <c r="DC80" s="50"/>
      <c r="DD80" s="50"/>
      <c r="DE80" s="50"/>
      <c r="DF80" s="50"/>
      <c r="DG80" s="50"/>
      <c r="DH80" s="50"/>
      <c r="DI80" s="50"/>
      <c r="DJ80" s="50"/>
      <c r="DK80" s="50"/>
      <c r="DL80" s="50"/>
      <c r="DM80" s="50"/>
      <c r="DN80" s="50"/>
      <c r="DO80" s="50"/>
      <c r="DP80" s="50"/>
      <c r="DQ80" s="50"/>
      <c r="DR80" s="50"/>
      <c r="DS80" s="50"/>
      <c r="DT80" s="50"/>
      <c r="DU80" s="50"/>
      <c r="DV80" s="50"/>
      <c r="DW80" s="50"/>
      <c r="DX80" s="50"/>
      <c r="DY80" s="50"/>
      <c r="DZ80" s="50"/>
      <c r="EA80" s="50"/>
      <c r="EB80" s="50"/>
      <c r="EC80" s="50"/>
      <c r="ED80" s="50"/>
      <c r="EE80" s="50"/>
      <c r="EF80" s="50"/>
      <c r="EG80" s="50"/>
      <c r="EH80" s="50"/>
      <c r="EI80" s="50"/>
      <c r="EJ80" s="50"/>
      <c r="EK80" s="50"/>
      <c r="EL80" s="50"/>
      <c r="EM80" s="50"/>
      <c r="EN80" s="50"/>
      <c r="EO80" s="50"/>
      <c r="EP80" s="50"/>
      <c r="EQ80" s="50"/>
      <c r="ER80" s="50"/>
      <c r="ES80" s="50"/>
      <c r="ET80" s="50"/>
      <c r="EU80" s="50"/>
      <c r="EV80" s="50"/>
      <c r="EW80" s="50"/>
      <c r="EX80" s="50"/>
      <c r="EY80" s="50"/>
      <c r="EZ80" s="50"/>
      <c r="FA80" s="50"/>
      <c r="FB80" s="50"/>
      <c r="FC80" s="50"/>
      <c r="FD80" s="50"/>
      <c r="FE80" s="50"/>
      <c r="FF80" s="50"/>
      <c r="FG80" s="50"/>
      <c r="FH80" s="50"/>
      <c r="FI80" s="50"/>
      <c r="FJ80" s="50"/>
      <c r="FK80" s="50"/>
      <c r="FL80" s="50"/>
      <c r="FM80" s="50"/>
      <c r="FN80" s="50"/>
      <c r="FO80" s="50"/>
      <c r="FP80" s="50"/>
      <c r="FQ80" s="50"/>
      <c r="FR80" s="50"/>
      <c r="FS80" s="50"/>
      <c r="FT80" s="50"/>
      <c r="FU80" s="50"/>
      <c r="FV80" s="50"/>
      <c r="FW80" s="50"/>
    </row>
    <row r="81" spans="1:179" s="59" customFormat="1" ht="25.5" customHeight="1">
      <c r="A81" s="51" t="s">
        <v>720</v>
      </c>
      <c r="B81" s="51" t="s">
        <v>721</v>
      </c>
      <c r="C81" s="52" t="s">
        <v>722</v>
      </c>
      <c r="D81" s="71" t="s">
        <v>723</v>
      </c>
      <c r="E81" s="54" t="s">
        <v>76</v>
      </c>
      <c r="F81" s="54" t="s">
        <v>64</v>
      </c>
      <c r="G81" s="54"/>
      <c r="H81" s="54"/>
      <c r="I81" s="54"/>
      <c r="J81" s="54"/>
      <c r="K81" s="54"/>
      <c r="L81" s="54"/>
      <c r="M81" s="54" t="s">
        <v>722</v>
      </c>
      <c r="N81" s="54"/>
      <c r="O81" s="54"/>
      <c r="P81" s="54"/>
      <c r="Q81" s="54"/>
      <c r="R81" s="54"/>
      <c r="S81" s="54"/>
      <c r="T81" s="53"/>
      <c r="U81" s="53"/>
      <c r="V81" s="52" t="s">
        <v>68</v>
      </c>
      <c r="W81" s="52" t="s">
        <v>156</v>
      </c>
      <c r="X81" s="52" t="s">
        <v>219</v>
      </c>
      <c r="Y81" s="54" t="str">
        <f>"[" &amp; _xlfn.TEXTJOIN(", ", TRUE,
    IF(G81&lt;&gt;"", """" &amp; G$1 &amp; """", ""),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T81 &amp; """", ""),
    IF(U81&lt;&gt;"", """" &amp; U81 &amp; """", ""),
    IF(V81&lt;&gt;"", """" &amp; V81 &amp; """", ""),
    IF(W81&lt;&gt;"", """" &amp; W81 &amp; """", ""),
    IF(X81&lt;&gt;"", """" &amp; X81 &amp; """", "")
) &amp; "]"</f>
        <v>["BV-BRC", "Organizational", "Sequence", "Workflows"]</v>
      </c>
      <c r="Z81" s="54" t="s">
        <v>359</v>
      </c>
      <c r="AA81" s="52"/>
      <c r="AB81" s="54"/>
      <c r="AC81" s="54"/>
      <c r="AD81" s="54"/>
      <c r="AE81" s="54"/>
      <c r="AF81" s="54"/>
      <c r="AG81" s="54" t="s">
        <v>360</v>
      </c>
      <c r="AH81" s="54"/>
      <c r="AI81" s="54" t="s">
        <v>724</v>
      </c>
      <c r="AJ81" s="54" t="s">
        <v>75</v>
      </c>
      <c r="AK81" s="54"/>
      <c r="AL81" s="54"/>
      <c r="AM81" s="54"/>
      <c r="AN81" s="54"/>
      <c r="AO81" s="54"/>
      <c r="AP81" s="54"/>
      <c r="AQ81" s="54"/>
      <c r="AR81" s="54"/>
      <c r="AS81" s="54"/>
      <c r="AT81" s="54"/>
      <c r="AU81" s="55" t="s">
        <v>725</v>
      </c>
      <c r="AV81" s="54" t="s">
        <v>210</v>
      </c>
      <c r="AW81" s="52" t="s">
        <v>76</v>
      </c>
      <c r="AX81" s="52" t="s">
        <v>132</v>
      </c>
      <c r="AY81" s="54"/>
      <c r="AZ81" s="54"/>
      <c r="BA81" s="54"/>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c r="CH81" s="50"/>
      <c r="CI81" s="50"/>
      <c r="CJ81" s="50"/>
      <c r="CK81" s="50"/>
      <c r="CL81" s="50"/>
      <c r="CM81" s="50"/>
      <c r="CN81" s="50"/>
      <c r="CO81" s="50"/>
      <c r="CP81" s="50"/>
      <c r="CQ81" s="50"/>
      <c r="CR81" s="50"/>
      <c r="CS81" s="50"/>
      <c r="CT81" s="50"/>
      <c r="CU81" s="50"/>
      <c r="CV81" s="50"/>
      <c r="CW81" s="50"/>
      <c r="CX81" s="50"/>
      <c r="CY81" s="50"/>
      <c r="CZ81" s="50"/>
      <c r="DA81" s="50"/>
      <c r="DB81" s="50"/>
      <c r="DC81" s="50"/>
      <c r="DD81" s="50"/>
      <c r="DE81" s="50"/>
      <c r="DF81" s="50"/>
      <c r="DG81" s="50"/>
      <c r="DH81" s="50"/>
      <c r="DI81" s="50"/>
      <c r="DJ81" s="50"/>
      <c r="DK81" s="50"/>
      <c r="DL81" s="50"/>
      <c r="DM81" s="50"/>
      <c r="DN81" s="50"/>
      <c r="DO81" s="50"/>
      <c r="DP81" s="50"/>
      <c r="DQ81" s="50"/>
      <c r="DR81" s="50"/>
      <c r="DS81" s="50"/>
      <c r="DT81" s="50"/>
      <c r="DU81" s="50"/>
      <c r="DV81" s="50"/>
      <c r="DW81" s="50"/>
      <c r="DX81" s="50"/>
      <c r="DY81" s="50"/>
      <c r="DZ81" s="50"/>
      <c r="EA81" s="50"/>
      <c r="EB81" s="50"/>
      <c r="EC81" s="50"/>
      <c r="ED81" s="50"/>
      <c r="EE81" s="50"/>
      <c r="EF81" s="50"/>
      <c r="EG81" s="50"/>
      <c r="EH81" s="50"/>
      <c r="EI81" s="50"/>
      <c r="EJ81" s="50"/>
      <c r="EK81" s="50"/>
      <c r="EL81" s="50"/>
      <c r="EM81" s="50"/>
      <c r="EN81" s="50"/>
      <c r="EO81" s="50"/>
      <c r="EP81" s="50"/>
      <c r="EQ81" s="50"/>
      <c r="ER81" s="50"/>
      <c r="ES81" s="50"/>
      <c r="ET81" s="50"/>
      <c r="EU81" s="50"/>
      <c r="EV81" s="50"/>
      <c r="EW81" s="50"/>
      <c r="EX81" s="50"/>
      <c r="EY81" s="50"/>
      <c r="EZ81" s="50"/>
      <c r="FA81" s="50"/>
      <c r="FB81" s="50"/>
      <c r="FC81" s="50"/>
      <c r="FD81" s="50"/>
      <c r="FE81" s="50"/>
      <c r="FF81" s="50"/>
      <c r="FG81" s="50"/>
      <c r="FH81" s="50"/>
      <c r="FI81" s="50"/>
      <c r="FJ81" s="50"/>
      <c r="FK81" s="50"/>
      <c r="FL81" s="50"/>
      <c r="FM81" s="50"/>
      <c r="FN81" s="50"/>
      <c r="FO81" s="50"/>
      <c r="FP81" s="50"/>
      <c r="FQ81" s="50"/>
      <c r="FR81" s="50"/>
      <c r="FS81" s="50"/>
      <c r="FT81" s="50"/>
      <c r="FU81" s="50"/>
      <c r="FV81" s="50"/>
      <c r="FW81" s="50"/>
    </row>
    <row r="82" spans="1:179" s="59" customFormat="1" ht="25.5" customHeight="1">
      <c r="A82" s="51" t="s">
        <v>726</v>
      </c>
      <c r="B82" s="51" t="s">
        <v>727</v>
      </c>
      <c r="C82" s="52" t="s">
        <v>728</v>
      </c>
      <c r="D82" s="71" t="s">
        <v>729</v>
      </c>
      <c r="E82" s="54" t="s">
        <v>216</v>
      </c>
      <c r="F82" s="54" t="s">
        <v>154</v>
      </c>
      <c r="G82" s="54" t="s">
        <v>730</v>
      </c>
      <c r="H82" s="54"/>
      <c r="I82" s="54"/>
      <c r="J82" s="54"/>
      <c r="K82" s="54"/>
      <c r="L82" s="54"/>
      <c r="M82" s="54"/>
      <c r="N82" s="54" t="s">
        <v>727</v>
      </c>
      <c r="O82" s="54" t="s">
        <v>727</v>
      </c>
      <c r="P82" s="54"/>
      <c r="Q82" s="54"/>
      <c r="R82" s="54"/>
      <c r="S82" s="54"/>
      <c r="T82" s="53" t="s">
        <v>731</v>
      </c>
      <c r="U82" s="53" t="s">
        <v>732</v>
      </c>
      <c r="V82" s="52" t="s">
        <v>587</v>
      </c>
      <c r="W82" s="52"/>
      <c r="X82" s="52" t="s">
        <v>219</v>
      </c>
      <c r="Y82" s="54" t="str">
        <f>"[" &amp; _xlfn.TEXTJOIN(", ", TRUE,
    IF(G82&lt;&gt;"", """" &amp; G$1 &amp; """", ""),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T82 &amp; """", ""),
    IF(U82&lt;&gt;"", """" &amp; U82 &amp; """", ""),
    IF(V82&lt;&gt;"", """" &amp; V82 &amp; """", ""),
    IF(W82&lt;&gt;"", """" &amp; W82 &amp; """", ""),
    IF(X82&lt;&gt;"", """" &amp; X82 &amp; """", "")
) &amp; "]"</f>
        <v>["ENA", "ENA ERC32", "ENA ERC33", "ENA Experiment", "VJDB Experiment", "Analysis", "Workflows"]</v>
      </c>
      <c r="Z82" s="54"/>
      <c r="AA82" s="52" t="s">
        <v>351</v>
      </c>
      <c r="AB82" s="54" t="s">
        <v>337</v>
      </c>
      <c r="AC82" s="54"/>
      <c r="AD82" s="54"/>
      <c r="AE82" s="54"/>
      <c r="AF82" s="54"/>
      <c r="AG82" s="54"/>
      <c r="AH82" s="54"/>
      <c r="AI82" s="54"/>
      <c r="AJ82" s="54"/>
      <c r="AK82" s="54"/>
      <c r="AL82" s="54"/>
      <c r="AM82" s="54" t="s">
        <v>733</v>
      </c>
      <c r="AN82" s="54"/>
      <c r="AO82" s="54"/>
      <c r="AP82" s="54" t="s">
        <v>733</v>
      </c>
      <c r="AQ82" s="54"/>
      <c r="AR82" s="54" t="s">
        <v>129</v>
      </c>
      <c r="AS82" s="54" t="s">
        <v>236</v>
      </c>
      <c r="AT82" s="54" t="s">
        <v>236</v>
      </c>
      <c r="AU82" s="55"/>
      <c r="AV82" s="54"/>
      <c r="AW82" s="52" t="s">
        <v>76</v>
      </c>
      <c r="AX82" s="52" t="s">
        <v>132</v>
      </c>
      <c r="AY82" s="54"/>
      <c r="AZ82" s="54"/>
      <c r="BA82" s="54"/>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c r="CJ82" s="50"/>
      <c r="CK82" s="50"/>
      <c r="CL82" s="50"/>
      <c r="CM82" s="50"/>
      <c r="CN82" s="50"/>
      <c r="CO82" s="50"/>
      <c r="CP82" s="50"/>
      <c r="CQ82" s="50"/>
      <c r="CR82" s="50"/>
      <c r="CS82" s="50"/>
      <c r="CT82" s="50"/>
      <c r="CU82" s="50"/>
      <c r="CV82" s="50"/>
      <c r="CW82" s="50"/>
      <c r="CX82" s="50"/>
      <c r="CY82" s="50"/>
      <c r="CZ82" s="50"/>
      <c r="DA82" s="50"/>
      <c r="DB82" s="50"/>
      <c r="DC82" s="50"/>
      <c r="DD82" s="50"/>
      <c r="DE82" s="50"/>
      <c r="DF82" s="50"/>
      <c r="DG82" s="50"/>
      <c r="DH82" s="50"/>
      <c r="DI82" s="50"/>
      <c r="DJ82" s="50"/>
      <c r="DK82" s="50"/>
      <c r="DL82" s="50"/>
      <c r="DM82" s="50"/>
      <c r="DN82" s="50"/>
      <c r="DO82" s="50"/>
      <c r="DP82" s="50"/>
      <c r="DQ82" s="50"/>
      <c r="DR82" s="50"/>
      <c r="DS82" s="50"/>
      <c r="DT82" s="50"/>
      <c r="DU82" s="50"/>
      <c r="DV82" s="50"/>
      <c r="DW82" s="50"/>
      <c r="DX82" s="50"/>
      <c r="DY82" s="50"/>
      <c r="DZ82" s="50"/>
      <c r="EA82" s="50"/>
      <c r="EB82" s="50"/>
      <c r="EC82" s="50"/>
      <c r="ED82" s="50"/>
      <c r="EE82" s="50"/>
      <c r="EF82" s="50"/>
      <c r="EG82" s="50"/>
      <c r="EH82" s="50"/>
      <c r="EI82" s="50"/>
      <c r="EJ82" s="50"/>
      <c r="EK82" s="50"/>
      <c r="EL82" s="50"/>
      <c r="EM82" s="50"/>
      <c r="EN82" s="50"/>
      <c r="EO82" s="50"/>
      <c r="EP82" s="50"/>
      <c r="EQ82" s="50"/>
      <c r="ER82" s="50"/>
      <c r="ES82" s="50"/>
      <c r="ET82" s="50"/>
      <c r="EU82" s="50"/>
      <c r="EV82" s="50"/>
      <c r="EW82" s="50"/>
      <c r="EX82" s="50"/>
      <c r="EY82" s="50"/>
      <c r="EZ82" s="50"/>
      <c r="FA82" s="50"/>
      <c r="FB82" s="50"/>
      <c r="FC82" s="50"/>
      <c r="FD82" s="50"/>
      <c r="FE82" s="50"/>
      <c r="FF82" s="50"/>
      <c r="FG82" s="50"/>
      <c r="FH82" s="50"/>
      <c r="FI82" s="50"/>
      <c r="FJ82" s="50"/>
      <c r="FK82" s="50"/>
      <c r="FL82" s="50"/>
      <c r="FM82" s="50"/>
      <c r="FN82" s="50"/>
      <c r="FO82" s="50"/>
      <c r="FP82" s="50"/>
      <c r="FQ82" s="50"/>
      <c r="FR82" s="50"/>
      <c r="FS82" s="50"/>
      <c r="FT82" s="50"/>
      <c r="FU82" s="50"/>
      <c r="FV82" s="50"/>
      <c r="FW82" s="50"/>
    </row>
    <row r="83" spans="1:179" s="59" customFormat="1" ht="25.5" customHeight="1">
      <c r="A83" s="51" t="s">
        <v>734</v>
      </c>
      <c r="B83" s="51" t="s">
        <v>735</v>
      </c>
      <c r="C83" s="52" t="s">
        <v>736</v>
      </c>
      <c r="D83" s="71" t="s">
        <v>737</v>
      </c>
      <c r="E83" s="54" t="s">
        <v>76</v>
      </c>
      <c r="F83" s="54" t="s">
        <v>154</v>
      </c>
      <c r="G83" s="54" t="s">
        <v>738</v>
      </c>
      <c r="H83" s="54"/>
      <c r="I83" s="54" t="s">
        <v>739</v>
      </c>
      <c r="J83" s="54"/>
      <c r="K83" s="54"/>
      <c r="L83" s="54"/>
      <c r="M83" s="54"/>
      <c r="N83" s="54" t="s">
        <v>740</v>
      </c>
      <c r="O83" s="54" t="s">
        <v>740</v>
      </c>
      <c r="P83" s="54"/>
      <c r="Q83" s="54"/>
      <c r="R83" s="54"/>
      <c r="S83" s="54"/>
      <c r="T83" s="53" t="s">
        <v>731</v>
      </c>
      <c r="U83" s="53" t="s">
        <v>732</v>
      </c>
      <c r="V83" s="52" t="s">
        <v>587</v>
      </c>
      <c r="W83" s="52"/>
      <c r="X83" s="52" t="s">
        <v>219</v>
      </c>
      <c r="Y83" s="54" t="str">
        <f>"[" &amp; _xlfn.TEXTJOIN(", ", TRUE,
    IF(G83&lt;&gt;"", """" &amp; G$1 &amp; """", ""),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T83 &amp; """", ""),
    IF(U83&lt;&gt;"", """" &amp; U83 &amp; """", ""),
    IF(V83&lt;&gt;"", """" &amp; V83 &amp; """", ""),
    IF(W83&lt;&gt;"", """" &amp; W83 &amp; """", ""),
    IF(X83&lt;&gt;"", """" &amp; X83 &amp; """", "")
) &amp; "]"</f>
        <v>["ENA", "MIGS-VI", "ENA ERC32", "ENA ERC33", "ENA Experiment", "VJDB Experiment", "Analysis", "Workflows"]</v>
      </c>
      <c r="Z83" s="54"/>
      <c r="AA83" s="52"/>
      <c r="AB83" s="54" t="s">
        <v>337</v>
      </c>
      <c r="AC83" s="54"/>
      <c r="AD83" s="54"/>
      <c r="AE83" s="54"/>
      <c r="AF83" s="54"/>
      <c r="AG83" s="54"/>
      <c r="AH83" s="54"/>
      <c r="AI83" s="54"/>
      <c r="AJ83" s="54"/>
      <c r="AK83" s="54"/>
      <c r="AL83" s="54"/>
      <c r="AM83" s="54" t="s">
        <v>741</v>
      </c>
      <c r="AN83" s="54"/>
      <c r="AO83" s="54"/>
      <c r="AP83" s="54" t="s">
        <v>741</v>
      </c>
      <c r="AQ83" s="54"/>
      <c r="AR83" s="54" t="s">
        <v>145</v>
      </c>
      <c r="AS83" s="54" t="s">
        <v>101</v>
      </c>
      <c r="AT83" s="54" t="s">
        <v>101</v>
      </c>
      <c r="AU83" s="55" t="s">
        <v>742</v>
      </c>
      <c r="AV83" s="54" t="s">
        <v>393</v>
      </c>
      <c r="AW83" s="52" t="s">
        <v>148</v>
      </c>
      <c r="AX83" s="52" t="s">
        <v>149</v>
      </c>
      <c r="AY83" s="54"/>
      <c r="AZ83" s="54"/>
      <c r="BA83" s="54"/>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c r="CJ83" s="50"/>
      <c r="CK83" s="50"/>
      <c r="CL83" s="50"/>
      <c r="CM83" s="50"/>
      <c r="CN83" s="50"/>
      <c r="CO83" s="50"/>
      <c r="CP83" s="50"/>
      <c r="CQ83" s="50"/>
      <c r="CR83" s="50"/>
      <c r="CS83" s="50"/>
      <c r="CT83" s="50"/>
      <c r="CU83" s="50"/>
      <c r="CV83" s="50"/>
      <c r="CW83" s="50"/>
      <c r="CX83" s="50"/>
      <c r="CY83" s="50"/>
      <c r="CZ83" s="50"/>
      <c r="DA83" s="50"/>
      <c r="DB83" s="50"/>
      <c r="DC83" s="50"/>
      <c r="DD83" s="50"/>
      <c r="DE83" s="50"/>
      <c r="DF83" s="50"/>
      <c r="DG83" s="50"/>
      <c r="DH83" s="50"/>
      <c r="DI83" s="50"/>
      <c r="DJ83" s="50"/>
      <c r="DK83" s="50"/>
      <c r="DL83" s="50"/>
      <c r="DM83" s="50"/>
      <c r="DN83" s="50"/>
      <c r="DO83" s="50"/>
      <c r="DP83" s="50"/>
      <c r="DQ83" s="50"/>
      <c r="DR83" s="50"/>
      <c r="DS83" s="50"/>
      <c r="DT83" s="50"/>
      <c r="DU83" s="50"/>
      <c r="DV83" s="50"/>
      <c r="DW83" s="50"/>
      <c r="DX83" s="50"/>
      <c r="DY83" s="50"/>
      <c r="DZ83" s="50"/>
      <c r="EA83" s="50"/>
      <c r="EB83" s="50"/>
      <c r="EC83" s="50"/>
      <c r="ED83" s="50"/>
      <c r="EE83" s="50"/>
      <c r="EF83" s="50"/>
      <c r="EG83" s="50"/>
      <c r="EH83" s="50"/>
      <c r="EI83" s="50"/>
      <c r="EJ83" s="50"/>
      <c r="EK83" s="50"/>
      <c r="EL83" s="50"/>
      <c r="EM83" s="50"/>
      <c r="EN83" s="50"/>
      <c r="EO83" s="50"/>
      <c r="EP83" s="50"/>
      <c r="EQ83" s="50"/>
      <c r="ER83" s="50"/>
      <c r="ES83" s="50"/>
      <c r="ET83" s="50"/>
      <c r="EU83" s="50"/>
      <c r="EV83" s="50"/>
      <c r="EW83" s="50"/>
      <c r="EX83" s="50"/>
      <c r="EY83" s="50"/>
      <c r="EZ83" s="50"/>
      <c r="FA83" s="50"/>
      <c r="FB83" s="50"/>
      <c r="FC83" s="50"/>
      <c r="FD83" s="50"/>
      <c r="FE83" s="50"/>
      <c r="FF83" s="50"/>
      <c r="FG83" s="50"/>
      <c r="FH83" s="50"/>
      <c r="FI83" s="50"/>
      <c r="FJ83" s="50"/>
      <c r="FK83" s="50"/>
      <c r="FL83" s="50"/>
      <c r="FM83" s="50"/>
      <c r="FN83" s="50"/>
      <c r="FO83" s="50"/>
      <c r="FP83" s="50"/>
      <c r="FQ83" s="50"/>
      <c r="FR83" s="50"/>
      <c r="FS83" s="50"/>
      <c r="FT83" s="50"/>
      <c r="FU83" s="50"/>
      <c r="FV83" s="50"/>
      <c r="FW83" s="50"/>
    </row>
    <row r="84" spans="1:179" s="59" customFormat="1" ht="25.5" customHeight="1">
      <c r="A84" s="51" t="s">
        <v>743</v>
      </c>
      <c r="B84" s="51" t="s">
        <v>744</v>
      </c>
      <c r="C84" s="52" t="s">
        <v>745</v>
      </c>
      <c r="D84" s="71" t="s">
        <v>746</v>
      </c>
      <c r="E84" s="54" t="s">
        <v>76</v>
      </c>
      <c r="F84" s="54" t="s">
        <v>154</v>
      </c>
      <c r="G84" s="54" t="s">
        <v>747</v>
      </c>
      <c r="H84" s="54"/>
      <c r="I84" s="54"/>
      <c r="J84" s="54"/>
      <c r="K84" s="54"/>
      <c r="L84" s="54"/>
      <c r="M84" s="54"/>
      <c r="N84" s="54" t="s">
        <v>744</v>
      </c>
      <c r="O84" s="54" t="s">
        <v>744</v>
      </c>
      <c r="P84" s="54"/>
      <c r="Q84" s="54"/>
      <c r="R84" s="54"/>
      <c r="S84" s="54"/>
      <c r="T84" s="53" t="s">
        <v>731</v>
      </c>
      <c r="U84" s="53" t="s">
        <v>732</v>
      </c>
      <c r="V84" s="52" t="s">
        <v>587</v>
      </c>
      <c r="W84" s="52"/>
      <c r="X84" s="52" t="s">
        <v>219</v>
      </c>
      <c r="Y84" s="54" t="str">
        <f>"[" &amp; _xlfn.TEXTJOIN(", ", TRUE,
    IF(G84&lt;&gt;"", """" &amp; G$1 &amp; """", ""),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T84 &amp; """", ""),
    IF(U84&lt;&gt;"", """" &amp; U84 &amp; """", ""),
    IF(V84&lt;&gt;"", """" &amp; V84 &amp; """", ""),
    IF(W84&lt;&gt;"", """" &amp; W84 &amp; """", ""),
    IF(X84&lt;&gt;"", """" &amp; X84 &amp; """", "")
) &amp; "]"</f>
        <v>["ENA", "ENA ERC32", "ENA ERC33", "ENA Experiment", "VJDB Experiment", "Analysis", "Workflows"]</v>
      </c>
      <c r="Z84" s="54"/>
      <c r="AA84" s="52" t="s">
        <v>351</v>
      </c>
      <c r="AB84" s="54" t="s">
        <v>337</v>
      </c>
      <c r="AC84" s="54"/>
      <c r="AD84" s="54"/>
      <c r="AE84" s="54"/>
      <c r="AF84" s="54"/>
      <c r="AG84" s="54"/>
      <c r="AH84" s="54"/>
      <c r="AI84" s="54"/>
      <c r="AJ84" s="54"/>
      <c r="AK84" s="54"/>
      <c r="AL84" s="54"/>
      <c r="AM84" s="54" t="s">
        <v>748</v>
      </c>
      <c r="AN84" s="54"/>
      <c r="AO84" s="54"/>
      <c r="AP84" s="54" t="s">
        <v>748</v>
      </c>
      <c r="AQ84" s="54"/>
      <c r="AR84" s="54" t="s">
        <v>129</v>
      </c>
      <c r="AS84" s="54" t="s">
        <v>236</v>
      </c>
      <c r="AT84" s="54" t="s">
        <v>236</v>
      </c>
      <c r="AU84" s="55"/>
      <c r="AV84" s="54" t="s">
        <v>210</v>
      </c>
      <c r="AW84" s="52" t="s">
        <v>76</v>
      </c>
      <c r="AX84" s="52" t="s">
        <v>132</v>
      </c>
      <c r="AY84" s="54"/>
      <c r="AZ84" s="54"/>
      <c r="BA84" s="54"/>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c r="CJ84" s="50"/>
      <c r="CK84" s="50"/>
      <c r="CL84" s="50"/>
      <c r="CM84" s="50"/>
      <c r="CN84" s="50"/>
      <c r="CO84" s="50"/>
      <c r="CP84" s="50"/>
      <c r="CQ84" s="50"/>
      <c r="CR84" s="50"/>
      <c r="CS84" s="50"/>
      <c r="CT84" s="50"/>
      <c r="CU84" s="50"/>
      <c r="CV84" s="50"/>
      <c r="CW84" s="50"/>
      <c r="CX84" s="50"/>
      <c r="CY84" s="50"/>
      <c r="CZ84" s="50"/>
      <c r="DA84" s="50"/>
      <c r="DB84" s="50"/>
      <c r="DC84" s="50"/>
      <c r="DD84" s="50"/>
      <c r="DE84" s="50"/>
      <c r="DF84" s="50"/>
      <c r="DG84" s="50"/>
      <c r="DH84" s="50"/>
      <c r="DI84" s="50"/>
      <c r="DJ84" s="50"/>
      <c r="DK84" s="50"/>
      <c r="DL84" s="50"/>
      <c r="DM84" s="50"/>
      <c r="DN84" s="50"/>
      <c r="DO84" s="50"/>
      <c r="DP84" s="50"/>
      <c r="DQ84" s="50"/>
      <c r="DR84" s="50"/>
      <c r="DS84" s="50"/>
      <c r="DT84" s="50"/>
      <c r="DU84" s="50"/>
      <c r="DV84" s="50"/>
      <c r="DW84" s="50"/>
      <c r="DX84" s="50"/>
      <c r="DY84" s="50"/>
      <c r="DZ84" s="50"/>
      <c r="EA84" s="50"/>
      <c r="EB84" s="50"/>
      <c r="EC84" s="50"/>
      <c r="ED84" s="50"/>
      <c r="EE84" s="50"/>
      <c r="EF84" s="50"/>
      <c r="EG84" s="50"/>
      <c r="EH84" s="50"/>
      <c r="EI84" s="50"/>
      <c r="EJ84" s="50"/>
      <c r="EK84" s="50"/>
      <c r="EL84" s="50"/>
      <c r="EM84" s="50"/>
      <c r="EN84" s="50"/>
      <c r="EO84" s="50"/>
      <c r="EP84" s="50"/>
      <c r="EQ84" s="50"/>
      <c r="ER84" s="50"/>
      <c r="ES84" s="50"/>
      <c r="ET84" s="50"/>
      <c r="EU84" s="50"/>
      <c r="EV84" s="50"/>
      <c r="EW84" s="50"/>
      <c r="EX84" s="50"/>
      <c r="EY84" s="50"/>
      <c r="EZ84" s="50"/>
      <c r="FA84" s="50"/>
      <c r="FB84" s="50"/>
      <c r="FC84" s="50"/>
      <c r="FD84" s="50"/>
      <c r="FE84" s="50"/>
      <c r="FF84" s="50"/>
      <c r="FG84" s="50"/>
      <c r="FH84" s="50"/>
      <c r="FI84" s="50"/>
      <c r="FJ84" s="50"/>
      <c r="FK84" s="50"/>
      <c r="FL84" s="50"/>
      <c r="FM84" s="50"/>
      <c r="FN84" s="50"/>
      <c r="FO84" s="50"/>
      <c r="FP84" s="50"/>
      <c r="FQ84" s="50"/>
      <c r="FR84" s="50"/>
      <c r="FS84" s="50"/>
      <c r="FT84" s="50"/>
      <c r="FU84" s="50"/>
      <c r="FV84" s="50"/>
      <c r="FW84" s="50"/>
    </row>
    <row r="85" spans="1:179" s="59" customFormat="1" ht="25.5" customHeight="1">
      <c r="A85" s="51" t="s">
        <v>749</v>
      </c>
      <c r="B85" s="51" t="s">
        <v>750</v>
      </c>
      <c r="C85" s="52" t="s">
        <v>751</v>
      </c>
      <c r="D85" s="71" t="s">
        <v>752</v>
      </c>
      <c r="E85" s="54" t="s">
        <v>76</v>
      </c>
      <c r="F85" s="54" t="s">
        <v>154</v>
      </c>
      <c r="G85" s="54" t="s">
        <v>753</v>
      </c>
      <c r="H85" s="54"/>
      <c r="I85" s="54"/>
      <c r="J85" s="54"/>
      <c r="K85" s="54"/>
      <c r="L85" s="54"/>
      <c r="M85" s="54"/>
      <c r="N85" s="54" t="s">
        <v>753</v>
      </c>
      <c r="O85" s="54" t="s">
        <v>753</v>
      </c>
      <c r="P85" s="54"/>
      <c r="Q85" s="54"/>
      <c r="R85" s="54"/>
      <c r="S85" s="54"/>
      <c r="T85" s="53" t="s">
        <v>731</v>
      </c>
      <c r="U85" s="53" t="s">
        <v>732</v>
      </c>
      <c r="V85" s="52" t="s">
        <v>587</v>
      </c>
      <c r="W85" s="52"/>
      <c r="X85" s="52" t="s">
        <v>219</v>
      </c>
      <c r="Y85" s="54" t="str">
        <f>"[" &amp; _xlfn.TEXTJOIN(", ", TRUE,
    IF(G85&lt;&gt;"", """" &amp; G$1 &amp; """", ""),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T85 &amp; """", ""),
    IF(U85&lt;&gt;"", """" &amp; U85 &amp; """", ""),
    IF(V85&lt;&gt;"", """" &amp; V85 &amp; """", ""),
    IF(W85&lt;&gt;"", """" &amp; W85 &amp; """", ""),
    IF(X85&lt;&gt;"", """" &amp; X85 &amp; """", "")
) &amp; "]"</f>
        <v>["ENA", "ENA ERC32", "ENA ERC33", "ENA Experiment", "VJDB Experiment", "Analysis", "Workflows"]</v>
      </c>
      <c r="Z85" s="54"/>
      <c r="AA85" s="52" t="s">
        <v>351</v>
      </c>
      <c r="AB85" s="54" t="s">
        <v>337</v>
      </c>
      <c r="AC85" s="54"/>
      <c r="AD85" s="54"/>
      <c r="AE85" s="54"/>
      <c r="AF85" s="54"/>
      <c r="AG85" s="54"/>
      <c r="AH85" s="54"/>
      <c r="AI85" s="54"/>
      <c r="AJ85" s="54"/>
      <c r="AK85" s="54"/>
      <c r="AL85" s="54"/>
      <c r="AM85" s="54" t="s">
        <v>754</v>
      </c>
      <c r="AN85" s="54"/>
      <c r="AO85" s="54"/>
      <c r="AP85" s="54" t="s">
        <v>755</v>
      </c>
      <c r="AQ85" s="54"/>
      <c r="AR85" s="54" t="s">
        <v>385</v>
      </c>
      <c r="AS85" s="54" t="s">
        <v>236</v>
      </c>
      <c r="AT85" s="54" t="s">
        <v>236</v>
      </c>
      <c r="AU85" s="55"/>
      <c r="AV85" s="54" t="s">
        <v>210</v>
      </c>
      <c r="AW85" s="52" t="s">
        <v>76</v>
      </c>
      <c r="AX85" s="52" t="s">
        <v>132</v>
      </c>
      <c r="AY85" s="54"/>
      <c r="AZ85" s="54"/>
      <c r="BA85" s="54"/>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c r="CJ85" s="50"/>
      <c r="CK85" s="50"/>
      <c r="CL85" s="50"/>
      <c r="CM85" s="50"/>
      <c r="CN85" s="50"/>
      <c r="CO85" s="50"/>
      <c r="CP85" s="50"/>
      <c r="CQ85" s="50"/>
      <c r="CR85" s="50"/>
      <c r="CS85" s="50"/>
      <c r="CT85" s="50"/>
      <c r="CU85" s="50"/>
      <c r="CV85" s="50"/>
      <c r="CW85" s="50"/>
      <c r="CX85" s="50"/>
      <c r="CY85" s="50"/>
      <c r="CZ85" s="50"/>
      <c r="DA85" s="50"/>
      <c r="DB85" s="50"/>
      <c r="DC85" s="50"/>
      <c r="DD85" s="50"/>
      <c r="DE85" s="50"/>
      <c r="DF85" s="50"/>
      <c r="DG85" s="50"/>
      <c r="DH85" s="50"/>
      <c r="DI85" s="50"/>
      <c r="DJ85" s="50"/>
      <c r="DK85" s="50"/>
      <c r="DL85" s="50"/>
      <c r="DM85" s="50"/>
      <c r="DN85" s="50"/>
      <c r="DO85" s="50"/>
      <c r="DP85" s="50"/>
      <c r="DQ85" s="50"/>
      <c r="DR85" s="50"/>
      <c r="DS85" s="50"/>
      <c r="DT85" s="50"/>
      <c r="DU85" s="50"/>
      <c r="DV85" s="50"/>
      <c r="DW85" s="50"/>
      <c r="DX85" s="50"/>
      <c r="DY85" s="50"/>
      <c r="DZ85" s="50"/>
      <c r="EA85" s="50"/>
      <c r="EB85" s="50"/>
      <c r="EC85" s="50"/>
      <c r="ED85" s="50"/>
      <c r="EE85" s="50"/>
      <c r="EF85" s="50"/>
      <c r="EG85" s="50"/>
      <c r="EH85" s="50"/>
      <c r="EI85" s="50"/>
      <c r="EJ85" s="50"/>
      <c r="EK85" s="50"/>
      <c r="EL85" s="50"/>
      <c r="EM85" s="50"/>
      <c r="EN85" s="50"/>
      <c r="EO85" s="50"/>
      <c r="EP85" s="50"/>
      <c r="EQ85" s="50"/>
      <c r="ER85" s="50"/>
      <c r="ES85" s="50"/>
      <c r="ET85" s="50"/>
      <c r="EU85" s="50"/>
      <c r="EV85" s="50"/>
      <c r="EW85" s="50"/>
      <c r="EX85" s="50"/>
      <c r="EY85" s="50"/>
      <c r="EZ85" s="50"/>
      <c r="FA85" s="50"/>
      <c r="FB85" s="50"/>
      <c r="FC85" s="50"/>
      <c r="FD85" s="50"/>
      <c r="FE85" s="50"/>
      <c r="FF85" s="50"/>
      <c r="FG85" s="50"/>
      <c r="FH85" s="50"/>
      <c r="FI85" s="50"/>
      <c r="FJ85" s="50"/>
      <c r="FK85" s="50"/>
      <c r="FL85" s="50"/>
      <c r="FM85" s="50"/>
      <c r="FN85" s="50"/>
      <c r="FO85" s="50"/>
      <c r="FP85" s="50"/>
      <c r="FQ85" s="50"/>
      <c r="FR85" s="50"/>
      <c r="FS85" s="50"/>
      <c r="FT85" s="50"/>
      <c r="FU85" s="50"/>
      <c r="FV85" s="50"/>
      <c r="FW85" s="50"/>
    </row>
    <row r="86" spans="1:179" s="59" customFormat="1" ht="25.5" customHeight="1">
      <c r="A86" s="51" t="s">
        <v>756</v>
      </c>
      <c r="B86" s="51" t="s">
        <v>757</v>
      </c>
      <c r="C86" s="52" t="s">
        <v>758</v>
      </c>
      <c r="D86" s="71" t="s">
        <v>759</v>
      </c>
      <c r="E86" s="54" t="s">
        <v>63</v>
      </c>
      <c r="F86" s="54" t="s">
        <v>154</v>
      </c>
      <c r="G86" s="54" t="s">
        <v>757</v>
      </c>
      <c r="H86" s="54"/>
      <c r="I86" s="54" t="s">
        <v>760</v>
      </c>
      <c r="J86" s="54"/>
      <c r="K86" s="54"/>
      <c r="L86" s="54"/>
      <c r="M86" s="54"/>
      <c r="N86" s="54" t="s">
        <v>757</v>
      </c>
      <c r="O86" s="54" t="s">
        <v>757</v>
      </c>
      <c r="P86" s="54"/>
      <c r="Q86" s="54"/>
      <c r="R86" s="54"/>
      <c r="S86" s="54"/>
      <c r="T86" s="53" t="s">
        <v>731</v>
      </c>
      <c r="U86" s="53" t="s">
        <v>732</v>
      </c>
      <c r="V86" s="52" t="s">
        <v>587</v>
      </c>
      <c r="W86" s="52"/>
      <c r="X86" s="52" t="s">
        <v>219</v>
      </c>
      <c r="Y86" s="54" t="str">
        <f>"[" &amp; _xlfn.TEXTJOIN(", ", TRUE,
    IF(G86&lt;&gt;"", """" &amp; G$1 &amp; """", ""),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T86 &amp; """", ""),
    IF(U86&lt;&gt;"", """" &amp; U86 &amp; """", ""),
    IF(V86&lt;&gt;"", """" &amp; V86 &amp; """", ""),
    IF(W86&lt;&gt;"", """" &amp; W86 &amp; """", ""),
    IF(X86&lt;&gt;"", """" &amp; X86 &amp; """", "")
) &amp; "]"</f>
        <v>["ENA", "MIGS-VI", "ENA ERC32", "ENA ERC33", "ENA Experiment", "VJDB Experiment", "Analysis", "Workflows"]</v>
      </c>
      <c r="Z86" s="54"/>
      <c r="AA86" s="52"/>
      <c r="AB86" s="54" t="s">
        <v>337</v>
      </c>
      <c r="AC86" s="54"/>
      <c r="AD86" s="54"/>
      <c r="AE86" s="54"/>
      <c r="AF86" s="54"/>
      <c r="AG86" s="54"/>
      <c r="AH86" s="54"/>
      <c r="AI86" s="54"/>
      <c r="AJ86" s="54"/>
      <c r="AK86" s="54"/>
      <c r="AL86" s="54"/>
      <c r="AM86" s="54" t="s">
        <v>761</v>
      </c>
      <c r="AN86" s="54"/>
      <c r="AO86" s="54"/>
      <c r="AP86" s="54" t="s">
        <v>761</v>
      </c>
      <c r="AQ86" s="54"/>
      <c r="AR86" s="54" t="s">
        <v>129</v>
      </c>
      <c r="AS86" s="54" t="s">
        <v>101</v>
      </c>
      <c r="AT86" s="54" t="s">
        <v>101</v>
      </c>
      <c r="AU86" s="54" t="s">
        <v>762</v>
      </c>
      <c r="AV86" s="54" t="s">
        <v>393</v>
      </c>
      <c r="AW86" s="52" t="s">
        <v>148</v>
      </c>
      <c r="AX86" s="52" t="s">
        <v>149</v>
      </c>
      <c r="AY86" s="54"/>
      <c r="AZ86" s="54"/>
      <c r="BA86" s="54"/>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c r="CJ86" s="50"/>
      <c r="CK86" s="50"/>
      <c r="CL86" s="50"/>
      <c r="CM86" s="50"/>
      <c r="CN86" s="50"/>
      <c r="CO86" s="50"/>
      <c r="CP86" s="50"/>
      <c r="CQ86" s="50"/>
      <c r="CR86" s="50"/>
      <c r="CS86" s="50"/>
      <c r="CT86" s="50"/>
      <c r="CU86" s="50"/>
      <c r="CV86" s="50"/>
      <c r="CW86" s="50"/>
      <c r="CX86" s="50"/>
      <c r="CY86" s="50"/>
      <c r="CZ86" s="50"/>
      <c r="DA86" s="50"/>
      <c r="DB86" s="50"/>
      <c r="DC86" s="50"/>
      <c r="DD86" s="50"/>
      <c r="DE86" s="50"/>
      <c r="DF86" s="50"/>
      <c r="DG86" s="50"/>
      <c r="DH86" s="50"/>
      <c r="DI86" s="50"/>
      <c r="DJ86" s="50"/>
      <c r="DK86" s="50"/>
      <c r="DL86" s="50"/>
      <c r="DM86" s="50"/>
      <c r="DN86" s="50"/>
      <c r="DO86" s="50"/>
      <c r="DP86" s="50"/>
      <c r="DQ86" s="50"/>
      <c r="DR86" s="50"/>
      <c r="DS86" s="50"/>
      <c r="DT86" s="50"/>
      <c r="DU86" s="50"/>
      <c r="DV86" s="50"/>
      <c r="DW86" s="50"/>
      <c r="DX86" s="50"/>
      <c r="DY86" s="50"/>
      <c r="DZ86" s="50"/>
      <c r="EA86" s="50"/>
      <c r="EB86" s="50"/>
      <c r="EC86" s="50"/>
      <c r="ED86" s="50"/>
      <c r="EE86" s="50"/>
      <c r="EF86" s="50"/>
      <c r="EG86" s="50"/>
      <c r="EH86" s="50"/>
      <c r="EI86" s="50"/>
      <c r="EJ86" s="50"/>
      <c r="EK86" s="50"/>
      <c r="EL86" s="50"/>
      <c r="EM86" s="50"/>
      <c r="EN86" s="50"/>
      <c r="EO86" s="50"/>
      <c r="EP86" s="50"/>
      <c r="EQ86" s="50"/>
      <c r="ER86" s="50"/>
      <c r="ES86" s="50"/>
      <c r="ET86" s="50"/>
      <c r="EU86" s="50"/>
      <c r="EV86" s="50"/>
      <c r="EW86" s="50"/>
      <c r="EX86" s="50"/>
      <c r="EY86" s="50"/>
      <c r="EZ86" s="50"/>
      <c r="FA86" s="50"/>
      <c r="FB86" s="50"/>
      <c r="FC86" s="50"/>
      <c r="FD86" s="50"/>
      <c r="FE86" s="50"/>
      <c r="FF86" s="50"/>
      <c r="FG86" s="50"/>
      <c r="FH86" s="50"/>
      <c r="FI86" s="50"/>
      <c r="FJ86" s="50"/>
      <c r="FK86" s="50"/>
      <c r="FL86" s="50"/>
      <c r="FM86" s="50"/>
      <c r="FN86" s="50"/>
      <c r="FO86" s="50"/>
      <c r="FP86" s="50"/>
      <c r="FQ86" s="50"/>
      <c r="FR86" s="50"/>
      <c r="FS86" s="50"/>
      <c r="FT86" s="50"/>
      <c r="FU86" s="50"/>
      <c r="FV86" s="50"/>
      <c r="FW86" s="50"/>
    </row>
    <row r="87" spans="1:179" s="59" customFormat="1" ht="25.5" customHeight="1">
      <c r="A87" s="51" t="s">
        <v>763</v>
      </c>
      <c r="B87" s="51" t="s">
        <v>764</v>
      </c>
      <c r="C87" s="52" t="s">
        <v>765</v>
      </c>
      <c r="D87" s="71" t="s">
        <v>766</v>
      </c>
      <c r="E87" s="54" t="s">
        <v>76</v>
      </c>
      <c r="F87" s="54" t="s">
        <v>154</v>
      </c>
      <c r="G87" s="54" t="s">
        <v>767</v>
      </c>
      <c r="H87" s="54"/>
      <c r="I87" s="54"/>
      <c r="J87" s="54"/>
      <c r="K87" s="54"/>
      <c r="L87" s="54"/>
      <c r="M87" s="54"/>
      <c r="N87" s="54" t="s">
        <v>764</v>
      </c>
      <c r="O87" s="54" t="s">
        <v>764</v>
      </c>
      <c r="P87" s="54"/>
      <c r="Q87" s="54"/>
      <c r="R87" s="54"/>
      <c r="S87" s="54"/>
      <c r="T87" s="53" t="s">
        <v>731</v>
      </c>
      <c r="U87" s="53" t="s">
        <v>732</v>
      </c>
      <c r="V87" s="52" t="s">
        <v>587</v>
      </c>
      <c r="W87" s="52"/>
      <c r="X87" s="52" t="s">
        <v>219</v>
      </c>
      <c r="Y87" s="54" t="str">
        <f>"[" &amp; _xlfn.TEXTJOIN(", ", TRUE,
    IF(G87&lt;&gt;"", """" &amp; G$1 &amp; """", ""),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T87 &amp; """", ""),
    IF(U87&lt;&gt;"", """" &amp; U87 &amp; """", ""),
    IF(V87&lt;&gt;"", """" &amp; V87 &amp; """", ""),
    IF(W87&lt;&gt;"", """" &amp; W87 &amp; """", ""),
    IF(X87&lt;&gt;"", """" &amp; X87 &amp; """", "")
) &amp; "]"</f>
        <v>["ENA", "ENA ERC32", "ENA ERC33", "ENA Experiment", "VJDB Experiment", "Analysis", "Workflows"]</v>
      </c>
      <c r="Z87" s="54"/>
      <c r="AA87" s="52"/>
      <c r="AB87" s="54" t="s">
        <v>337</v>
      </c>
      <c r="AC87" s="54"/>
      <c r="AD87" s="54"/>
      <c r="AE87" s="54"/>
      <c r="AF87" s="54"/>
      <c r="AG87" s="54"/>
      <c r="AH87" s="54"/>
      <c r="AI87" s="54"/>
      <c r="AJ87" s="54"/>
      <c r="AK87" s="54"/>
      <c r="AL87" s="54"/>
      <c r="AM87" s="54" t="s">
        <v>768</v>
      </c>
      <c r="AN87" s="54"/>
      <c r="AO87" s="54"/>
      <c r="AP87" s="54" t="s">
        <v>768</v>
      </c>
      <c r="AQ87" s="54"/>
      <c r="AR87" s="54" t="s">
        <v>129</v>
      </c>
      <c r="AS87" s="54" t="s">
        <v>101</v>
      </c>
      <c r="AT87" s="54" t="s">
        <v>101</v>
      </c>
      <c r="AU87" s="54">
        <v>1111898265709</v>
      </c>
      <c r="AV87" s="54" t="s">
        <v>210</v>
      </c>
      <c r="AW87" s="52" t="s">
        <v>211</v>
      </c>
      <c r="AX87" s="52" t="s">
        <v>132</v>
      </c>
      <c r="AY87" s="54"/>
      <c r="AZ87" s="54"/>
      <c r="BA87" s="54"/>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c r="CJ87" s="50"/>
      <c r="CK87" s="50"/>
      <c r="CL87" s="50"/>
      <c r="CM87" s="50"/>
      <c r="CN87" s="50"/>
      <c r="CO87" s="50"/>
      <c r="CP87" s="50"/>
      <c r="CQ87" s="50"/>
      <c r="CR87" s="50"/>
      <c r="CS87" s="50"/>
      <c r="CT87" s="50"/>
      <c r="CU87" s="50"/>
      <c r="CV87" s="50"/>
      <c r="CW87" s="50"/>
      <c r="CX87" s="50"/>
      <c r="CY87" s="50"/>
      <c r="CZ87" s="50"/>
      <c r="DA87" s="50"/>
      <c r="DB87" s="50"/>
      <c r="DC87" s="50"/>
      <c r="DD87" s="50"/>
      <c r="DE87" s="50"/>
      <c r="DF87" s="50"/>
      <c r="DG87" s="50"/>
      <c r="DH87" s="50"/>
      <c r="DI87" s="50"/>
      <c r="DJ87" s="50"/>
      <c r="DK87" s="50"/>
      <c r="DL87" s="50"/>
      <c r="DM87" s="50"/>
      <c r="DN87" s="50"/>
      <c r="DO87" s="50"/>
      <c r="DP87" s="50"/>
      <c r="DQ87" s="50"/>
      <c r="DR87" s="50"/>
      <c r="DS87" s="50"/>
      <c r="DT87" s="50"/>
      <c r="DU87" s="50"/>
      <c r="DV87" s="50"/>
      <c r="DW87" s="50"/>
      <c r="DX87" s="50"/>
      <c r="DY87" s="50"/>
      <c r="DZ87" s="50"/>
      <c r="EA87" s="50"/>
      <c r="EB87" s="50"/>
      <c r="EC87" s="50"/>
      <c r="ED87" s="50"/>
      <c r="EE87" s="50"/>
      <c r="EF87" s="50"/>
      <c r="EG87" s="50"/>
      <c r="EH87" s="50"/>
      <c r="EI87" s="50"/>
      <c r="EJ87" s="50"/>
      <c r="EK87" s="50"/>
      <c r="EL87" s="50"/>
      <c r="EM87" s="50"/>
      <c r="EN87" s="50"/>
      <c r="EO87" s="50"/>
      <c r="EP87" s="50"/>
      <c r="EQ87" s="50"/>
      <c r="ER87" s="50"/>
      <c r="ES87" s="50"/>
      <c r="ET87" s="50"/>
      <c r="EU87" s="50"/>
      <c r="EV87" s="50"/>
      <c r="EW87" s="50"/>
      <c r="EX87" s="50"/>
      <c r="EY87" s="50"/>
      <c r="EZ87" s="50"/>
      <c r="FA87" s="50"/>
      <c r="FB87" s="50"/>
      <c r="FC87" s="50"/>
      <c r="FD87" s="50"/>
      <c r="FE87" s="50"/>
      <c r="FF87" s="50"/>
      <c r="FG87" s="50"/>
      <c r="FH87" s="50"/>
      <c r="FI87" s="50"/>
      <c r="FJ87" s="50"/>
      <c r="FK87" s="50"/>
      <c r="FL87" s="50"/>
      <c r="FM87" s="50"/>
      <c r="FN87" s="50"/>
      <c r="FO87" s="50"/>
      <c r="FP87" s="50"/>
      <c r="FQ87" s="50"/>
      <c r="FR87" s="50"/>
      <c r="FS87" s="50"/>
      <c r="FT87" s="50"/>
      <c r="FU87" s="50"/>
      <c r="FV87" s="50"/>
      <c r="FW87" s="50"/>
    </row>
    <row r="88" spans="1:179" s="59" customFormat="1" ht="25.5" customHeight="1">
      <c r="A88" s="51" t="s">
        <v>769</v>
      </c>
      <c r="B88" s="51" t="s">
        <v>770</v>
      </c>
      <c r="C88" s="52" t="s">
        <v>771</v>
      </c>
      <c r="D88" s="71" t="s">
        <v>772</v>
      </c>
      <c r="E88" s="54" t="s">
        <v>63</v>
      </c>
      <c r="F88" s="54" t="s">
        <v>154</v>
      </c>
      <c r="G88" s="54" t="s">
        <v>773</v>
      </c>
      <c r="H88" s="54"/>
      <c r="I88" s="54" t="s">
        <v>774</v>
      </c>
      <c r="J88" s="54"/>
      <c r="K88" s="54"/>
      <c r="L88" s="54"/>
      <c r="M88" s="54"/>
      <c r="N88" s="54" t="s">
        <v>770</v>
      </c>
      <c r="O88" s="54" t="s">
        <v>770</v>
      </c>
      <c r="P88" s="54"/>
      <c r="Q88" s="54"/>
      <c r="R88" s="54"/>
      <c r="S88" s="54"/>
      <c r="T88" s="53" t="s">
        <v>731</v>
      </c>
      <c r="U88" s="53" t="s">
        <v>732</v>
      </c>
      <c r="V88" s="52" t="s">
        <v>587</v>
      </c>
      <c r="W88" s="52"/>
      <c r="X88" s="52" t="s">
        <v>219</v>
      </c>
      <c r="Y88" s="54" t="str">
        <f>"[" &amp; _xlfn.TEXTJOIN(", ", TRUE,
    IF(G88&lt;&gt;"", """" &amp; G$1 &amp; """", ""),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T88 &amp; """", ""),
    IF(U88&lt;&gt;"", """" &amp; U88 &amp; """", ""),
    IF(V88&lt;&gt;"", """" &amp; V88 &amp; """", ""),
    IF(W88&lt;&gt;"", """" &amp; W88 &amp; """", ""),
    IF(X88&lt;&gt;"", """" &amp; X88 &amp; """", "")
) &amp; "]"</f>
        <v>["ENA", "MIGS-VI", "ENA ERC32", "ENA ERC33", "ENA Experiment", "VJDB Experiment", "Analysis", "Workflows"]</v>
      </c>
      <c r="Z88" s="54"/>
      <c r="AA88" s="52"/>
      <c r="AB88" s="54" t="s">
        <v>337</v>
      </c>
      <c r="AC88" s="54"/>
      <c r="AD88" s="54"/>
      <c r="AE88" s="54"/>
      <c r="AF88" s="54"/>
      <c r="AG88" s="54"/>
      <c r="AH88" s="54"/>
      <c r="AI88" s="54"/>
      <c r="AJ88" s="54"/>
      <c r="AK88" s="54"/>
      <c r="AL88" s="54"/>
      <c r="AM88" s="54" t="s">
        <v>775</v>
      </c>
      <c r="AN88" s="54"/>
      <c r="AO88" s="54"/>
      <c r="AP88" s="54" t="s">
        <v>775</v>
      </c>
      <c r="AQ88" s="54"/>
      <c r="AR88" s="54" t="s">
        <v>145</v>
      </c>
      <c r="AS88" s="54" t="s">
        <v>101</v>
      </c>
      <c r="AT88" s="54" t="s">
        <v>101</v>
      </c>
      <c r="AU88" s="54" t="s">
        <v>776</v>
      </c>
      <c r="AV88" s="54" t="s">
        <v>393</v>
      </c>
      <c r="AW88" s="52" t="s">
        <v>148</v>
      </c>
      <c r="AX88" s="52" t="s">
        <v>149</v>
      </c>
      <c r="AY88" s="54"/>
      <c r="AZ88" s="54"/>
      <c r="BA88" s="54"/>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c r="CJ88" s="50"/>
      <c r="CK88" s="50"/>
      <c r="CL88" s="50"/>
      <c r="CM88" s="50"/>
      <c r="CN88" s="50"/>
      <c r="CO88" s="50"/>
      <c r="CP88" s="50"/>
      <c r="CQ88" s="50"/>
      <c r="CR88" s="50"/>
      <c r="CS88" s="50"/>
      <c r="CT88" s="50"/>
      <c r="CU88" s="50"/>
      <c r="CV88" s="50"/>
      <c r="CW88" s="50"/>
      <c r="CX88" s="50"/>
      <c r="CY88" s="50"/>
      <c r="CZ88" s="50"/>
      <c r="DA88" s="50"/>
      <c r="DB88" s="50"/>
      <c r="DC88" s="50"/>
      <c r="DD88" s="50"/>
      <c r="DE88" s="50"/>
      <c r="DF88" s="50"/>
      <c r="DG88" s="50"/>
      <c r="DH88" s="50"/>
      <c r="DI88" s="50"/>
      <c r="DJ88" s="50"/>
      <c r="DK88" s="50"/>
      <c r="DL88" s="50"/>
      <c r="DM88" s="50"/>
      <c r="DN88" s="50"/>
      <c r="DO88" s="50"/>
      <c r="DP88" s="50"/>
      <c r="DQ88" s="50"/>
      <c r="DR88" s="50"/>
      <c r="DS88" s="50"/>
      <c r="DT88" s="50"/>
      <c r="DU88" s="50"/>
      <c r="DV88" s="50"/>
      <c r="DW88" s="50"/>
      <c r="DX88" s="50"/>
      <c r="DY88" s="50"/>
      <c r="DZ88" s="50"/>
      <c r="EA88" s="50"/>
      <c r="EB88" s="50"/>
      <c r="EC88" s="50"/>
      <c r="ED88" s="50"/>
      <c r="EE88" s="50"/>
      <c r="EF88" s="50"/>
      <c r="EG88" s="50"/>
      <c r="EH88" s="50"/>
      <c r="EI88" s="50"/>
      <c r="EJ88" s="50"/>
      <c r="EK88" s="50"/>
      <c r="EL88" s="50"/>
      <c r="EM88" s="50"/>
      <c r="EN88" s="50"/>
      <c r="EO88" s="50"/>
      <c r="EP88" s="50"/>
      <c r="EQ88" s="50"/>
      <c r="ER88" s="50"/>
      <c r="ES88" s="50"/>
      <c r="ET88" s="50"/>
      <c r="EU88" s="50"/>
      <c r="EV88" s="50"/>
      <c r="EW88" s="50"/>
      <c r="EX88" s="50"/>
      <c r="EY88" s="50"/>
      <c r="EZ88" s="50"/>
      <c r="FA88" s="50"/>
      <c r="FB88" s="50"/>
      <c r="FC88" s="50"/>
      <c r="FD88" s="50"/>
      <c r="FE88" s="50"/>
      <c r="FF88" s="50"/>
      <c r="FG88" s="50"/>
      <c r="FH88" s="50"/>
      <c r="FI88" s="50"/>
      <c r="FJ88" s="50"/>
      <c r="FK88" s="50"/>
      <c r="FL88" s="50"/>
      <c r="FM88" s="50"/>
      <c r="FN88" s="50"/>
      <c r="FO88" s="50"/>
      <c r="FP88" s="50"/>
      <c r="FQ88" s="50"/>
      <c r="FR88" s="50"/>
      <c r="FS88" s="50"/>
      <c r="FT88" s="50"/>
      <c r="FU88" s="50"/>
      <c r="FV88" s="50"/>
      <c r="FW88" s="50"/>
    </row>
    <row r="89" spans="1:179" s="59" customFormat="1" ht="25.5" customHeight="1">
      <c r="A89" s="51" t="s">
        <v>777</v>
      </c>
      <c r="B89" s="51" t="s">
        <v>778</v>
      </c>
      <c r="C89" s="52" t="s">
        <v>779</v>
      </c>
      <c r="D89" s="71" t="s">
        <v>780</v>
      </c>
      <c r="E89" s="54" t="s">
        <v>63</v>
      </c>
      <c r="F89" s="54" t="s">
        <v>154</v>
      </c>
      <c r="G89" s="54" t="s">
        <v>781</v>
      </c>
      <c r="H89" s="54"/>
      <c r="I89" s="54"/>
      <c r="J89" s="54"/>
      <c r="K89" s="54"/>
      <c r="L89" s="54"/>
      <c r="M89" s="54"/>
      <c r="N89" s="54" t="s">
        <v>778</v>
      </c>
      <c r="O89" s="54" t="s">
        <v>778</v>
      </c>
      <c r="P89" s="54"/>
      <c r="Q89" s="54"/>
      <c r="R89" s="54"/>
      <c r="S89" s="54"/>
      <c r="T89" s="53" t="s">
        <v>731</v>
      </c>
      <c r="U89" s="53" t="s">
        <v>732</v>
      </c>
      <c r="V89" s="52" t="s">
        <v>587</v>
      </c>
      <c r="W89" s="52"/>
      <c r="X89" s="52" t="s">
        <v>219</v>
      </c>
      <c r="Y89" s="54" t="str">
        <f>"[" &amp; _xlfn.TEXTJOIN(", ", TRUE,
    IF(G89&lt;&gt;"", """" &amp; G$1 &amp; """", ""),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T89 &amp; """", ""),
    IF(U89&lt;&gt;"", """" &amp; U89 &amp; """", ""),
    IF(V89&lt;&gt;"", """" &amp; V89 &amp; """", ""),
    IF(W89&lt;&gt;"", """" &amp; W89 &amp; """", ""),
    IF(X89&lt;&gt;"", """" &amp; X89 &amp; """", "")
) &amp; "]"</f>
        <v>["ENA", "ENA ERC32", "ENA ERC33", "ENA Experiment", "VJDB Experiment", "Analysis", "Workflows"]</v>
      </c>
      <c r="Z89" s="54"/>
      <c r="AA89" s="52"/>
      <c r="AB89" s="54" t="s">
        <v>337</v>
      </c>
      <c r="AC89" s="54"/>
      <c r="AD89" s="54"/>
      <c r="AE89" s="54"/>
      <c r="AF89" s="54"/>
      <c r="AG89" s="54"/>
      <c r="AH89" s="54"/>
      <c r="AI89" s="54"/>
      <c r="AJ89" s="54"/>
      <c r="AK89" s="54"/>
      <c r="AL89" s="54"/>
      <c r="AM89" s="54" t="s">
        <v>782</v>
      </c>
      <c r="AN89" s="54"/>
      <c r="AO89" s="54"/>
      <c r="AP89" s="54" t="s">
        <v>782</v>
      </c>
      <c r="AQ89" s="54"/>
      <c r="AR89" s="54" t="s">
        <v>145</v>
      </c>
      <c r="AS89" s="54" t="s">
        <v>101</v>
      </c>
      <c r="AT89" s="54" t="s">
        <v>101</v>
      </c>
      <c r="AU89" s="54" t="s">
        <v>783</v>
      </c>
      <c r="AV89" s="54" t="s">
        <v>393</v>
      </c>
      <c r="AW89" s="52" t="s">
        <v>148</v>
      </c>
      <c r="AX89" s="52" t="s">
        <v>149</v>
      </c>
      <c r="AY89" s="54"/>
      <c r="AZ89" s="54"/>
      <c r="BA89" s="54"/>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c r="CJ89" s="50"/>
      <c r="CK89" s="50"/>
      <c r="CL89" s="50"/>
      <c r="CM89" s="50"/>
      <c r="CN89" s="50"/>
      <c r="CO89" s="50"/>
      <c r="CP89" s="50"/>
      <c r="CQ89" s="50"/>
      <c r="CR89" s="50"/>
      <c r="CS89" s="50"/>
      <c r="CT89" s="50"/>
      <c r="CU89" s="50"/>
      <c r="CV89" s="50"/>
      <c r="CW89" s="50"/>
      <c r="CX89" s="50"/>
      <c r="CY89" s="50"/>
      <c r="CZ89" s="50"/>
      <c r="DA89" s="50"/>
      <c r="DB89" s="50"/>
      <c r="DC89" s="50"/>
      <c r="DD89" s="50"/>
      <c r="DE89" s="50"/>
      <c r="DF89" s="50"/>
      <c r="DG89" s="50"/>
      <c r="DH89" s="50"/>
      <c r="DI89" s="50"/>
      <c r="DJ89" s="50"/>
      <c r="DK89" s="50"/>
      <c r="DL89" s="50"/>
      <c r="DM89" s="50"/>
      <c r="DN89" s="50"/>
      <c r="DO89" s="50"/>
      <c r="DP89" s="50"/>
      <c r="DQ89" s="50"/>
      <c r="DR89" s="50"/>
      <c r="DS89" s="50"/>
      <c r="DT89" s="50"/>
      <c r="DU89" s="50"/>
      <c r="DV89" s="50"/>
      <c r="DW89" s="50"/>
      <c r="DX89" s="50"/>
      <c r="DY89" s="50"/>
      <c r="DZ89" s="50"/>
      <c r="EA89" s="50"/>
      <c r="EB89" s="50"/>
      <c r="EC89" s="50"/>
      <c r="ED89" s="50"/>
      <c r="EE89" s="50"/>
      <c r="EF89" s="50"/>
      <c r="EG89" s="50"/>
      <c r="EH89" s="50"/>
      <c r="EI89" s="50"/>
      <c r="EJ89" s="50"/>
      <c r="EK89" s="50"/>
      <c r="EL89" s="50"/>
      <c r="EM89" s="50"/>
      <c r="EN89" s="50"/>
      <c r="EO89" s="50"/>
      <c r="EP89" s="50"/>
      <c r="EQ89" s="50"/>
      <c r="ER89" s="50"/>
      <c r="ES89" s="50"/>
      <c r="ET89" s="50"/>
      <c r="EU89" s="50"/>
      <c r="EV89" s="50"/>
      <c r="EW89" s="50"/>
      <c r="EX89" s="50"/>
      <c r="EY89" s="50"/>
      <c r="EZ89" s="50"/>
      <c r="FA89" s="50"/>
      <c r="FB89" s="50"/>
      <c r="FC89" s="50"/>
      <c r="FD89" s="50"/>
      <c r="FE89" s="50"/>
      <c r="FF89" s="50"/>
      <c r="FG89" s="50"/>
      <c r="FH89" s="50"/>
      <c r="FI89" s="50"/>
      <c r="FJ89" s="50"/>
      <c r="FK89" s="50"/>
      <c r="FL89" s="50"/>
      <c r="FM89" s="50"/>
      <c r="FN89" s="50"/>
      <c r="FO89" s="50"/>
      <c r="FP89" s="50"/>
      <c r="FQ89" s="50"/>
      <c r="FR89" s="50"/>
      <c r="FS89" s="50"/>
      <c r="FT89" s="50"/>
      <c r="FU89" s="50"/>
      <c r="FV89" s="50"/>
      <c r="FW89" s="50"/>
    </row>
    <row r="90" spans="1:179" s="59" customFormat="1" ht="25.5" customHeight="1">
      <c r="A90" s="51" t="s">
        <v>784</v>
      </c>
      <c r="B90" s="51" t="s">
        <v>785</v>
      </c>
      <c r="C90" s="52" t="s">
        <v>786</v>
      </c>
      <c r="D90" s="71" t="s">
        <v>787</v>
      </c>
      <c r="E90" s="54" t="s">
        <v>63</v>
      </c>
      <c r="F90" s="54" t="s">
        <v>154</v>
      </c>
      <c r="G90" s="54" t="s">
        <v>788</v>
      </c>
      <c r="H90" s="54"/>
      <c r="I90" s="54"/>
      <c r="J90" s="54"/>
      <c r="K90" s="54"/>
      <c r="L90" s="54"/>
      <c r="M90" s="54"/>
      <c r="N90" s="54" t="s">
        <v>785</v>
      </c>
      <c r="O90" s="54" t="s">
        <v>785</v>
      </c>
      <c r="P90" s="54"/>
      <c r="Q90" s="54"/>
      <c r="R90" s="54"/>
      <c r="S90" s="54"/>
      <c r="T90" s="53" t="s">
        <v>731</v>
      </c>
      <c r="U90" s="53" t="s">
        <v>732</v>
      </c>
      <c r="V90" s="52" t="s">
        <v>587</v>
      </c>
      <c r="W90" s="52"/>
      <c r="X90" s="52" t="s">
        <v>219</v>
      </c>
      <c r="Y90" s="54" t="str">
        <f>"[" &amp; _xlfn.TEXTJOIN(", ", TRUE,
    IF(G90&lt;&gt;"", """" &amp; G$1 &amp; """", ""),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T90 &amp; """", ""),
    IF(U90&lt;&gt;"", """" &amp; U90 &amp; """", ""),
    IF(V90&lt;&gt;"", """" &amp; V90 &amp; """", ""),
    IF(W90&lt;&gt;"", """" &amp; W90 &amp; """", ""),
    IF(X90&lt;&gt;"", """" &amp; X90 &amp; """", "")
) &amp; "]"</f>
        <v>["ENA", "ENA ERC32", "ENA ERC33", "ENA Experiment", "VJDB Experiment", "Analysis", "Workflows"]</v>
      </c>
      <c r="Z90" s="54"/>
      <c r="AA90" s="52"/>
      <c r="AB90" s="54" t="s">
        <v>337</v>
      </c>
      <c r="AC90" s="54"/>
      <c r="AD90" s="54"/>
      <c r="AE90" s="54"/>
      <c r="AF90" s="54"/>
      <c r="AG90" s="54"/>
      <c r="AH90" s="54"/>
      <c r="AI90" s="54"/>
      <c r="AJ90" s="54"/>
      <c r="AK90" s="54"/>
      <c r="AL90" s="54"/>
      <c r="AM90" s="54" t="s">
        <v>789</v>
      </c>
      <c r="AN90" s="54"/>
      <c r="AO90" s="54"/>
      <c r="AP90" s="54" t="s">
        <v>789</v>
      </c>
      <c r="AQ90" s="54"/>
      <c r="AR90" s="54" t="s">
        <v>145</v>
      </c>
      <c r="AS90" s="54" t="s">
        <v>101</v>
      </c>
      <c r="AT90" s="54" t="s">
        <v>101</v>
      </c>
      <c r="AU90" s="54" t="s">
        <v>790</v>
      </c>
      <c r="AV90" s="54" t="s">
        <v>393</v>
      </c>
      <c r="AW90" s="52" t="s">
        <v>148</v>
      </c>
      <c r="AX90" s="52" t="s">
        <v>149</v>
      </c>
      <c r="AY90" s="54"/>
      <c r="AZ90" s="54"/>
      <c r="BA90" s="54"/>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c r="CJ90" s="50"/>
      <c r="CK90" s="50"/>
      <c r="CL90" s="50"/>
      <c r="CM90" s="50"/>
      <c r="CN90" s="50"/>
      <c r="CO90" s="50"/>
      <c r="CP90" s="50"/>
      <c r="CQ90" s="50"/>
      <c r="CR90" s="50"/>
      <c r="CS90" s="50"/>
      <c r="CT90" s="50"/>
      <c r="CU90" s="50"/>
      <c r="CV90" s="50"/>
      <c r="CW90" s="50"/>
      <c r="CX90" s="50"/>
      <c r="CY90" s="50"/>
      <c r="CZ90" s="50"/>
      <c r="DA90" s="50"/>
      <c r="DB90" s="50"/>
      <c r="DC90" s="50"/>
      <c r="DD90" s="50"/>
      <c r="DE90" s="50"/>
      <c r="DF90" s="50"/>
      <c r="DG90" s="50"/>
      <c r="DH90" s="50"/>
      <c r="DI90" s="50"/>
      <c r="DJ90" s="50"/>
      <c r="DK90" s="50"/>
      <c r="DL90" s="50"/>
      <c r="DM90" s="50"/>
      <c r="DN90" s="50"/>
      <c r="DO90" s="50"/>
      <c r="DP90" s="50"/>
      <c r="DQ90" s="50"/>
      <c r="DR90" s="50"/>
      <c r="DS90" s="50"/>
      <c r="DT90" s="50"/>
      <c r="DU90" s="50"/>
      <c r="DV90" s="50"/>
      <c r="DW90" s="50"/>
      <c r="DX90" s="50"/>
      <c r="DY90" s="50"/>
      <c r="DZ90" s="50"/>
      <c r="EA90" s="50"/>
      <c r="EB90" s="50"/>
      <c r="EC90" s="50"/>
      <c r="ED90" s="50"/>
      <c r="EE90" s="50"/>
      <c r="EF90" s="50"/>
      <c r="EG90" s="50"/>
      <c r="EH90" s="50"/>
      <c r="EI90" s="50"/>
      <c r="EJ90" s="50"/>
      <c r="EK90" s="50"/>
      <c r="EL90" s="50"/>
      <c r="EM90" s="50"/>
      <c r="EN90" s="50"/>
      <c r="EO90" s="50"/>
      <c r="EP90" s="50"/>
      <c r="EQ90" s="50"/>
      <c r="ER90" s="50"/>
      <c r="ES90" s="50"/>
      <c r="ET90" s="50"/>
      <c r="EU90" s="50"/>
      <c r="EV90" s="50"/>
      <c r="EW90" s="50"/>
      <c r="EX90" s="50"/>
      <c r="EY90" s="50"/>
      <c r="EZ90" s="50"/>
      <c r="FA90" s="50"/>
      <c r="FB90" s="50"/>
      <c r="FC90" s="50"/>
      <c r="FD90" s="50"/>
      <c r="FE90" s="50"/>
      <c r="FF90" s="50"/>
      <c r="FG90" s="50"/>
      <c r="FH90" s="50"/>
      <c r="FI90" s="50"/>
      <c r="FJ90" s="50"/>
      <c r="FK90" s="50"/>
      <c r="FL90" s="50"/>
      <c r="FM90" s="50"/>
      <c r="FN90" s="50"/>
      <c r="FO90" s="50"/>
      <c r="FP90" s="50"/>
      <c r="FQ90" s="50"/>
      <c r="FR90" s="50"/>
      <c r="FS90" s="50"/>
      <c r="FT90" s="50"/>
      <c r="FU90" s="50"/>
      <c r="FV90" s="50"/>
      <c r="FW90" s="50"/>
    </row>
    <row r="91" spans="1:179" s="59" customFormat="1" ht="25.5" customHeight="1">
      <c r="A91" s="51" t="s">
        <v>791</v>
      </c>
      <c r="B91" s="51" t="s">
        <v>792</v>
      </c>
      <c r="C91" s="52" t="s">
        <v>793</v>
      </c>
      <c r="D91" s="71" t="s">
        <v>794</v>
      </c>
      <c r="E91" s="54" t="s">
        <v>76</v>
      </c>
      <c r="F91" s="54" t="s">
        <v>64</v>
      </c>
      <c r="G91" s="54" t="s">
        <v>795</v>
      </c>
      <c r="H91" s="54" t="s">
        <v>796</v>
      </c>
      <c r="I91" s="54"/>
      <c r="J91" s="54"/>
      <c r="K91" s="54"/>
      <c r="L91" s="54"/>
      <c r="M91" s="54" t="s">
        <v>793</v>
      </c>
      <c r="N91" s="54" t="s">
        <v>797</v>
      </c>
      <c r="O91" s="54" t="s">
        <v>797</v>
      </c>
      <c r="P91" s="54"/>
      <c r="Q91" s="54"/>
      <c r="R91" s="54"/>
      <c r="S91" s="54"/>
      <c r="T91" s="53" t="s">
        <v>731</v>
      </c>
      <c r="U91" s="53" t="s">
        <v>732</v>
      </c>
      <c r="V91" s="52" t="s">
        <v>587</v>
      </c>
      <c r="W91" s="52" t="s">
        <v>156</v>
      </c>
      <c r="X91" s="52" t="s">
        <v>219</v>
      </c>
      <c r="Y91" s="54" t="str">
        <f>"[" &amp; _xlfn.TEXTJOIN(", ", TRUE,
    IF(G91&lt;&gt;"", """" &amp; G$1 &amp; """", ""),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T91 &amp; """", ""),
    IF(U91&lt;&gt;"", """" &amp; U91 &amp; """", ""),
    IF(V91&lt;&gt;"", """" &amp; V91 &amp; """", ""),
    IF(W91&lt;&gt;"", """" &amp; W91 &amp; """", ""),
    IF(X91&lt;&gt;"", """" &amp; X91 &amp; """", "")
) &amp; "]"</f>
        <v>["ENA", "RKI", "BV-BRC", "ENA ERC32", "ENA ERC33", "ENA Experiment", "VJDB Experiment", "Analysis", "Sequence", "Workflows"]</v>
      </c>
      <c r="Z91" s="54" t="s">
        <v>359</v>
      </c>
      <c r="AA91" s="52"/>
      <c r="AB91" s="54"/>
      <c r="AC91" s="54"/>
      <c r="AD91" s="54"/>
      <c r="AE91" s="54"/>
      <c r="AF91" s="54"/>
      <c r="AG91" s="54" t="s">
        <v>360</v>
      </c>
      <c r="AH91" s="54"/>
      <c r="AI91" s="54" t="s">
        <v>792</v>
      </c>
      <c r="AJ91" s="54" t="s">
        <v>75</v>
      </c>
      <c r="AK91" s="54"/>
      <c r="AL91" s="54"/>
      <c r="AM91" s="54" t="s">
        <v>798</v>
      </c>
      <c r="AN91" s="54"/>
      <c r="AO91" s="54"/>
      <c r="AP91" s="54" t="s">
        <v>798</v>
      </c>
      <c r="AQ91" s="54"/>
      <c r="AR91" s="54" t="s">
        <v>145</v>
      </c>
      <c r="AS91" s="54" t="s">
        <v>101</v>
      </c>
      <c r="AT91" s="54" t="s">
        <v>101</v>
      </c>
      <c r="AU91" s="55" t="s">
        <v>799</v>
      </c>
      <c r="AV91" s="54" t="s">
        <v>393</v>
      </c>
      <c r="AW91" s="52" t="s">
        <v>148</v>
      </c>
      <c r="AX91" s="52" t="s">
        <v>149</v>
      </c>
      <c r="AY91" s="54"/>
      <c r="AZ91" s="54"/>
      <c r="BA91" s="54"/>
      <c r="BB91" s="58" t="s">
        <v>80</v>
      </c>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c r="CJ91" s="50"/>
      <c r="CK91" s="50"/>
      <c r="CL91" s="50"/>
      <c r="CM91" s="50"/>
      <c r="CN91" s="50"/>
      <c r="CO91" s="50"/>
      <c r="CP91" s="50"/>
      <c r="CQ91" s="50"/>
      <c r="CR91" s="50"/>
      <c r="CS91" s="50"/>
      <c r="CT91" s="50"/>
      <c r="CU91" s="50"/>
      <c r="CV91" s="50"/>
      <c r="CW91" s="50"/>
      <c r="CX91" s="50"/>
      <c r="CY91" s="50"/>
      <c r="CZ91" s="50"/>
      <c r="DA91" s="50"/>
      <c r="DB91" s="50"/>
      <c r="DC91" s="50"/>
      <c r="DD91" s="50"/>
      <c r="DE91" s="50"/>
      <c r="DF91" s="50"/>
      <c r="DG91" s="50"/>
      <c r="DH91" s="50"/>
      <c r="DI91" s="50"/>
      <c r="DJ91" s="50"/>
      <c r="DK91" s="50"/>
      <c r="DL91" s="50"/>
      <c r="DM91" s="50"/>
      <c r="DN91" s="50"/>
      <c r="DO91" s="50"/>
      <c r="DP91" s="50"/>
      <c r="DQ91" s="50"/>
      <c r="DR91" s="50"/>
      <c r="DS91" s="50"/>
      <c r="DT91" s="50"/>
      <c r="DU91" s="50"/>
      <c r="DV91" s="50"/>
      <c r="DW91" s="50"/>
      <c r="DX91" s="50"/>
      <c r="DY91" s="50"/>
      <c r="DZ91" s="50"/>
      <c r="EA91" s="50"/>
      <c r="EB91" s="50"/>
      <c r="EC91" s="50"/>
      <c r="ED91" s="50"/>
      <c r="EE91" s="50"/>
      <c r="EF91" s="50"/>
      <c r="EG91" s="50"/>
      <c r="EH91" s="50"/>
      <c r="EI91" s="50"/>
      <c r="EJ91" s="50"/>
      <c r="EK91" s="50"/>
      <c r="EL91" s="50"/>
      <c r="EM91" s="50"/>
      <c r="EN91" s="50"/>
      <c r="EO91" s="50"/>
      <c r="EP91" s="50"/>
      <c r="EQ91" s="50"/>
      <c r="ER91" s="50"/>
      <c r="ES91" s="50"/>
      <c r="ET91" s="50"/>
      <c r="EU91" s="50"/>
      <c r="EV91" s="50"/>
      <c r="EW91" s="50"/>
      <c r="EX91" s="50"/>
      <c r="EY91" s="50"/>
      <c r="EZ91" s="50"/>
      <c r="FA91" s="50"/>
      <c r="FB91" s="50"/>
      <c r="FC91" s="50"/>
      <c r="FD91" s="50"/>
      <c r="FE91" s="50"/>
      <c r="FF91" s="50"/>
      <c r="FG91" s="50"/>
      <c r="FH91" s="50"/>
      <c r="FI91" s="50"/>
      <c r="FJ91" s="50"/>
      <c r="FK91" s="50"/>
      <c r="FL91" s="50"/>
      <c r="FM91" s="50"/>
      <c r="FN91" s="50"/>
      <c r="FO91" s="50"/>
      <c r="FP91" s="50"/>
      <c r="FQ91" s="50"/>
      <c r="FR91" s="50"/>
      <c r="FS91" s="50"/>
      <c r="FT91" s="50"/>
      <c r="FU91" s="50"/>
      <c r="FV91" s="50"/>
      <c r="FW91" s="50"/>
    </row>
    <row r="92" spans="1:179" s="59" customFormat="1" ht="25.5" customHeight="1">
      <c r="A92" s="51" t="s">
        <v>800</v>
      </c>
      <c r="B92" s="51" t="s">
        <v>801</v>
      </c>
      <c r="C92" s="52" t="s">
        <v>802</v>
      </c>
      <c r="D92" s="71" t="s">
        <v>803</v>
      </c>
      <c r="E92" s="54" t="s">
        <v>63</v>
      </c>
      <c r="F92" s="54" t="s">
        <v>672</v>
      </c>
      <c r="G92" s="54" t="s">
        <v>804</v>
      </c>
      <c r="H92" s="54" t="s">
        <v>805</v>
      </c>
      <c r="I92" s="54"/>
      <c r="J92" s="54"/>
      <c r="K92" s="54"/>
      <c r="L92" s="54"/>
      <c r="M92" s="54"/>
      <c r="N92" s="54"/>
      <c r="O92" s="54"/>
      <c r="P92" s="54"/>
      <c r="Q92" s="54"/>
      <c r="R92" s="54"/>
      <c r="S92" s="54"/>
      <c r="T92" s="53"/>
      <c r="U92" s="53"/>
      <c r="V92" s="52" t="s">
        <v>344</v>
      </c>
      <c r="W92" s="52"/>
      <c r="X92" s="52" t="s">
        <v>219</v>
      </c>
      <c r="Y92" s="54" t="str">
        <f>"[" &amp; _xlfn.TEXTJOIN(", ", TRUE,
    IF(G92&lt;&gt;"", """" &amp; G$1 &amp; """", ""),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T92 &amp; """", ""),
    IF(U92&lt;&gt;"", """" &amp; U92 &amp; """", ""),
    IF(V92&lt;&gt;"", """" &amp; V92 &amp; """", ""),
    IF(W92&lt;&gt;"", """" &amp; W92 &amp; """", ""),
    IF(X92&lt;&gt;"", """" &amp; X92 &amp; """", "")
) &amp; "]"</f>
        <v>["ENA", "RKI", "Internal", "Workflows"]</v>
      </c>
      <c r="Z92" s="54" t="s">
        <v>412</v>
      </c>
      <c r="AA92" s="52" t="s">
        <v>351</v>
      </c>
      <c r="AB92" s="54" t="s">
        <v>414</v>
      </c>
      <c r="AC92" s="54"/>
      <c r="AD92" s="54"/>
      <c r="AE92" s="54"/>
      <c r="AF92" s="54"/>
      <c r="AG92" s="54"/>
      <c r="AH92" s="54"/>
      <c r="AI92" s="54"/>
      <c r="AJ92" s="54"/>
      <c r="AK92" s="54"/>
      <c r="AL92" s="54"/>
      <c r="AM92" s="54"/>
      <c r="AN92" s="54"/>
      <c r="AO92" s="54"/>
      <c r="AP92" s="54"/>
      <c r="AQ92" s="54"/>
      <c r="AR92" s="54"/>
      <c r="AS92" s="54" t="s">
        <v>186</v>
      </c>
      <c r="AT92" s="54" t="s">
        <v>186</v>
      </c>
      <c r="AU92" s="55"/>
      <c r="AV92" s="54"/>
      <c r="AW92" s="52" t="s">
        <v>148</v>
      </c>
      <c r="AX92" s="52" t="s">
        <v>149</v>
      </c>
      <c r="AY92" s="54"/>
      <c r="AZ92" s="54"/>
      <c r="BA92" s="54"/>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c r="CJ92" s="50"/>
      <c r="CK92" s="50"/>
      <c r="CL92" s="50"/>
      <c r="CM92" s="50"/>
      <c r="CN92" s="50"/>
      <c r="CO92" s="50"/>
      <c r="CP92" s="50"/>
      <c r="CQ92" s="50"/>
      <c r="CR92" s="50"/>
      <c r="CS92" s="50"/>
      <c r="CT92" s="50"/>
      <c r="CU92" s="50"/>
      <c r="CV92" s="50"/>
      <c r="CW92" s="50"/>
      <c r="CX92" s="50"/>
      <c r="CY92" s="50"/>
      <c r="CZ92" s="50"/>
      <c r="DA92" s="50"/>
      <c r="DB92" s="50"/>
      <c r="DC92" s="50"/>
      <c r="DD92" s="50"/>
      <c r="DE92" s="50"/>
      <c r="DF92" s="50"/>
      <c r="DG92" s="50"/>
      <c r="DH92" s="50"/>
      <c r="DI92" s="50"/>
      <c r="DJ92" s="50"/>
      <c r="DK92" s="50"/>
      <c r="DL92" s="50"/>
      <c r="DM92" s="50"/>
      <c r="DN92" s="50"/>
      <c r="DO92" s="50"/>
      <c r="DP92" s="50"/>
      <c r="DQ92" s="50"/>
      <c r="DR92" s="50"/>
      <c r="DS92" s="50"/>
      <c r="DT92" s="50"/>
      <c r="DU92" s="50"/>
      <c r="DV92" s="50"/>
      <c r="DW92" s="50"/>
      <c r="DX92" s="50"/>
      <c r="DY92" s="50"/>
      <c r="DZ92" s="50"/>
      <c r="EA92" s="50"/>
      <c r="EB92" s="50"/>
      <c r="EC92" s="50"/>
      <c r="ED92" s="50"/>
      <c r="EE92" s="50"/>
      <c r="EF92" s="50"/>
      <c r="EG92" s="50"/>
      <c r="EH92" s="50"/>
      <c r="EI92" s="50"/>
      <c r="EJ92" s="50"/>
      <c r="EK92" s="50"/>
      <c r="EL92" s="50"/>
      <c r="EM92" s="50"/>
      <c r="EN92" s="50"/>
      <c r="EO92" s="50"/>
      <c r="EP92" s="50"/>
      <c r="EQ92" s="50"/>
      <c r="ER92" s="50"/>
      <c r="ES92" s="50"/>
      <c r="ET92" s="50"/>
      <c r="EU92" s="50"/>
      <c r="EV92" s="50"/>
      <c r="EW92" s="50"/>
      <c r="EX92" s="50"/>
      <c r="EY92" s="50"/>
      <c r="EZ92" s="50"/>
      <c r="FA92" s="50"/>
      <c r="FB92" s="50"/>
      <c r="FC92" s="50"/>
      <c r="FD92" s="50"/>
      <c r="FE92" s="50"/>
      <c r="FF92" s="50"/>
      <c r="FG92" s="50"/>
      <c r="FH92" s="50"/>
      <c r="FI92" s="50"/>
      <c r="FJ92" s="50"/>
      <c r="FK92" s="50"/>
      <c r="FL92" s="50"/>
      <c r="FM92" s="50"/>
      <c r="FN92" s="50"/>
      <c r="FO92" s="50"/>
      <c r="FP92" s="50"/>
      <c r="FQ92" s="50"/>
      <c r="FR92" s="50"/>
      <c r="FS92" s="50"/>
      <c r="FT92" s="50"/>
      <c r="FU92" s="50"/>
      <c r="FV92" s="50"/>
      <c r="FW92" s="50"/>
    </row>
    <row r="93" spans="1:179" s="59" customFormat="1" ht="25.5" customHeight="1">
      <c r="A93" s="51" t="s">
        <v>806</v>
      </c>
      <c r="B93" s="51" t="s">
        <v>807</v>
      </c>
      <c r="C93" s="52" t="s">
        <v>808</v>
      </c>
      <c r="D93" s="71" t="s">
        <v>809</v>
      </c>
      <c r="E93" s="54" t="s">
        <v>63</v>
      </c>
      <c r="F93" s="54" t="s">
        <v>64</v>
      </c>
      <c r="G93" s="54"/>
      <c r="H93" s="54"/>
      <c r="I93" s="54"/>
      <c r="J93" s="54"/>
      <c r="K93" s="54"/>
      <c r="L93" s="54"/>
      <c r="M93" s="54"/>
      <c r="N93" s="54"/>
      <c r="O93" s="54"/>
      <c r="P93" s="54"/>
      <c r="Q93" s="54"/>
      <c r="R93" s="54"/>
      <c r="S93" s="54"/>
      <c r="T93" s="53"/>
      <c r="U93" s="53"/>
      <c r="V93" s="52" t="s">
        <v>68</v>
      </c>
      <c r="W93" s="52" t="s">
        <v>164</v>
      </c>
      <c r="X93" s="52"/>
      <c r="Y93" s="54" t="str">
        <f>"[" &amp; _xlfn.TEXTJOIN(", ", TRUE,
    IF(G93&lt;&gt;"", """" &amp; G$1 &amp; """", ""),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T93 &amp; """", ""),
    IF(U93&lt;&gt;"", """" &amp; U93 &amp; """", ""),
    IF(V93&lt;&gt;"", """" &amp; V93 &amp; """", ""),
    IF(W93&lt;&gt;"", """" &amp; W93 &amp; """", ""),
    IF(X93&lt;&gt;"", """" &amp; X93 &amp; """", "")
) &amp; "]"</f>
        <v>["Organizational", "Source"]</v>
      </c>
      <c r="Z93" s="54" t="s">
        <v>16</v>
      </c>
      <c r="AA93" s="52" t="s">
        <v>351</v>
      </c>
      <c r="AB93" s="54" t="s">
        <v>810</v>
      </c>
      <c r="AC93" s="54"/>
      <c r="AD93" s="54"/>
      <c r="AE93" s="54"/>
      <c r="AF93" s="54"/>
      <c r="AG93" s="54"/>
      <c r="AH93" s="54"/>
      <c r="AI93" s="54"/>
      <c r="AJ93" s="54"/>
      <c r="AK93" s="54"/>
      <c r="AL93" s="54"/>
      <c r="AM93" s="54"/>
      <c r="AN93" s="54"/>
      <c r="AO93" s="54"/>
      <c r="AP93" s="54"/>
      <c r="AQ93" s="54"/>
      <c r="AR93" s="54"/>
      <c r="AS93" s="54"/>
      <c r="AT93" s="54"/>
      <c r="AU93" s="55"/>
      <c r="AV93" s="54"/>
      <c r="AW93" s="52" t="s">
        <v>148</v>
      </c>
      <c r="AX93" s="52" t="s">
        <v>149</v>
      </c>
      <c r="AY93" s="54"/>
      <c r="AZ93" s="54"/>
      <c r="BA93" s="54"/>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c r="CJ93" s="50"/>
      <c r="CK93" s="50"/>
      <c r="CL93" s="50"/>
      <c r="CM93" s="50"/>
      <c r="CN93" s="50"/>
      <c r="CO93" s="50"/>
      <c r="CP93" s="50"/>
      <c r="CQ93" s="50"/>
      <c r="CR93" s="50"/>
      <c r="CS93" s="50"/>
      <c r="CT93" s="50"/>
      <c r="CU93" s="50"/>
      <c r="CV93" s="50"/>
      <c r="CW93" s="50"/>
      <c r="CX93" s="50"/>
      <c r="CY93" s="50"/>
      <c r="CZ93" s="50"/>
      <c r="DA93" s="50"/>
      <c r="DB93" s="50"/>
      <c r="DC93" s="50"/>
      <c r="DD93" s="50"/>
      <c r="DE93" s="50"/>
      <c r="DF93" s="50"/>
      <c r="DG93" s="50"/>
      <c r="DH93" s="50"/>
      <c r="DI93" s="50"/>
      <c r="DJ93" s="50"/>
      <c r="DK93" s="50"/>
      <c r="DL93" s="50"/>
      <c r="DM93" s="50"/>
      <c r="DN93" s="50"/>
      <c r="DO93" s="50"/>
      <c r="DP93" s="50"/>
      <c r="DQ93" s="50"/>
      <c r="DR93" s="50"/>
      <c r="DS93" s="50"/>
      <c r="DT93" s="50"/>
      <c r="DU93" s="50"/>
      <c r="DV93" s="50"/>
      <c r="DW93" s="50"/>
      <c r="DX93" s="50"/>
      <c r="DY93" s="50"/>
      <c r="DZ93" s="50"/>
      <c r="EA93" s="50"/>
      <c r="EB93" s="50"/>
      <c r="EC93" s="50"/>
      <c r="ED93" s="50"/>
      <c r="EE93" s="50"/>
      <c r="EF93" s="50"/>
      <c r="EG93" s="50"/>
      <c r="EH93" s="50"/>
      <c r="EI93" s="50"/>
      <c r="EJ93" s="50"/>
      <c r="EK93" s="50"/>
      <c r="EL93" s="50"/>
      <c r="EM93" s="50"/>
      <c r="EN93" s="50"/>
      <c r="EO93" s="50"/>
      <c r="EP93" s="50"/>
      <c r="EQ93" s="50"/>
      <c r="ER93" s="50"/>
      <c r="ES93" s="50"/>
      <c r="ET93" s="50"/>
      <c r="EU93" s="50"/>
      <c r="EV93" s="50"/>
      <c r="EW93" s="50"/>
      <c r="EX93" s="50"/>
      <c r="EY93" s="50"/>
      <c r="EZ93" s="50"/>
      <c r="FA93" s="50"/>
      <c r="FB93" s="50"/>
      <c r="FC93" s="50"/>
      <c r="FD93" s="50"/>
      <c r="FE93" s="50"/>
      <c r="FF93" s="50"/>
      <c r="FG93" s="50"/>
      <c r="FH93" s="50"/>
      <c r="FI93" s="50"/>
      <c r="FJ93" s="50"/>
      <c r="FK93" s="50"/>
      <c r="FL93" s="50"/>
      <c r="FM93" s="50"/>
      <c r="FN93" s="50"/>
      <c r="FO93" s="50"/>
      <c r="FP93" s="50"/>
      <c r="FQ93" s="50"/>
      <c r="FR93" s="50"/>
      <c r="FS93" s="50"/>
      <c r="FT93" s="50"/>
      <c r="FU93" s="50"/>
      <c r="FV93" s="50"/>
      <c r="FW93" s="50"/>
    </row>
    <row r="94" spans="1:179" s="59" customFormat="1" ht="25.5" customHeight="1">
      <c r="A94" s="51" t="s">
        <v>811</v>
      </c>
      <c r="B94" s="51" t="s">
        <v>812</v>
      </c>
      <c r="C94" s="52" t="s">
        <v>813</v>
      </c>
      <c r="D94" s="71" t="s">
        <v>814</v>
      </c>
      <c r="E94" s="54" t="s">
        <v>76</v>
      </c>
      <c r="F94" s="54" t="s">
        <v>64</v>
      </c>
      <c r="G94" s="54"/>
      <c r="H94" s="54"/>
      <c r="I94" s="54"/>
      <c r="J94" s="54"/>
      <c r="K94" s="54"/>
      <c r="L94" s="54" t="s">
        <v>815</v>
      </c>
      <c r="M94" s="54"/>
      <c r="N94" s="54"/>
      <c r="O94" s="54"/>
      <c r="P94" s="54"/>
      <c r="Q94" s="54"/>
      <c r="R94" s="54"/>
      <c r="S94" s="54"/>
      <c r="T94" s="53"/>
      <c r="U94" s="53" t="s">
        <v>270</v>
      </c>
      <c r="V94" s="52" t="s">
        <v>122</v>
      </c>
      <c r="W94" s="52" t="s">
        <v>271</v>
      </c>
      <c r="X94" s="52"/>
      <c r="Y94" s="54" t="str">
        <f>"[" &amp; _xlfn.TEXTJOIN(", ", TRUE,
    IF(G94&lt;&gt;"", """" &amp; G$1 &amp; """", ""),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T94 &amp; """", ""),
    IF(U94&lt;&gt;"", """" &amp; U94 &amp; """", ""),
    IF(V94&lt;&gt;"", """" &amp; V94 &amp; """", ""),
    IF(W94&lt;&gt;"", """" &amp; W94 &amp; """", ""),
    IF(X94&lt;&gt;"", """" &amp; X94 &amp; """", "")
) &amp; "]"</f>
        <v>["NCBI Virus", "VJDB Study", "Sample", "Submission"]</v>
      </c>
      <c r="Z94" s="54" t="s">
        <v>6</v>
      </c>
      <c r="AA94" s="52"/>
      <c r="AB94" s="54"/>
      <c r="AC94" s="54"/>
      <c r="AD94" s="54"/>
      <c r="AE94" s="54"/>
      <c r="AF94" s="54"/>
      <c r="AG94" s="54"/>
      <c r="AH94" s="54"/>
      <c r="AI94" s="54"/>
      <c r="AJ94" s="54"/>
      <c r="AK94" s="54"/>
      <c r="AL94" s="54"/>
      <c r="AM94" s="54"/>
      <c r="AN94" s="54"/>
      <c r="AO94" s="54"/>
      <c r="AP94" s="54"/>
      <c r="AQ94" s="54"/>
      <c r="AR94" s="54"/>
      <c r="AS94" s="54"/>
      <c r="AT94" s="54" t="s">
        <v>101</v>
      </c>
      <c r="AU94" s="55" t="s">
        <v>146</v>
      </c>
      <c r="AV94" s="54" t="s">
        <v>147</v>
      </c>
      <c r="AW94" s="52" t="s">
        <v>148</v>
      </c>
      <c r="AX94" s="52" t="s">
        <v>149</v>
      </c>
      <c r="AY94" s="54"/>
      <c r="AZ94" s="54"/>
      <c r="BA94" s="54"/>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c r="CJ94" s="50"/>
      <c r="CK94" s="50"/>
      <c r="CL94" s="50"/>
      <c r="CM94" s="50"/>
      <c r="CN94" s="50"/>
      <c r="CO94" s="50"/>
      <c r="CP94" s="50"/>
      <c r="CQ94" s="50"/>
      <c r="CR94" s="50"/>
      <c r="CS94" s="50"/>
      <c r="CT94" s="50"/>
      <c r="CU94" s="50"/>
      <c r="CV94" s="50"/>
      <c r="CW94" s="50"/>
      <c r="CX94" s="50"/>
      <c r="CY94" s="50"/>
      <c r="CZ94" s="50"/>
      <c r="DA94" s="50"/>
      <c r="DB94" s="50"/>
      <c r="DC94" s="50"/>
      <c r="DD94" s="50"/>
      <c r="DE94" s="50"/>
      <c r="DF94" s="50"/>
      <c r="DG94" s="50"/>
      <c r="DH94" s="50"/>
      <c r="DI94" s="50"/>
      <c r="DJ94" s="50"/>
      <c r="DK94" s="50"/>
      <c r="DL94" s="50"/>
      <c r="DM94" s="50"/>
      <c r="DN94" s="50"/>
      <c r="DO94" s="50"/>
      <c r="DP94" s="50"/>
      <c r="DQ94" s="50"/>
      <c r="DR94" s="50"/>
      <c r="DS94" s="50"/>
      <c r="DT94" s="50"/>
      <c r="DU94" s="50"/>
      <c r="DV94" s="50"/>
      <c r="DW94" s="50"/>
      <c r="DX94" s="50"/>
      <c r="DY94" s="50"/>
      <c r="DZ94" s="50"/>
      <c r="EA94" s="50"/>
      <c r="EB94" s="50"/>
      <c r="EC94" s="50"/>
      <c r="ED94" s="50"/>
      <c r="EE94" s="50"/>
      <c r="EF94" s="50"/>
      <c r="EG94" s="50"/>
      <c r="EH94" s="50"/>
      <c r="EI94" s="50"/>
      <c r="EJ94" s="50"/>
      <c r="EK94" s="50"/>
      <c r="EL94" s="50"/>
      <c r="EM94" s="50"/>
      <c r="EN94" s="50"/>
      <c r="EO94" s="50"/>
      <c r="EP94" s="50"/>
      <c r="EQ94" s="50"/>
      <c r="ER94" s="50"/>
      <c r="ES94" s="50"/>
      <c r="ET94" s="50"/>
      <c r="EU94" s="50"/>
      <c r="EV94" s="50"/>
      <c r="EW94" s="50"/>
      <c r="EX94" s="50"/>
      <c r="EY94" s="50"/>
      <c r="EZ94" s="50"/>
      <c r="FA94" s="50"/>
      <c r="FB94" s="50"/>
      <c r="FC94" s="50"/>
      <c r="FD94" s="50"/>
      <c r="FE94" s="50"/>
      <c r="FF94" s="50"/>
      <c r="FG94" s="50"/>
      <c r="FH94" s="50"/>
      <c r="FI94" s="50"/>
      <c r="FJ94" s="50"/>
      <c r="FK94" s="50"/>
      <c r="FL94" s="50"/>
      <c r="FM94" s="50"/>
      <c r="FN94" s="50"/>
      <c r="FO94" s="50"/>
      <c r="FP94" s="50"/>
      <c r="FQ94" s="50"/>
      <c r="FR94" s="50"/>
      <c r="FS94" s="50"/>
      <c r="FT94" s="50"/>
      <c r="FU94" s="50"/>
      <c r="FV94" s="50"/>
      <c r="FW94" s="50"/>
    </row>
    <row r="95" spans="1:179" s="59" customFormat="1" ht="25.5" customHeight="1">
      <c r="A95" s="51" t="s">
        <v>816</v>
      </c>
      <c r="B95" s="51" t="s">
        <v>817</v>
      </c>
      <c r="C95" s="52" t="s">
        <v>818</v>
      </c>
      <c r="D95" s="71" t="s">
        <v>819</v>
      </c>
      <c r="E95" s="54" t="s">
        <v>76</v>
      </c>
      <c r="F95" s="54" t="s">
        <v>64</v>
      </c>
      <c r="G95" s="54"/>
      <c r="H95" s="54"/>
      <c r="I95" s="54"/>
      <c r="J95" s="54"/>
      <c r="K95" s="54"/>
      <c r="L95" s="54"/>
      <c r="M95" s="54"/>
      <c r="N95" s="54"/>
      <c r="O95" s="54"/>
      <c r="P95" s="54"/>
      <c r="Q95" s="54"/>
      <c r="R95" s="54"/>
      <c r="S95" s="54"/>
      <c r="T95" s="53"/>
      <c r="U95" s="53"/>
      <c r="V95" s="52" t="s">
        <v>122</v>
      </c>
      <c r="W95" s="52" t="s">
        <v>271</v>
      </c>
      <c r="X95" s="52"/>
      <c r="Y95" s="54" t="str">
        <f>"[" &amp; _xlfn.TEXTJOIN(", ", TRUE,
    IF(G95&lt;&gt;"", """" &amp; G$1 &amp; """", ""),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T95 &amp; """", ""),
    IF(U95&lt;&gt;"", """" &amp; U95 &amp; """", ""),
    IF(V95&lt;&gt;"", """" &amp; V95 &amp; """", ""),
    IF(W95&lt;&gt;"", """" &amp; W95 &amp; """", ""),
    IF(X95&lt;&gt;"", """" &amp; X95 &amp; """", "")
) &amp; "]"</f>
        <v>["Sample", "Submission"]</v>
      </c>
      <c r="Z95" s="54" t="s">
        <v>6</v>
      </c>
      <c r="AA95" s="52" t="s">
        <v>351</v>
      </c>
      <c r="AB95" s="54" t="s">
        <v>820</v>
      </c>
      <c r="AC95" s="54"/>
      <c r="AD95" s="54"/>
      <c r="AE95" s="54"/>
      <c r="AF95" s="54" t="s">
        <v>273</v>
      </c>
      <c r="AG95" s="54"/>
      <c r="AH95" s="54"/>
      <c r="AI95" s="54"/>
      <c r="AJ95" s="54"/>
      <c r="AK95" s="54"/>
      <c r="AL95" s="54"/>
      <c r="AM95" s="54"/>
      <c r="AN95" s="54"/>
      <c r="AO95" s="54"/>
      <c r="AP95" s="54"/>
      <c r="AQ95" s="54"/>
      <c r="AR95" s="54"/>
      <c r="AS95" s="54"/>
      <c r="AT95" s="54"/>
      <c r="AU95" s="55"/>
      <c r="AV95" s="54"/>
      <c r="AW95" s="52" t="s">
        <v>148</v>
      </c>
      <c r="AX95" s="52" t="s">
        <v>149</v>
      </c>
      <c r="AY95" s="54"/>
      <c r="AZ95" s="54"/>
      <c r="BA95" s="54"/>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c r="CJ95" s="50"/>
      <c r="CK95" s="50"/>
      <c r="CL95" s="50"/>
      <c r="CM95" s="50"/>
      <c r="CN95" s="50"/>
      <c r="CO95" s="50"/>
      <c r="CP95" s="50"/>
      <c r="CQ95" s="50"/>
      <c r="CR95" s="50"/>
      <c r="CS95" s="50"/>
      <c r="CT95" s="50"/>
      <c r="CU95" s="50"/>
      <c r="CV95" s="50"/>
      <c r="CW95" s="50"/>
      <c r="CX95" s="50"/>
      <c r="CY95" s="50"/>
      <c r="CZ95" s="50"/>
      <c r="DA95" s="50"/>
      <c r="DB95" s="50"/>
      <c r="DC95" s="50"/>
      <c r="DD95" s="50"/>
      <c r="DE95" s="50"/>
      <c r="DF95" s="50"/>
      <c r="DG95" s="50"/>
      <c r="DH95" s="50"/>
      <c r="DI95" s="50"/>
      <c r="DJ95" s="50"/>
      <c r="DK95" s="50"/>
      <c r="DL95" s="50"/>
      <c r="DM95" s="50"/>
      <c r="DN95" s="50"/>
      <c r="DO95" s="50"/>
      <c r="DP95" s="50"/>
      <c r="DQ95" s="50"/>
      <c r="DR95" s="50"/>
      <c r="DS95" s="50"/>
      <c r="DT95" s="50"/>
      <c r="DU95" s="50"/>
      <c r="DV95" s="50"/>
      <c r="DW95" s="50"/>
      <c r="DX95" s="50"/>
      <c r="DY95" s="50"/>
      <c r="DZ95" s="50"/>
      <c r="EA95" s="50"/>
      <c r="EB95" s="50"/>
      <c r="EC95" s="50"/>
      <c r="ED95" s="50"/>
      <c r="EE95" s="50"/>
      <c r="EF95" s="50"/>
      <c r="EG95" s="50"/>
      <c r="EH95" s="50"/>
      <c r="EI95" s="50"/>
      <c r="EJ95" s="50"/>
      <c r="EK95" s="50"/>
      <c r="EL95" s="50"/>
      <c r="EM95" s="50"/>
      <c r="EN95" s="50"/>
      <c r="EO95" s="50"/>
      <c r="EP95" s="50"/>
      <c r="EQ95" s="50"/>
      <c r="ER95" s="50"/>
      <c r="ES95" s="50"/>
      <c r="ET95" s="50"/>
      <c r="EU95" s="50"/>
      <c r="EV95" s="50"/>
      <c r="EW95" s="50"/>
      <c r="EX95" s="50"/>
      <c r="EY95" s="50"/>
      <c r="EZ95" s="50"/>
      <c r="FA95" s="50"/>
      <c r="FB95" s="50"/>
      <c r="FC95" s="50"/>
      <c r="FD95" s="50"/>
      <c r="FE95" s="50"/>
      <c r="FF95" s="50"/>
      <c r="FG95" s="50"/>
      <c r="FH95" s="50"/>
      <c r="FI95" s="50"/>
      <c r="FJ95" s="50"/>
      <c r="FK95" s="50"/>
      <c r="FL95" s="50"/>
      <c r="FM95" s="50"/>
      <c r="FN95" s="50"/>
      <c r="FO95" s="50"/>
      <c r="FP95" s="50"/>
      <c r="FQ95" s="50"/>
      <c r="FR95" s="50"/>
      <c r="FS95" s="50"/>
      <c r="FT95" s="50"/>
      <c r="FU95" s="50"/>
      <c r="FV95" s="50"/>
      <c r="FW95" s="50"/>
    </row>
    <row r="96" spans="1:179" s="59" customFormat="1" ht="25.5" customHeight="1">
      <c r="A96" s="51" t="s">
        <v>821</v>
      </c>
      <c r="B96" s="51" t="s">
        <v>822</v>
      </c>
      <c r="C96" s="52" t="s">
        <v>823</v>
      </c>
      <c r="D96" s="71" t="s">
        <v>824</v>
      </c>
      <c r="E96" s="54" t="s">
        <v>63</v>
      </c>
      <c r="F96" s="54" t="s">
        <v>64</v>
      </c>
      <c r="G96" s="54"/>
      <c r="H96" s="54"/>
      <c r="I96" s="54"/>
      <c r="J96" s="54"/>
      <c r="K96" s="54"/>
      <c r="L96" s="54"/>
      <c r="M96" s="54"/>
      <c r="N96" s="54"/>
      <c r="O96" s="54"/>
      <c r="P96" s="54"/>
      <c r="Q96" s="54"/>
      <c r="R96" s="54"/>
      <c r="S96" s="54"/>
      <c r="T96" s="53"/>
      <c r="U96" s="53"/>
      <c r="V96" s="52" t="s">
        <v>68</v>
      </c>
      <c r="W96" s="52" t="s">
        <v>164</v>
      </c>
      <c r="X96" s="52" t="s">
        <v>69</v>
      </c>
      <c r="Y96" s="54" t="str">
        <f>"[" &amp; _xlfn.TEXTJOIN(", ", TRUE,
    IF(G96&lt;&gt;"", """" &amp; G$1 &amp; """", ""),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T96 &amp; """", ""),
    IF(U96&lt;&gt;"", """" &amp; U96 &amp; """", ""),
    IF(V96&lt;&gt;"", """" &amp; V96 &amp; """", ""),
    IF(W96&lt;&gt;"", """" &amp; W96 &amp; """", ""),
    IF(X96&lt;&gt;"", """" &amp; X96 &amp; """", "")
) &amp; "]"</f>
        <v>["Organizational", "Source", "Identifiers"]</v>
      </c>
      <c r="Z96" s="54" t="s">
        <v>16</v>
      </c>
      <c r="AA96" s="52"/>
      <c r="AB96" s="54"/>
      <c r="AC96" s="54"/>
      <c r="AD96" s="54"/>
      <c r="AE96" s="54"/>
      <c r="AF96" s="54"/>
      <c r="AG96" s="54"/>
      <c r="AH96" s="54"/>
      <c r="AI96" s="54"/>
      <c r="AJ96" s="54"/>
      <c r="AK96" s="54"/>
      <c r="AL96" s="54"/>
      <c r="AM96" s="54"/>
      <c r="AN96" s="54"/>
      <c r="AO96" s="54"/>
      <c r="AP96" s="54"/>
      <c r="AQ96" s="54"/>
      <c r="AR96" s="54"/>
      <c r="AS96" s="54"/>
      <c r="AT96" s="54"/>
      <c r="AU96" s="55" t="s">
        <v>825</v>
      </c>
      <c r="AV96" s="54" t="s">
        <v>826</v>
      </c>
      <c r="AW96" s="52" t="s">
        <v>76</v>
      </c>
      <c r="AX96" s="52" t="s">
        <v>77</v>
      </c>
      <c r="AY96" s="54"/>
      <c r="AZ96" s="54"/>
      <c r="BA96" s="54"/>
      <c r="BB96" s="50"/>
      <c r="BC96" s="58" t="s">
        <v>80</v>
      </c>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c r="CJ96" s="50"/>
      <c r="CK96" s="50"/>
      <c r="CL96" s="50"/>
      <c r="CM96" s="50"/>
      <c r="CN96" s="50"/>
      <c r="CO96" s="50"/>
      <c r="CP96" s="50"/>
      <c r="CQ96" s="50"/>
      <c r="CR96" s="50"/>
      <c r="CS96" s="50"/>
      <c r="CT96" s="50"/>
      <c r="CU96" s="50"/>
      <c r="CV96" s="50"/>
      <c r="CW96" s="50"/>
      <c r="CX96" s="50"/>
      <c r="CY96" s="50"/>
      <c r="CZ96" s="50"/>
      <c r="DA96" s="50"/>
      <c r="DB96" s="50"/>
      <c r="DC96" s="50"/>
      <c r="DD96" s="50"/>
      <c r="DE96" s="50"/>
      <c r="DF96" s="50"/>
      <c r="DG96" s="50"/>
      <c r="DH96" s="50"/>
      <c r="DI96" s="50"/>
      <c r="DJ96" s="50"/>
      <c r="DK96" s="50"/>
      <c r="DL96" s="50"/>
      <c r="DM96" s="50"/>
      <c r="DN96" s="50"/>
      <c r="DO96" s="50"/>
      <c r="DP96" s="50"/>
      <c r="DQ96" s="50"/>
      <c r="DR96" s="50"/>
      <c r="DS96" s="50"/>
      <c r="DT96" s="50"/>
      <c r="DU96" s="50"/>
      <c r="DV96" s="50"/>
      <c r="DW96" s="50"/>
      <c r="DX96" s="50"/>
      <c r="DY96" s="50"/>
      <c r="DZ96" s="50"/>
      <c r="EA96" s="50"/>
      <c r="EB96" s="50"/>
      <c r="EC96" s="50"/>
      <c r="ED96" s="50"/>
      <c r="EE96" s="50"/>
      <c r="EF96" s="50"/>
      <c r="EG96" s="50"/>
      <c r="EH96" s="50"/>
      <c r="EI96" s="50"/>
      <c r="EJ96" s="50"/>
      <c r="EK96" s="50"/>
      <c r="EL96" s="50"/>
      <c r="EM96" s="50"/>
      <c r="EN96" s="50"/>
      <c r="EO96" s="50"/>
      <c r="EP96" s="50"/>
      <c r="EQ96" s="50"/>
      <c r="ER96" s="50"/>
      <c r="ES96" s="50"/>
      <c r="ET96" s="50"/>
      <c r="EU96" s="50"/>
      <c r="EV96" s="50"/>
      <c r="EW96" s="50"/>
      <c r="EX96" s="50"/>
      <c r="EY96" s="50"/>
      <c r="EZ96" s="50"/>
      <c r="FA96" s="50"/>
      <c r="FB96" s="50"/>
      <c r="FC96" s="50"/>
      <c r="FD96" s="50"/>
      <c r="FE96" s="50"/>
      <c r="FF96" s="50"/>
      <c r="FG96" s="50"/>
      <c r="FH96" s="50"/>
      <c r="FI96" s="50"/>
      <c r="FJ96" s="50"/>
      <c r="FK96" s="50"/>
      <c r="FL96" s="50"/>
      <c r="FM96" s="50"/>
      <c r="FN96" s="50"/>
      <c r="FO96" s="50"/>
      <c r="FP96" s="50"/>
      <c r="FQ96" s="50"/>
      <c r="FR96" s="50"/>
      <c r="FS96" s="50"/>
      <c r="FT96" s="50"/>
      <c r="FU96" s="50"/>
      <c r="FV96" s="50"/>
      <c r="FW96" s="50"/>
    </row>
    <row r="97" spans="1:180" s="59" customFormat="1" ht="25.5" customHeight="1">
      <c r="A97" s="51" t="s">
        <v>827</v>
      </c>
      <c r="B97" s="51" t="s">
        <v>828</v>
      </c>
      <c r="C97" s="52" t="s">
        <v>829</v>
      </c>
      <c r="D97" s="71" t="s">
        <v>830</v>
      </c>
      <c r="E97" s="54" t="s">
        <v>216</v>
      </c>
      <c r="F97" s="54" t="s">
        <v>64</v>
      </c>
      <c r="G97" s="54"/>
      <c r="H97" s="54"/>
      <c r="I97" s="54"/>
      <c r="J97" s="54"/>
      <c r="K97" s="54"/>
      <c r="L97" s="54"/>
      <c r="M97" s="54"/>
      <c r="N97" s="54"/>
      <c r="O97" s="54"/>
      <c r="P97" s="54"/>
      <c r="Q97" s="54"/>
      <c r="R97" s="54"/>
      <c r="S97" s="54"/>
      <c r="T97" s="53"/>
      <c r="U97" s="53"/>
      <c r="V97" s="52" t="s">
        <v>68</v>
      </c>
      <c r="W97" s="52" t="s">
        <v>164</v>
      </c>
      <c r="X97" s="52"/>
      <c r="Y97" s="54" t="str">
        <f>"[" &amp; _xlfn.TEXTJOIN(", ", TRUE,
    IF(G97&lt;&gt;"", """" &amp; G$1 &amp; """", ""),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T97 &amp; """", ""),
    IF(U97&lt;&gt;"", """" &amp; U97 &amp; """", ""),
    IF(V97&lt;&gt;"", """" &amp; V97 &amp; """", ""),
    IF(W97&lt;&gt;"", """" &amp; W97 &amp; """", ""),
    IF(X97&lt;&gt;"", """" &amp; X97 &amp; """", "")
) &amp; "]"</f>
        <v>["Organizational", "Source"]</v>
      </c>
      <c r="Z97" s="54" t="s">
        <v>16</v>
      </c>
      <c r="AA97" s="52"/>
      <c r="AB97" s="54"/>
      <c r="AC97" s="54"/>
      <c r="AD97" s="54"/>
      <c r="AE97" s="54"/>
      <c r="AF97" s="54"/>
      <c r="AG97" s="54"/>
      <c r="AH97" s="54"/>
      <c r="AI97" s="54"/>
      <c r="AJ97" s="54"/>
      <c r="AK97" s="54"/>
      <c r="AL97" s="54"/>
      <c r="AM97" s="54"/>
      <c r="AN97" s="54"/>
      <c r="AO97" s="54"/>
      <c r="AP97" s="54"/>
      <c r="AQ97" s="54"/>
      <c r="AR97" s="54"/>
      <c r="AS97" s="54"/>
      <c r="AT97" s="54"/>
      <c r="AU97" s="54"/>
      <c r="AV97" s="54"/>
      <c r="AW97" s="52" t="s">
        <v>76</v>
      </c>
      <c r="AX97" s="52" t="s">
        <v>132</v>
      </c>
      <c r="AY97" s="54"/>
      <c r="AZ97" s="54"/>
      <c r="BA97" s="54"/>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c r="CJ97" s="50"/>
      <c r="CK97" s="50"/>
      <c r="CL97" s="50"/>
      <c r="CM97" s="50"/>
      <c r="CN97" s="50"/>
      <c r="CO97" s="50"/>
      <c r="CP97" s="50"/>
      <c r="CQ97" s="50"/>
      <c r="CR97" s="50"/>
      <c r="CS97" s="50"/>
      <c r="CT97" s="50"/>
      <c r="CU97" s="50"/>
      <c r="CV97" s="50"/>
      <c r="CW97" s="50"/>
      <c r="CX97" s="50"/>
      <c r="CY97" s="50"/>
      <c r="CZ97" s="50"/>
      <c r="DA97" s="50"/>
      <c r="DB97" s="50"/>
      <c r="DC97" s="50"/>
      <c r="DD97" s="50"/>
      <c r="DE97" s="50"/>
      <c r="DF97" s="50"/>
      <c r="DG97" s="50"/>
      <c r="DH97" s="50"/>
      <c r="DI97" s="50"/>
      <c r="DJ97" s="50"/>
      <c r="DK97" s="50"/>
      <c r="DL97" s="50"/>
      <c r="DM97" s="50"/>
      <c r="DN97" s="50"/>
      <c r="DO97" s="50"/>
      <c r="DP97" s="50"/>
      <c r="DQ97" s="50"/>
      <c r="DR97" s="50"/>
      <c r="DS97" s="50"/>
      <c r="DT97" s="50"/>
      <c r="DU97" s="50"/>
      <c r="DV97" s="50"/>
      <c r="DW97" s="50"/>
      <c r="DX97" s="50"/>
      <c r="DY97" s="50"/>
      <c r="DZ97" s="50"/>
      <c r="EA97" s="50"/>
      <c r="EB97" s="50"/>
      <c r="EC97" s="50"/>
      <c r="ED97" s="50"/>
      <c r="EE97" s="50"/>
      <c r="EF97" s="50"/>
      <c r="EG97" s="50"/>
      <c r="EH97" s="50"/>
      <c r="EI97" s="50"/>
      <c r="EJ97" s="50"/>
      <c r="EK97" s="50"/>
      <c r="EL97" s="50"/>
      <c r="EM97" s="50"/>
      <c r="EN97" s="50"/>
      <c r="EO97" s="50"/>
      <c r="EP97" s="50"/>
      <c r="EQ97" s="50"/>
      <c r="ER97" s="50"/>
      <c r="ES97" s="50"/>
      <c r="ET97" s="50"/>
      <c r="EU97" s="50"/>
      <c r="EV97" s="50"/>
      <c r="EW97" s="50"/>
      <c r="EX97" s="50"/>
      <c r="EY97" s="50"/>
      <c r="EZ97" s="50"/>
      <c r="FA97" s="50"/>
      <c r="FB97" s="50"/>
      <c r="FC97" s="50"/>
      <c r="FD97" s="50"/>
      <c r="FE97" s="50"/>
      <c r="FF97" s="50"/>
      <c r="FG97" s="50"/>
      <c r="FH97" s="50"/>
      <c r="FI97" s="50"/>
      <c r="FJ97" s="50"/>
      <c r="FK97" s="50"/>
      <c r="FL97" s="50"/>
      <c r="FM97" s="50"/>
      <c r="FN97" s="50"/>
      <c r="FO97" s="50"/>
      <c r="FP97" s="50"/>
      <c r="FQ97" s="50"/>
      <c r="FR97" s="50"/>
      <c r="FS97" s="50"/>
      <c r="FT97" s="50"/>
      <c r="FU97" s="50"/>
      <c r="FV97" s="50"/>
      <c r="FW97" s="50"/>
    </row>
    <row r="98" spans="1:180" s="59" customFormat="1" ht="25.5" customHeight="1">
      <c r="A98" s="51" t="s">
        <v>831</v>
      </c>
      <c r="B98" s="51" t="s">
        <v>832</v>
      </c>
      <c r="C98" s="52" t="s">
        <v>833</v>
      </c>
      <c r="D98" s="71" t="s">
        <v>834</v>
      </c>
      <c r="E98" s="54" t="s">
        <v>63</v>
      </c>
      <c r="F98" s="54" t="s">
        <v>154</v>
      </c>
      <c r="G98" s="54" t="s">
        <v>835</v>
      </c>
      <c r="H98" s="54" t="s">
        <v>836</v>
      </c>
      <c r="I98" s="54"/>
      <c r="J98" s="54"/>
      <c r="K98" s="54"/>
      <c r="L98" s="54"/>
      <c r="M98" s="54"/>
      <c r="N98" s="54" t="s">
        <v>835</v>
      </c>
      <c r="O98" s="54" t="s">
        <v>835</v>
      </c>
      <c r="P98" s="54"/>
      <c r="Q98" s="54"/>
      <c r="R98" s="54"/>
      <c r="S98" s="54"/>
      <c r="T98" s="53" t="s">
        <v>110</v>
      </c>
      <c r="U98" s="53" t="s">
        <v>111</v>
      </c>
      <c r="V98" s="52" t="s">
        <v>122</v>
      </c>
      <c r="W98" s="52" t="s">
        <v>535</v>
      </c>
      <c r="X98" s="52"/>
      <c r="Y98" s="54" t="str">
        <f>"[" &amp; _xlfn.TEXTJOIN(", ", TRUE,
    IF(G98&lt;&gt;"", """" &amp; G$1 &amp; """", ""),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T98 &amp; """", ""),
    IF(U98&lt;&gt;"", """" &amp; U98 &amp; """", ""),
    IF(V98&lt;&gt;"", """" &amp; V98 &amp; """", ""),
    IF(W98&lt;&gt;"", """" &amp; W98 &amp; """", ""),
    IF(X98&lt;&gt;"", """" &amp; X98 &amp; """", "")
) &amp; "]"</f>
        <v>["ENA", "RKI", "ENA ERC32", "ENA ERC33", "ENA Sample", "VJDB Sample", "Sample", "Clinical "]</v>
      </c>
      <c r="Z98" s="54"/>
      <c r="AA98" s="52" t="s">
        <v>351</v>
      </c>
      <c r="AB98" s="54" t="s">
        <v>337</v>
      </c>
      <c r="AC98" s="54"/>
      <c r="AD98" s="54"/>
      <c r="AE98" s="54"/>
      <c r="AF98" s="54"/>
      <c r="AG98" s="54"/>
      <c r="AH98" s="54"/>
      <c r="AI98" s="54"/>
      <c r="AJ98" s="54"/>
      <c r="AK98" s="54"/>
      <c r="AL98" s="54"/>
      <c r="AM98" s="54" t="s">
        <v>837</v>
      </c>
      <c r="AN98" s="54"/>
      <c r="AO98" s="54"/>
      <c r="AP98" s="54" t="s">
        <v>837</v>
      </c>
      <c r="AQ98" s="54"/>
      <c r="AR98" s="54" t="s">
        <v>129</v>
      </c>
      <c r="AS98" s="54" t="s">
        <v>186</v>
      </c>
      <c r="AT98" s="54" t="s">
        <v>186</v>
      </c>
      <c r="AU98" s="55"/>
      <c r="AV98" s="54"/>
      <c r="AW98" s="52" t="s">
        <v>76</v>
      </c>
      <c r="AX98" s="52" t="s">
        <v>77</v>
      </c>
      <c r="AY98" s="54"/>
      <c r="AZ98" s="54"/>
      <c r="BA98" s="54"/>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c r="CJ98" s="50"/>
      <c r="CK98" s="50"/>
      <c r="CL98" s="50"/>
      <c r="CM98" s="50"/>
      <c r="CN98" s="50"/>
      <c r="CO98" s="50"/>
      <c r="CP98" s="50"/>
      <c r="CQ98" s="50"/>
      <c r="CR98" s="50"/>
      <c r="CS98" s="50"/>
      <c r="CT98" s="50"/>
      <c r="CU98" s="50"/>
      <c r="CV98" s="50"/>
      <c r="CW98" s="50"/>
      <c r="CX98" s="50"/>
      <c r="CY98" s="50"/>
      <c r="CZ98" s="50"/>
      <c r="DA98" s="50"/>
      <c r="DB98" s="50"/>
      <c r="DC98" s="50"/>
      <c r="DD98" s="50"/>
      <c r="DE98" s="50"/>
      <c r="DF98" s="50"/>
      <c r="DG98" s="50"/>
      <c r="DH98" s="50"/>
      <c r="DI98" s="50"/>
      <c r="DJ98" s="50"/>
      <c r="DK98" s="50"/>
      <c r="DL98" s="50"/>
      <c r="DM98" s="50"/>
      <c r="DN98" s="50"/>
      <c r="DO98" s="50"/>
      <c r="DP98" s="50"/>
      <c r="DQ98" s="50"/>
      <c r="DR98" s="50"/>
      <c r="DS98" s="50"/>
      <c r="DT98" s="50"/>
      <c r="DU98" s="50"/>
      <c r="DV98" s="50"/>
      <c r="DW98" s="50"/>
      <c r="DX98" s="50"/>
      <c r="DY98" s="50"/>
      <c r="DZ98" s="50"/>
      <c r="EA98" s="50"/>
      <c r="EB98" s="50"/>
      <c r="EC98" s="50"/>
      <c r="ED98" s="50"/>
      <c r="EE98" s="50"/>
      <c r="EF98" s="50"/>
      <c r="EG98" s="50"/>
      <c r="EH98" s="50"/>
      <c r="EI98" s="50"/>
      <c r="EJ98" s="50"/>
      <c r="EK98" s="50"/>
      <c r="EL98" s="50"/>
      <c r="EM98" s="50"/>
      <c r="EN98" s="50"/>
      <c r="EO98" s="50"/>
      <c r="EP98" s="50"/>
      <c r="EQ98" s="50"/>
      <c r="ER98" s="50"/>
      <c r="ES98" s="50"/>
      <c r="ET98" s="50"/>
      <c r="EU98" s="50"/>
      <c r="EV98" s="50"/>
      <c r="EW98" s="50"/>
      <c r="EX98" s="50"/>
      <c r="EY98" s="50"/>
      <c r="EZ98" s="50"/>
      <c r="FA98" s="50"/>
      <c r="FB98" s="50"/>
      <c r="FC98" s="50"/>
      <c r="FD98" s="50"/>
      <c r="FE98" s="50"/>
      <c r="FF98" s="50"/>
      <c r="FG98" s="50"/>
      <c r="FH98" s="50"/>
      <c r="FI98" s="50"/>
      <c r="FJ98" s="50"/>
      <c r="FK98" s="50"/>
      <c r="FL98" s="50"/>
      <c r="FM98" s="50"/>
      <c r="FN98" s="50"/>
      <c r="FO98" s="50"/>
      <c r="FP98" s="50"/>
      <c r="FQ98" s="50"/>
      <c r="FR98" s="50"/>
      <c r="FS98" s="50"/>
      <c r="FT98" s="50"/>
      <c r="FU98" s="50"/>
      <c r="FV98" s="50"/>
      <c r="FW98" s="50"/>
      <c r="FX98" s="50"/>
    </row>
    <row r="99" spans="1:180" s="59" customFormat="1" ht="25.5" customHeight="1">
      <c r="A99" s="64" t="s">
        <v>838</v>
      </c>
      <c r="B99" s="64" t="s">
        <v>839</v>
      </c>
      <c r="C99" s="54" t="s">
        <v>840</v>
      </c>
      <c r="D99" s="71" t="s">
        <v>841</v>
      </c>
      <c r="E99" s="54" t="s">
        <v>63</v>
      </c>
      <c r="F99" s="54" t="s">
        <v>154</v>
      </c>
      <c r="G99" s="54"/>
      <c r="H99" s="54"/>
      <c r="I99" s="54"/>
      <c r="J99" s="54"/>
      <c r="K99" s="54"/>
      <c r="L99" s="54"/>
      <c r="M99" s="54"/>
      <c r="N99" s="54" t="s">
        <v>842</v>
      </c>
      <c r="O99" s="54"/>
      <c r="P99" s="54"/>
      <c r="Q99" s="54"/>
      <c r="R99" s="54"/>
      <c r="S99" s="54"/>
      <c r="T99" s="53" t="s">
        <v>110</v>
      </c>
      <c r="U99" s="53" t="s">
        <v>111</v>
      </c>
      <c r="V99" s="52" t="s">
        <v>204</v>
      </c>
      <c r="W99" s="52" t="s">
        <v>535</v>
      </c>
      <c r="X99" s="52"/>
      <c r="Y99" s="54" t="str">
        <f>"[" &amp; _xlfn.TEXTJOIN(", ", TRUE,
    IF(G99&lt;&gt;"", """" &amp; G$1 &amp; """", ""),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T99 &amp; """", ""),
    IF(U99&lt;&gt;"", """" &amp; U99 &amp; """", ""),
    IF(V99&lt;&gt;"", """" &amp; V99 &amp; """", ""),
    IF(W99&lt;&gt;"", """" &amp; W99 &amp; """", ""),
    IF(X99&lt;&gt;"", """" &amp; X99 &amp; """", "")
) &amp; "]"</f>
        <v>["ENA ERC32", "ENA Sample", "VJDB Sample", "Host", "Clinical "]</v>
      </c>
      <c r="Z99" s="54"/>
      <c r="AA99" s="54"/>
      <c r="AB99" s="54"/>
      <c r="AC99" s="54"/>
      <c r="AD99" s="54"/>
      <c r="AE99" s="54"/>
      <c r="AF99" s="54"/>
      <c r="AG99" s="54"/>
      <c r="AH99" s="54"/>
      <c r="AI99" s="54"/>
      <c r="AJ99" s="54"/>
      <c r="AK99" s="54"/>
      <c r="AL99" s="54"/>
      <c r="AM99" s="54" t="s">
        <v>843</v>
      </c>
      <c r="AN99" s="54"/>
      <c r="AO99" s="54"/>
      <c r="AP99" s="54"/>
      <c r="AQ99" s="54"/>
      <c r="AR99" s="54"/>
      <c r="AS99" s="54" t="s">
        <v>236</v>
      </c>
      <c r="AT99" s="54" t="s">
        <v>236</v>
      </c>
      <c r="AU99" s="55" t="s">
        <v>844</v>
      </c>
      <c r="AV99" s="54" t="s">
        <v>210</v>
      </c>
      <c r="AW99" s="52" t="s">
        <v>76</v>
      </c>
      <c r="AX99" s="52" t="s">
        <v>132</v>
      </c>
      <c r="AY99" s="54"/>
      <c r="AZ99" s="54"/>
      <c r="BA99" s="54"/>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c r="CJ99" s="50"/>
      <c r="CK99" s="50"/>
      <c r="CL99" s="50"/>
      <c r="CM99" s="50"/>
      <c r="CN99" s="50"/>
      <c r="CO99" s="50"/>
      <c r="CP99" s="50"/>
      <c r="CQ99" s="50"/>
      <c r="CR99" s="50"/>
      <c r="CS99" s="50"/>
      <c r="CT99" s="50"/>
      <c r="CU99" s="50"/>
      <c r="CV99" s="50"/>
      <c r="CW99" s="50"/>
      <c r="CX99" s="50"/>
      <c r="CY99" s="50"/>
      <c r="CZ99" s="50"/>
      <c r="DA99" s="50"/>
      <c r="DB99" s="50"/>
      <c r="DC99" s="50"/>
      <c r="DD99" s="50"/>
      <c r="DE99" s="50"/>
      <c r="DF99" s="50"/>
      <c r="DG99" s="50"/>
      <c r="DH99" s="50"/>
      <c r="DI99" s="50"/>
      <c r="DJ99" s="50"/>
      <c r="DK99" s="50"/>
      <c r="DL99" s="50"/>
      <c r="DM99" s="50"/>
      <c r="DN99" s="50"/>
      <c r="DO99" s="50"/>
      <c r="DP99" s="50"/>
      <c r="DQ99" s="50"/>
      <c r="DR99" s="50"/>
      <c r="DS99" s="50"/>
      <c r="DT99" s="50"/>
      <c r="DU99" s="50"/>
      <c r="DV99" s="50"/>
      <c r="DW99" s="50"/>
      <c r="DX99" s="50"/>
      <c r="DY99" s="50"/>
      <c r="DZ99" s="50"/>
      <c r="EA99" s="50"/>
      <c r="EB99" s="50"/>
      <c r="EC99" s="50"/>
      <c r="ED99" s="50"/>
      <c r="EE99" s="50"/>
      <c r="EF99" s="50"/>
      <c r="EG99" s="50"/>
      <c r="EH99" s="50"/>
      <c r="EI99" s="50"/>
      <c r="EJ99" s="50"/>
      <c r="EK99" s="50"/>
      <c r="EL99" s="50"/>
      <c r="EM99" s="50"/>
      <c r="EN99" s="50"/>
      <c r="EO99" s="50"/>
      <c r="EP99" s="50"/>
      <c r="EQ99" s="50"/>
      <c r="ER99" s="50"/>
      <c r="ES99" s="50"/>
      <c r="ET99" s="50"/>
      <c r="EU99" s="50"/>
      <c r="EV99" s="50"/>
      <c r="EW99" s="50"/>
      <c r="EX99" s="50"/>
      <c r="EY99" s="50"/>
      <c r="EZ99" s="50"/>
      <c r="FA99" s="50"/>
      <c r="FB99" s="50"/>
      <c r="FC99" s="50"/>
      <c r="FD99" s="50"/>
      <c r="FE99" s="50"/>
      <c r="FF99" s="50"/>
      <c r="FG99" s="50"/>
      <c r="FH99" s="50"/>
      <c r="FI99" s="50"/>
      <c r="FJ99" s="50"/>
      <c r="FK99" s="50"/>
      <c r="FL99" s="50"/>
      <c r="FM99" s="50"/>
      <c r="FN99" s="50"/>
      <c r="FO99" s="50"/>
      <c r="FP99" s="50"/>
      <c r="FQ99" s="50"/>
      <c r="FR99" s="50"/>
      <c r="FS99" s="50"/>
      <c r="FT99" s="50"/>
      <c r="FU99" s="50"/>
      <c r="FV99" s="50"/>
      <c r="FW99" s="50"/>
    </row>
    <row r="100" spans="1:180" s="59" customFormat="1" ht="25.5" customHeight="1">
      <c r="A100" s="64" t="s">
        <v>845</v>
      </c>
      <c r="B100" s="64" t="s">
        <v>846</v>
      </c>
      <c r="C100" s="54" t="s">
        <v>847</v>
      </c>
      <c r="D100" s="71" t="s">
        <v>848</v>
      </c>
      <c r="E100" s="54" t="s">
        <v>254</v>
      </c>
      <c r="F100" s="54" t="s">
        <v>154</v>
      </c>
      <c r="G100" s="54"/>
      <c r="H100" s="54"/>
      <c r="I100" s="54"/>
      <c r="J100" s="54"/>
      <c r="K100" s="54"/>
      <c r="L100" s="54"/>
      <c r="M100" s="54"/>
      <c r="N100" s="54" t="s">
        <v>849</v>
      </c>
      <c r="O100" s="54"/>
      <c r="P100" s="54"/>
      <c r="Q100" s="54"/>
      <c r="R100" s="54"/>
      <c r="S100" s="54"/>
      <c r="T100" s="53" t="s">
        <v>110</v>
      </c>
      <c r="U100" s="53" t="s">
        <v>111</v>
      </c>
      <c r="V100" s="52" t="s">
        <v>204</v>
      </c>
      <c r="W100" s="52" t="s">
        <v>535</v>
      </c>
      <c r="X100" s="52"/>
      <c r="Y100" s="54" t="str">
        <f>"[" &amp; _xlfn.TEXTJOIN(", ", TRUE,
    IF(G100&lt;&gt;"", """" &amp; G$1 &amp; """", ""),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T100 &amp; """", ""),
    IF(U100&lt;&gt;"", """" &amp; U100 &amp; """", ""),
    IF(V100&lt;&gt;"", """" &amp; V100 &amp; """", ""),
    IF(W100&lt;&gt;"", """" &amp; W100 &amp; """", ""),
    IF(X100&lt;&gt;"", """" &amp; X100 &amp; """", "")
) &amp; "]"</f>
        <v>["ENA ERC32", "ENA Sample", "VJDB Sample", "Host", "Clinical "]</v>
      </c>
      <c r="Z100" s="54"/>
      <c r="AA100" s="54"/>
      <c r="AB100" s="54"/>
      <c r="AC100" s="54"/>
      <c r="AD100" s="54"/>
      <c r="AE100" s="54"/>
      <c r="AF100" s="54"/>
      <c r="AG100" s="54"/>
      <c r="AH100" s="54"/>
      <c r="AI100" s="54"/>
      <c r="AJ100" s="54"/>
      <c r="AK100" s="54"/>
      <c r="AL100" s="54"/>
      <c r="AM100" s="54" t="s">
        <v>850</v>
      </c>
      <c r="AN100" s="54"/>
      <c r="AO100" s="54"/>
      <c r="AP100" s="54"/>
      <c r="AQ100" s="54"/>
      <c r="AR100" s="54"/>
      <c r="AS100" s="54" t="s">
        <v>236</v>
      </c>
      <c r="AT100" s="54" t="s">
        <v>236</v>
      </c>
      <c r="AU100" s="55" t="s">
        <v>851</v>
      </c>
      <c r="AV100" s="54" t="s">
        <v>852</v>
      </c>
      <c r="AW100" s="52" t="s">
        <v>76</v>
      </c>
      <c r="AX100" s="52" t="s">
        <v>132</v>
      </c>
      <c r="AY100" s="54"/>
      <c r="AZ100" s="54"/>
      <c r="BA100" s="54"/>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c r="CQ100" s="50"/>
      <c r="CR100" s="50"/>
      <c r="CS100" s="50"/>
      <c r="CT100" s="50"/>
      <c r="CU100" s="50"/>
      <c r="CV100" s="50"/>
      <c r="CW100" s="50"/>
      <c r="CX100" s="50"/>
      <c r="CY100" s="50"/>
      <c r="CZ100" s="50"/>
      <c r="DA100" s="50"/>
      <c r="DB100" s="50"/>
      <c r="DC100" s="50"/>
      <c r="DD100" s="50"/>
      <c r="DE100" s="50"/>
      <c r="DF100" s="50"/>
      <c r="DG100" s="50"/>
      <c r="DH100" s="50"/>
      <c r="DI100" s="50"/>
      <c r="DJ100" s="50"/>
      <c r="DK100" s="50"/>
      <c r="DL100" s="50"/>
      <c r="DM100" s="50"/>
      <c r="DN100" s="50"/>
      <c r="DO100" s="50"/>
      <c r="DP100" s="50"/>
      <c r="DQ100" s="50"/>
      <c r="DR100" s="50"/>
      <c r="DS100" s="50"/>
      <c r="DT100" s="50"/>
      <c r="DU100" s="50"/>
      <c r="DV100" s="50"/>
      <c r="DW100" s="50"/>
      <c r="DX100" s="50"/>
      <c r="DY100" s="50"/>
      <c r="DZ100" s="50"/>
      <c r="EA100" s="50"/>
      <c r="EB100" s="50"/>
      <c r="EC100" s="50"/>
      <c r="ED100" s="50"/>
      <c r="EE100" s="50"/>
      <c r="EF100" s="50"/>
      <c r="EG100" s="50"/>
      <c r="EH100" s="50"/>
      <c r="EI100" s="50"/>
      <c r="EJ100" s="50"/>
      <c r="EK100" s="50"/>
      <c r="EL100" s="50"/>
      <c r="EM100" s="50"/>
      <c r="EN100" s="50"/>
      <c r="EO100" s="50"/>
      <c r="EP100" s="50"/>
      <c r="EQ100" s="50"/>
      <c r="ER100" s="50"/>
      <c r="ES100" s="50"/>
      <c r="ET100" s="50"/>
      <c r="EU100" s="50"/>
      <c r="EV100" s="50"/>
      <c r="EW100" s="50"/>
      <c r="EX100" s="50"/>
      <c r="EY100" s="50"/>
      <c r="EZ100" s="50"/>
      <c r="FA100" s="50"/>
      <c r="FB100" s="50"/>
      <c r="FC100" s="50"/>
      <c r="FD100" s="50"/>
      <c r="FE100" s="50"/>
      <c r="FF100" s="50"/>
      <c r="FG100" s="50"/>
      <c r="FH100" s="50"/>
      <c r="FI100" s="50"/>
      <c r="FJ100" s="50"/>
      <c r="FK100" s="50"/>
      <c r="FL100" s="50"/>
      <c r="FM100" s="50"/>
      <c r="FN100" s="50"/>
      <c r="FO100" s="50"/>
      <c r="FP100" s="50"/>
      <c r="FQ100" s="50"/>
      <c r="FR100" s="50"/>
      <c r="FS100" s="50"/>
      <c r="FT100" s="50"/>
      <c r="FU100" s="50"/>
      <c r="FV100" s="50"/>
      <c r="FW100" s="50"/>
    </row>
    <row r="101" spans="1:180" s="59" customFormat="1" ht="25.5" customHeight="1">
      <c r="A101" s="64" t="s">
        <v>853</v>
      </c>
      <c r="B101" s="64" t="s">
        <v>854</v>
      </c>
      <c r="C101" s="54" t="s">
        <v>855</v>
      </c>
      <c r="D101" s="71" t="s">
        <v>856</v>
      </c>
      <c r="E101" s="54" t="s">
        <v>216</v>
      </c>
      <c r="F101" s="54" t="s">
        <v>154</v>
      </c>
      <c r="G101" s="54"/>
      <c r="H101" s="54"/>
      <c r="I101" s="54"/>
      <c r="J101" s="54"/>
      <c r="K101" s="54"/>
      <c r="L101" s="54"/>
      <c r="M101" s="54"/>
      <c r="N101" s="54" t="s">
        <v>857</v>
      </c>
      <c r="O101" s="54"/>
      <c r="P101" s="54"/>
      <c r="Q101" s="54"/>
      <c r="R101" s="54"/>
      <c r="S101" s="54"/>
      <c r="T101" s="53" t="s">
        <v>110</v>
      </c>
      <c r="U101" s="53" t="s">
        <v>111</v>
      </c>
      <c r="V101" s="52" t="s">
        <v>204</v>
      </c>
      <c r="W101" s="52" t="s">
        <v>535</v>
      </c>
      <c r="X101" s="52"/>
      <c r="Y101" s="54" t="str">
        <f>"[" &amp; _xlfn.TEXTJOIN(", ", TRUE,
    IF(G101&lt;&gt;"", """" &amp; G$1 &amp; """", ""),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T101 &amp; """", ""),
    IF(U101&lt;&gt;"", """" &amp; U101 &amp; """", ""),
    IF(V101&lt;&gt;"", """" &amp; V101 &amp; """", ""),
    IF(W101&lt;&gt;"", """" &amp; W101 &amp; """", ""),
    IF(X101&lt;&gt;"", """" &amp; X101 &amp; """", "")
) &amp; "]"</f>
        <v>["ENA ERC32", "ENA Sample", "VJDB Sample", "Host", "Clinical "]</v>
      </c>
      <c r="Z101" s="54"/>
      <c r="AA101" s="54"/>
      <c r="AB101" s="54"/>
      <c r="AC101" s="54"/>
      <c r="AD101" s="54"/>
      <c r="AE101" s="54"/>
      <c r="AF101" s="54"/>
      <c r="AG101" s="54"/>
      <c r="AH101" s="54"/>
      <c r="AI101" s="54"/>
      <c r="AJ101" s="54"/>
      <c r="AK101" s="54"/>
      <c r="AL101" s="54"/>
      <c r="AM101" s="54" t="s">
        <v>858</v>
      </c>
      <c r="AN101" s="54"/>
      <c r="AO101" s="54"/>
      <c r="AP101" s="54"/>
      <c r="AQ101" s="54"/>
      <c r="AR101" s="54"/>
      <c r="AS101" s="54" t="s">
        <v>236</v>
      </c>
      <c r="AT101" s="54" t="s">
        <v>236</v>
      </c>
      <c r="AU101" s="55" t="s">
        <v>859</v>
      </c>
      <c r="AV101" s="54" t="s">
        <v>860</v>
      </c>
      <c r="AW101" s="52" t="s">
        <v>76</v>
      </c>
      <c r="AX101" s="52" t="s">
        <v>77</v>
      </c>
      <c r="AY101" s="54"/>
      <c r="AZ101" s="54"/>
      <c r="BA101" s="54"/>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c r="CJ101" s="50"/>
      <c r="CK101" s="50"/>
      <c r="CL101" s="50"/>
      <c r="CM101" s="50"/>
      <c r="CN101" s="50"/>
      <c r="CO101" s="50"/>
      <c r="CP101" s="50"/>
      <c r="CQ101" s="50"/>
      <c r="CR101" s="50"/>
      <c r="CS101" s="50"/>
      <c r="CT101" s="50"/>
      <c r="CU101" s="50"/>
      <c r="CV101" s="50"/>
      <c r="CW101" s="50"/>
      <c r="CX101" s="50"/>
      <c r="CY101" s="50"/>
      <c r="CZ101" s="50"/>
      <c r="DA101" s="50"/>
      <c r="DB101" s="50"/>
      <c r="DC101" s="50"/>
      <c r="DD101" s="50"/>
      <c r="DE101" s="50"/>
      <c r="DF101" s="50"/>
      <c r="DG101" s="50"/>
      <c r="DH101" s="50"/>
      <c r="DI101" s="50"/>
      <c r="DJ101" s="50"/>
      <c r="DK101" s="50"/>
      <c r="DL101" s="50"/>
      <c r="DM101" s="50"/>
      <c r="DN101" s="50"/>
      <c r="DO101" s="50"/>
      <c r="DP101" s="50"/>
      <c r="DQ101" s="50"/>
      <c r="DR101" s="50"/>
      <c r="DS101" s="50"/>
      <c r="DT101" s="50"/>
      <c r="DU101" s="50"/>
      <c r="DV101" s="50"/>
      <c r="DW101" s="50"/>
      <c r="DX101" s="50"/>
      <c r="DY101" s="50"/>
      <c r="DZ101" s="50"/>
      <c r="EA101" s="50"/>
      <c r="EB101" s="50"/>
      <c r="EC101" s="50"/>
      <c r="ED101" s="50"/>
      <c r="EE101" s="50"/>
      <c r="EF101" s="50"/>
      <c r="EG101" s="50"/>
      <c r="EH101" s="50"/>
      <c r="EI101" s="50"/>
      <c r="EJ101" s="50"/>
      <c r="EK101" s="50"/>
      <c r="EL101" s="50"/>
      <c r="EM101" s="50"/>
      <c r="EN101" s="50"/>
      <c r="EO101" s="50"/>
      <c r="EP101" s="50"/>
      <c r="EQ101" s="50"/>
      <c r="ER101" s="50"/>
      <c r="ES101" s="50"/>
      <c r="ET101" s="50"/>
      <c r="EU101" s="50"/>
      <c r="EV101" s="50"/>
      <c r="EW101" s="50"/>
      <c r="EX101" s="50"/>
      <c r="EY101" s="50"/>
      <c r="EZ101" s="50"/>
      <c r="FA101" s="50"/>
      <c r="FB101" s="50"/>
      <c r="FC101" s="50"/>
      <c r="FD101" s="50"/>
      <c r="FE101" s="50"/>
      <c r="FF101" s="50"/>
      <c r="FG101" s="50"/>
      <c r="FH101" s="50"/>
      <c r="FI101" s="50"/>
      <c r="FJ101" s="50"/>
      <c r="FK101" s="50"/>
      <c r="FL101" s="50"/>
      <c r="FM101" s="50"/>
      <c r="FN101" s="50"/>
      <c r="FO101" s="50"/>
      <c r="FP101" s="50"/>
      <c r="FQ101" s="50"/>
      <c r="FR101" s="50"/>
      <c r="FS101" s="50"/>
      <c r="FT101" s="50"/>
      <c r="FU101" s="50"/>
      <c r="FV101" s="50"/>
      <c r="FW101" s="50"/>
    </row>
    <row r="102" spans="1:180" s="59" customFormat="1" ht="25.5" customHeight="1">
      <c r="A102" s="64" t="s">
        <v>861</v>
      </c>
      <c r="B102" s="64" t="s">
        <v>862</v>
      </c>
      <c r="C102" s="54" t="s">
        <v>863</v>
      </c>
      <c r="D102" s="71" t="s">
        <v>864</v>
      </c>
      <c r="E102" s="54" t="s">
        <v>254</v>
      </c>
      <c r="F102" s="54" t="s">
        <v>154</v>
      </c>
      <c r="G102" s="54"/>
      <c r="H102" s="54"/>
      <c r="I102" s="54"/>
      <c r="J102" s="54"/>
      <c r="K102" s="54"/>
      <c r="L102" s="54"/>
      <c r="M102" s="54"/>
      <c r="N102" s="54" t="s">
        <v>865</v>
      </c>
      <c r="O102" s="54"/>
      <c r="P102" s="54"/>
      <c r="Q102" s="54"/>
      <c r="R102" s="54"/>
      <c r="S102" s="54"/>
      <c r="T102" s="53" t="s">
        <v>110</v>
      </c>
      <c r="U102" s="53" t="s">
        <v>111</v>
      </c>
      <c r="V102" s="52" t="s">
        <v>204</v>
      </c>
      <c r="W102" s="52" t="s">
        <v>535</v>
      </c>
      <c r="X102" s="52"/>
      <c r="Y102" s="54" t="str">
        <f>"[" &amp; _xlfn.TEXTJOIN(", ", TRUE,
    IF(G102&lt;&gt;"", """" &amp; G$1 &amp; """", ""),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T102 &amp; """", ""),
    IF(U102&lt;&gt;"", """" &amp; U102 &amp; """", ""),
    IF(V102&lt;&gt;"", """" &amp; V102 &amp; """", ""),
    IF(W102&lt;&gt;"", """" &amp; W102 &amp; """", ""),
    IF(X102&lt;&gt;"", """" &amp; X102 &amp; """", "")
) &amp; "]"</f>
        <v>["ENA ERC32", "ENA Sample", "VJDB Sample", "Host", "Clinical "]</v>
      </c>
      <c r="Z102" s="54"/>
      <c r="AA102" s="54"/>
      <c r="AB102" s="54"/>
      <c r="AC102" s="54"/>
      <c r="AD102" s="54"/>
      <c r="AE102" s="54"/>
      <c r="AF102" s="54"/>
      <c r="AG102" s="54"/>
      <c r="AH102" s="54"/>
      <c r="AI102" s="54"/>
      <c r="AJ102" s="54"/>
      <c r="AK102" s="54"/>
      <c r="AL102" s="54"/>
      <c r="AM102" s="54" t="s">
        <v>866</v>
      </c>
      <c r="AN102" s="54"/>
      <c r="AO102" s="54"/>
      <c r="AP102" s="54"/>
      <c r="AQ102" s="54"/>
      <c r="AR102" s="54"/>
      <c r="AS102" s="54" t="s">
        <v>236</v>
      </c>
      <c r="AT102" s="54" t="s">
        <v>236</v>
      </c>
      <c r="AU102" s="55" t="s">
        <v>867</v>
      </c>
      <c r="AV102" s="54" t="s">
        <v>868</v>
      </c>
      <c r="AW102" s="52" t="s">
        <v>76</v>
      </c>
      <c r="AX102" s="52" t="s">
        <v>77</v>
      </c>
      <c r="AY102" s="54"/>
      <c r="AZ102" s="54"/>
      <c r="BA102" s="54"/>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c r="CJ102" s="50"/>
      <c r="CK102" s="50"/>
      <c r="CL102" s="50"/>
      <c r="CM102" s="50"/>
      <c r="CN102" s="50"/>
      <c r="CO102" s="50"/>
      <c r="CP102" s="50"/>
      <c r="CQ102" s="50"/>
      <c r="CR102" s="50"/>
      <c r="CS102" s="50"/>
      <c r="CT102" s="50"/>
      <c r="CU102" s="50"/>
      <c r="CV102" s="50"/>
      <c r="CW102" s="50"/>
      <c r="CX102" s="50"/>
      <c r="CY102" s="50"/>
      <c r="CZ102" s="50"/>
      <c r="DA102" s="50"/>
      <c r="DB102" s="50"/>
      <c r="DC102" s="50"/>
      <c r="DD102" s="50"/>
      <c r="DE102" s="50"/>
      <c r="DF102" s="50"/>
      <c r="DG102" s="50"/>
      <c r="DH102" s="50"/>
      <c r="DI102" s="50"/>
      <c r="DJ102" s="50"/>
      <c r="DK102" s="50"/>
      <c r="DL102" s="50"/>
      <c r="DM102" s="50"/>
      <c r="DN102" s="50"/>
      <c r="DO102" s="50"/>
      <c r="DP102" s="50"/>
      <c r="DQ102" s="50"/>
      <c r="DR102" s="50"/>
      <c r="DS102" s="50"/>
      <c r="DT102" s="50"/>
      <c r="DU102" s="50"/>
      <c r="DV102" s="50"/>
      <c r="DW102" s="50"/>
      <c r="DX102" s="50"/>
      <c r="DY102" s="50"/>
      <c r="DZ102" s="50"/>
      <c r="EA102" s="50"/>
      <c r="EB102" s="50"/>
      <c r="EC102" s="50"/>
      <c r="ED102" s="50"/>
      <c r="EE102" s="50"/>
      <c r="EF102" s="50"/>
      <c r="EG102" s="50"/>
      <c r="EH102" s="50"/>
      <c r="EI102" s="50"/>
      <c r="EJ102" s="50"/>
      <c r="EK102" s="50"/>
      <c r="EL102" s="50"/>
      <c r="EM102" s="50"/>
      <c r="EN102" s="50"/>
      <c r="EO102" s="50"/>
      <c r="EP102" s="50"/>
      <c r="EQ102" s="50"/>
      <c r="ER102" s="50"/>
      <c r="ES102" s="50"/>
      <c r="ET102" s="50"/>
      <c r="EU102" s="50"/>
      <c r="EV102" s="50"/>
      <c r="EW102" s="50"/>
      <c r="EX102" s="50"/>
      <c r="EY102" s="50"/>
      <c r="EZ102" s="50"/>
      <c r="FA102" s="50"/>
      <c r="FB102" s="50"/>
      <c r="FC102" s="50"/>
      <c r="FD102" s="50"/>
      <c r="FE102" s="50"/>
      <c r="FF102" s="50"/>
      <c r="FG102" s="50"/>
      <c r="FH102" s="50"/>
      <c r="FI102" s="50"/>
      <c r="FJ102" s="50"/>
      <c r="FK102" s="50"/>
      <c r="FL102" s="50"/>
      <c r="FM102" s="50"/>
      <c r="FN102" s="50"/>
      <c r="FO102" s="50"/>
      <c r="FP102" s="50"/>
      <c r="FQ102" s="50"/>
      <c r="FR102" s="50"/>
      <c r="FS102" s="50"/>
      <c r="FT102" s="50"/>
      <c r="FU102" s="50"/>
      <c r="FV102" s="50"/>
      <c r="FW102" s="50"/>
    </row>
    <row r="103" spans="1:180" s="59" customFormat="1" ht="25.5" customHeight="1">
      <c r="A103" s="64" t="s">
        <v>869</v>
      </c>
      <c r="B103" s="64" t="s">
        <v>870</v>
      </c>
      <c r="C103" s="54" t="s">
        <v>871</v>
      </c>
      <c r="D103" s="71" t="s">
        <v>872</v>
      </c>
      <c r="E103" s="54" t="s">
        <v>63</v>
      </c>
      <c r="F103" s="54" t="s">
        <v>342</v>
      </c>
      <c r="G103" s="54"/>
      <c r="H103" s="54"/>
      <c r="I103" s="54"/>
      <c r="J103" s="54"/>
      <c r="K103" s="54"/>
      <c r="L103" s="54"/>
      <c r="M103" s="54"/>
      <c r="N103" s="54" t="s">
        <v>870</v>
      </c>
      <c r="O103" s="54" t="s">
        <v>870</v>
      </c>
      <c r="P103" s="54"/>
      <c r="Q103" s="54"/>
      <c r="R103" s="54"/>
      <c r="S103" s="54"/>
      <c r="T103" s="53" t="s">
        <v>873</v>
      </c>
      <c r="U103" s="53" t="s">
        <v>874</v>
      </c>
      <c r="V103" s="52" t="s">
        <v>344</v>
      </c>
      <c r="W103" s="52"/>
      <c r="X103" s="52" t="s">
        <v>219</v>
      </c>
      <c r="Y103" s="54" t="str">
        <f>"[" &amp; _xlfn.TEXTJOIN(", ", TRUE,
    IF(G103&lt;&gt;"", """" &amp; G$1 &amp; """", ""),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T103 &amp; """", ""),
    IF(U103&lt;&gt;"", """" &amp; U103 &amp; """", ""),
    IF(V103&lt;&gt;"", """" &amp; V103 &amp; """", ""),
    IF(W103&lt;&gt;"", """" &amp; W103 &amp; """", ""),
    IF(X103&lt;&gt;"", """" &amp; X103 &amp; """", "")
) &amp; "]"</f>
        <v>["ENA ERC32", "ENA ERC33", "ENA Run", "VJDB Run", "Internal", "Workflows"]</v>
      </c>
      <c r="Z103" s="54"/>
      <c r="AA103" s="54" t="s">
        <v>71</v>
      </c>
      <c r="AB103" s="54"/>
      <c r="AC103" s="54"/>
      <c r="AD103" s="54"/>
      <c r="AE103" s="54"/>
      <c r="AF103" s="54"/>
      <c r="AG103" s="54"/>
      <c r="AH103" s="54"/>
      <c r="AI103" s="54"/>
      <c r="AJ103" s="54"/>
      <c r="AK103" s="54"/>
      <c r="AL103" s="54"/>
      <c r="AM103" s="54" t="s">
        <v>875</v>
      </c>
      <c r="AN103" s="54"/>
      <c r="AO103" s="54"/>
      <c r="AP103" s="54" t="s">
        <v>875</v>
      </c>
      <c r="AQ103" s="54"/>
      <c r="AR103" s="54" t="s">
        <v>145</v>
      </c>
      <c r="AS103" s="54" t="s">
        <v>101</v>
      </c>
      <c r="AT103" s="54" t="s">
        <v>101</v>
      </c>
      <c r="AU103" s="55"/>
      <c r="AV103" s="54"/>
      <c r="AW103" s="52" t="s">
        <v>148</v>
      </c>
      <c r="AX103" s="52" t="s">
        <v>149</v>
      </c>
      <c r="AY103" s="54"/>
      <c r="AZ103" s="54"/>
      <c r="BA103" s="54"/>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c r="CJ103" s="50"/>
      <c r="CK103" s="50"/>
      <c r="CL103" s="50"/>
      <c r="CM103" s="50"/>
      <c r="CN103" s="50"/>
      <c r="CO103" s="50"/>
      <c r="CP103" s="50"/>
      <c r="CQ103" s="50"/>
      <c r="CR103" s="50"/>
      <c r="CS103" s="50"/>
      <c r="CT103" s="50"/>
      <c r="CU103" s="50"/>
      <c r="CV103" s="50"/>
      <c r="CW103" s="50"/>
      <c r="CX103" s="50"/>
      <c r="CY103" s="50"/>
      <c r="CZ103" s="50"/>
      <c r="DA103" s="50"/>
      <c r="DB103" s="50"/>
      <c r="DC103" s="50"/>
      <c r="DD103" s="50"/>
      <c r="DE103" s="50"/>
      <c r="DF103" s="50"/>
      <c r="DG103" s="50"/>
      <c r="DH103" s="50"/>
      <c r="DI103" s="50"/>
      <c r="DJ103" s="50"/>
      <c r="DK103" s="50"/>
      <c r="DL103" s="50"/>
      <c r="DM103" s="50"/>
      <c r="DN103" s="50"/>
      <c r="DO103" s="50"/>
      <c r="DP103" s="50"/>
      <c r="DQ103" s="50"/>
      <c r="DR103" s="50"/>
      <c r="DS103" s="50"/>
      <c r="DT103" s="50"/>
      <c r="DU103" s="50"/>
      <c r="DV103" s="50"/>
      <c r="DW103" s="50"/>
      <c r="DX103" s="50"/>
      <c r="DY103" s="50"/>
      <c r="DZ103" s="50"/>
      <c r="EA103" s="50"/>
      <c r="EB103" s="50"/>
      <c r="EC103" s="50"/>
      <c r="ED103" s="50"/>
      <c r="EE103" s="50"/>
      <c r="EF103" s="50"/>
      <c r="EG103" s="50"/>
      <c r="EH103" s="50"/>
      <c r="EI103" s="50"/>
      <c r="EJ103" s="50"/>
      <c r="EK103" s="50"/>
      <c r="EL103" s="50"/>
      <c r="EM103" s="50"/>
      <c r="EN103" s="50"/>
      <c r="EO103" s="50"/>
      <c r="EP103" s="50"/>
      <c r="EQ103" s="50"/>
      <c r="ER103" s="50"/>
      <c r="ES103" s="50"/>
      <c r="ET103" s="50"/>
      <c r="EU103" s="50"/>
      <c r="EV103" s="50"/>
      <c r="EW103" s="50"/>
      <c r="EX103" s="50"/>
      <c r="EY103" s="50"/>
      <c r="EZ103" s="50"/>
      <c r="FA103" s="50"/>
      <c r="FB103" s="50"/>
      <c r="FC103" s="50"/>
      <c r="FD103" s="50"/>
      <c r="FE103" s="50"/>
      <c r="FF103" s="50"/>
      <c r="FG103" s="50"/>
      <c r="FH103" s="50"/>
      <c r="FI103" s="50"/>
      <c r="FJ103" s="50"/>
      <c r="FK103" s="50"/>
      <c r="FL103" s="50"/>
      <c r="FM103" s="50"/>
      <c r="FN103" s="50"/>
      <c r="FO103" s="50"/>
      <c r="FP103" s="50"/>
      <c r="FQ103" s="50"/>
      <c r="FR103" s="50"/>
      <c r="FS103" s="50"/>
      <c r="FT103" s="50"/>
      <c r="FU103" s="50"/>
      <c r="FV103" s="50"/>
      <c r="FW103" s="50"/>
      <c r="FX103" s="50"/>
    </row>
    <row r="104" spans="1:180" s="59" customFormat="1" ht="25.5" customHeight="1">
      <c r="A104" s="64" t="s">
        <v>876</v>
      </c>
      <c r="B104" s="64" t="s">
        <v>877</v>
      </c>
      <c r="C104" s="54" t="s">
        <v>878</v>
      </c>
      <c r="D104" s="71" t="s">
        <v>879</v>
      </c>
      <c r="E104" s="54" t="s">
        <v>63</v>
      </c>
      <c r="F104" s="54" t="s">
        <v>342</v>
      </c>
      <c r="G104" s="54"/>
      <c r="H104" s="54"/>
      <c r="I104" s="54"/>
      <c r="J104" s="54"/>
      <c r="K104" s="54"/>
      <c r="L104" s="54"/>
      <c r="M104" s="54"/>
      <c r="N104" s="54" t="s">
        <v>877</v>
      </c>
      <c r="O104" s="54" t="s">
        <v>877</v>
      </c>
      <c r="P104" s="54"/>
      <c r="Q104" s="54"/>
      <c r="R104" s="54"/>
      <c r="S104" s="54"/>
      <c r="T104" s="53" t="s">
        <v>873</v>
      </c>
      <c r="U104" s="53" t="s">
        <v>874</v>
      </c>
      <c r="V104" s="52" t="s">
        <v>344</v>
      </c>
      <c r="W104" s="52"/>
      <c r="X104" s="52" t="s">
        <v>219</v>
      </c>
      <c r="Y104" s="54" t="str">
        <f>"[" &amp; _xlfn.TEXTJOIN(", ", TRUE,
    IF(G104&lt;&gt;"", """" &amp; G$1 &amp; """", ""),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T104 &amp; """", ""),
    IF(U104&lt;&gt;"", """" &amp; U104 &amp; """", ""),
    IF(V104&lt;&gt;"", """" &amp; V104 &amp; """", ""),
    IF(W104&lt;&gt;"", """" &amp; W104 &amp; """", ""),
    IF(X104&lt;&gt;"", """" &amp; X104 &amp; """", "")
) &amp; "]"</f>
        <v>["ENA ERC32", "ENA ERC33", "ENA Run", "VJDB Run", "Internal", "Workflows"]</v>
      </c>
      <c r="Z104" s="54"/>
      <c r="AA104" s="54" t="s">
        <v>71</v>
      </c>
      <c r="AB104" s="54"/>
      <c r="AC104" s="54"/>
      <c r="AD104" s="54"/>
      <c r="AE104" s="54"/>
      <c r="AF104" s="54"/>
      <c r="AG104" s="54"/>
      <c r="AH104" s="54"/>
      <c r="AI104" s="54"/>
      <c r="AJ104" s="54"/>
      <c r="AK104" s="54"/>
      <c r="AL104" s="54"/>
      <c r="AM104" s="54" t="s">
        <v>880</v>
      </c>
      <c r="AN104" s="54"/>
      <c r="AO104" s="54"/>
      <c r="AP104" s="54" t="s">
        <v>880</v>
      </c>
      <c r="AQ104" s="54"/>
      <c r="AR104" s="54" t="s">
        <v>129</v>
      </c>
      <c r="AS104" s="54" t="s">
        <v>101</v>
      </c>
      <c r="AT104" s="54" t="s">
        <v>101</v>
      </c>
      <c r="AU104" s="55"/>
      <c r="AV104" s="54"/>
      <c r="AW104" s="52" t="s">
        <v>76</v>
      </c>
      <c r="AX104" s="52" t="s">
        <v>132</v>
      </c>
      <c r="AY104" s="54"/>
      <c r="AZ104" s="54"/>
      <c r="BA104" s="54"/>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c r="CJ104" s="50"/>
      <c r="CK104" s="50"/>
      <c r="CL104" s="50"/>
      <c r="CM104" s="50"/>
      <c r="CN104" s="50"/>
      <c r="CO104" s="50"/>
      <c r="CP104" s="50"/>
      <c r="CQ104" s="50"/>
      <c r="CR104" s="50"/>
      <c r="CS104" s="50"/>
      <c r="CT104" s="50"/>
      <c r="CU104" s="50"/>
      <c r="CV104" s="50"/>
      <c r="CW104" s="50"/>
      <c r="CX104" s="50"/>
      <c r="CY104" s="50"/>
      <c r="CZ104" s="50"/>
      <c r="DA104" s="50"/>
      <c r="DB104" s="50"/>
      <c r="DC104" s="50"/>
      <c r="DD104" s="50"/>
      <c r="DE104" s="50"/>
      <c r="DF104" s="50"/>
      <c r="DG104" s="50"/>
      <c r="DH104" s="50"/>
      <c r="DI104" s="50"/>
      <c r="DJ104" s="50"/>
      <c r="DK104" s="50"/>
      <c r="DL104" s="50"/>
      <c r="DM104" s="50"/>
      <c r="DN104" s="50"/>
      <c r="DO104" s="50"/>
      <c r="DP104" s="50"/>
      <c r="DQ104" s="50"/>
      <c r="DR104" s="50"/>
      <c r="DS104" s="50"/>
      <c r="DT104" s="50"/>
      <c r="DU104" s="50"/>
      <c r="DV104" s="50"/>
      <c r="DW104" s="50"/>
      <c r="DX104" s="50"/>
      <c r="DY104" s="50"/>
      <c r="DZ104" s="50"/>
      <c r="EA104" s="50"/>
      <c r="EB104" s="50"/>
      <c r="EC104" s="50"/>
      <c r="ED104" s="50"/>
      <c r="EE104" s="50"/>
      <c r="EF104" s="50"/>
      <c r="EG104" s="50"/>
      <c r="EH104" s="50"/>
      <c r="EI104" s="50"/>
      <c r="EJ104" s="50"/>
      <c r="EK104" s="50"/>
      <c r="EL104" s="50"/>
      <c r="EM104" s="50"/>
      <c r="EN104" s="50"/>
      <c r="EO104" s="50"/>
      <c r="EP104" s="50"/>
      <c r="EQ104" s="50"/>
      <c r="ER104" s="50"/>
      <c r="ES104" s="50"/>
      <c r="ET104" s="50"/>
      <c r="EU104" s="50"/>
      <c r="EV104" s="50"/>
      <c r="EW104" s="50"/>
      <c r="EX104" s="50"/>
      <c r="EY104" s="50"/>
      <c r="EZ104" s="50"/>
      <c r="FA104" s="50"/>
      <c r="FB104" s="50"/>
      <c r="FC104" s="50"/>
      <c r="FD104" s="50"/>
      <c r="FE104" s="50"/>
      <c r="FF104" s="50"/>
      <c r="FG104" s="50"/>
      <c r="FH104" s="50"/>
      <c r="FI104" s="50"/>
      <c r="FJ104" s="50"/>
      <c r="FK104" s="50"/>
      <c r="FL104" s="50"/>
      <c r="FM104" s="50"/>
      <c r="FN104" s="50"/>
      <c r="FO104" s="50"/>
      <c r="FP104" s="50"/>
      <c r="FQ104" s="50"/>
      <c r="FR104" s="50"/>
      <c r="FS104" s="50"/>
      <c r="FT104" s="50"/>
      <c r="FU104" s="50"/>
      <c r="FV104" s="50"/>
      <c r="FW104" s="50"/>
    </row>
    <row r="105" spans="1:180" s="59" customFormat="1" ht="25.5" customHeight="1">
      <c r="A105" s="64" t="s">
        <v>881</v>
      </c>
      <c r="B105" s="64" t="s">
        <v>882</v>
      </c>
      <c r="C105" s="54" t="s">
        <v>883</v>
      </c>
      <c r="D105" s="71" t="s">
        <v>884</v>
      </c>
      <c r="E105" s="54" t="s">
        <v>63</v>
      </c>
      <c r="F105" s="54" t="s">
        <v>154</v>
      </c>
      <c r="G105" s="54"/>
      <c r="H105" s="54"/>
      <c r="I105" s="54"/>
      <c r="J105" s="54"/>
      <c r="K105" s="54"/>
      <c r="L105" s="54"/>
      <c r="M105" s="54"/>
      <c r="N105" s="54" t="s">
        <v>882</v>
      </c>
      <c r="O105" s="54" t="s">
        <v>882</v>
      </c>
      <c r="P105" s="54"/>
      <c r="Q105" s="54"/>
      <c r="R105" s="54"/>
      <c r="S105" s="54"/>
      <c r="T105" s="53" t="s">
        <v>110</v>
      </c>
      <c r="U105" s="53" t="s">
        <v>111</v>
      </c>
      <c r="V105" s="52" t="s">
        <v>122</v>
      </c>
      <c r="W105" s="52" t="s">
        <v>535</v>
      </c>
      <c r="X105" s="52"/>
      <c r="Y105" s="54" t="str">
        <f>"[" &amp; _xlfn.TEXTJOIN(", ", TRUE,
    IF(G105&lt;&gt;"", """" &amp; G$1 &amp; """", ""),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T105 &amp; """", ""),
    IF(U105&lt;&gt;"", """" &amp; U105 &amp; """", ""),
    IF(V105&lt;&gt;"", """" &amp; V105 &amp; """", ""),
    IF(W105&lt;&gt;"", """" &amp; W105 &amp; """", ""),
    IF(X105&lt;&gt;"", """" &amp; X105 &amp; """", "")
) &amp; "]"</f>
        <v>["ENA ERC32", "ENA ERC33", "ENA Sample", "VJDB Sample", "Sample", "Clinical "]</v>
      </c>
      <c r="Z105" s="54"/>
      <c r="AA105" s="54"/>
      <c r="AB105" s="54"/>
      <c r="AC105" s="54"/>
      <c r="AD105" s="54"/>
      <c r="AE105" s="54"/>
      <c r="AF105" s="54"/>
      <c r="AG105" s="54"/>
      <c r="AH105" s="54"/>
      <c r="AI105" s="54"/>
      <c r="AJ105" s="54"/>
      <c r="AK105" s="54"/>
      <c r="AL105" s="54"/>
      <c r="AM105" s="54" t="s">
        <v>885</v>
      </c>
      <c r="AN105" s="54"/>
      <c r="AO105" s="54"/>
      <c r="AP105" s="54" t="s">
        <v>885</v>
      </c>
      <c r="AQ105" s="54"/>
      <c r="AR105" s="54" t="s">
        <v>129</v>
      </c>
      <c r="AS105" s="54" t="s">
        <v>236</v>
      </c>
      <c r="AT105" s="54" t="s">
        <v>236</v>
      </c>
      <c r="AU105" s="55" t="s">
        <v>886</v>
      </c>
      <c r="AV105" s="54" t="s">
        <v>887</v>
      </c>
      <c r="AW105" s="54" t="s">
        <v>76</v>
      </c>
      <c r="AX105" s="52" t="s">
        <v>132</v>
      </c>
      <c r="AY105" s="54"/>
      <c r="AZ105" s="54"/>
      <c r="BA105" s="54"/>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c r="CJ105" s="50"/>
      <c r="CK105" s="50"/>
      <c r="CL105" s="50"/>
      <c r="CM105" s="50"/>
      <c r="CN105" s="50"/>
      <c r="CO105" s="50"/>
      <c r="CP105" s="50"/>
      <c r="CQ105" s="50"/>
      <c r="CR105" s="50"/>
      <c r="CS105" s="50"/>
      <c r="CT105" s="50"/>
      <c r="CU105" s="50"/>
      <c r="CV105" s="50"/>
      <c r="CW105" s="50"/>
      <c r="CX105" s="50"/>
      <c r="CY105" s="50"/>
      <c r="CZ105" s="50"/>
      <c r="DA105" s="50"/>
      <c r="DB105" s="50"/>
      <c r="DC105" s="50"/>
      <c r="DD105" s="50"/>
      <c r="DE105" s="50"/>
      <c r="DF105" s="50"/>
      <c r="DG105" s="50"/>
      <c r="DH105" s="50"/>
      <c r="DI105" s="50"/>
      <c r="DJ105" s="50"/>
      <c r="DK105" s="50"/>
      <c r="DL105" s="50"/>
      <c r="DM105" s="50"/>
      <c r="DN105" s="50"/>
      <c r="DO105" s="50"/>
      <c r="DP105" s="50"/>
      <c r="DQ105" s="50"/>
      <c r="DR105" s="50"/>
      <c r="DS105" s="50"/>
      <c r="DT105" s="50"/>
      <c r="DU105" s="50"/>
      <c r="DV105" s="50"/>
      <c r="DW105" s="50"/>
      <c r="DX105" s="50"/>
      <c r="DY105" s="50"/>
      <c r="DZ105" s="50"/>
      <c r="EA105" s="50"/>
      <c r="EB105" s="50"/>
      <c r="EC105" s="50"/>
      <c r="ED105" s="50"/>
      <c r="EE105" s="50"/>
      <c r="EF105" s="50"/>
      <c r="EG105" s="50"/>
      <c r="EH105" s="50"/>
      <c r="EI105" s="50"/>
      <c r="EJ105" s="50"/>
      <c r="EK105" s="50"/>
      <c r="EL105" s="50"/>
      <c r="EM105" s="50"/>
      <c r="EN105" s="50"/>
      <c r="EO105" s="50"/>
      <c r="EP105" s="50"/>
      <c r="EQ105" s="50"/>
      <c r="ER105" s="50"/>
      <c r="ES105" s="50"/>
      <c r="ET105" s="50"/>
      <c r="EU105" s="50"/>
      <c r="EV105" s="50"/>
      <c r="EW105" s="50"/>
      <c r="EX105" s="50"/>
      <c r="EY105" s="50"/>
      <c r="EZ105" s="50"/>
      <c r="FA105" s="50"/>
      <c r="FB105" s="50"/>
      <c r="FC105" s="50"/>
      <c r="FD105" s="50"/>
      <c r="FE105" s="50"/>
      <c r="FF105" s="50"/>
      <c r="FG105" s="50"/>
      <c r="FH105" s="50"/>
      <c r="FI105" s="50"/>
      <c r="FJ105" s="50"/>
      <c r="FK105" s="50"/>
      <c r="FL105" s="50"/>
      <c r="FM105" s="50"/>
      <c r="FN105" s="50"/>
      <c r="FO105" s="50"/>
      <c r="FP105" s="50"/>
      <c r="FQ105" s="50"/>
      <c r="FR105" s="50"/>
      <c r="FS105" s="50"/>
      <c r="FT105" s="50"/>
      <c r="FU105" s="50"/>
      <c r="FV105" s="50"/>
      <c r="FW105" s="50"/>
    </row>
    <row r="106" spans="1:180" s="59" customFormat="1" ht="25.5" customHeight="1">
      <c r="A106" s="64" t="s">
        <v>888</v>
      </c>
      <c r="B106" s="64" t="s">
        <v>889</v>
      </c>
      <c r="C106" s="54" t="s">
        <v>890</v>
      </c>
      <c r="D106" s="71" t="s">
        <v>891</v>
      </c>
      <c r="E106" s="54" t="s">
        <v>63</v>
      </c>
      <c r="F106" s="54" t="s">
        <v>154</v>
      </c>
      <c r="G106" s="54"/>
      <c r="H106" s="54"/>
      <c r="I106" s="54"/>
      <c r="J106" s="54"/>
      <c r="K106" s="54"/>
      <c r="L106" s="54"/>
      <c r="M106" s="54"/>
      <c r="N106" s="54" t="s">
        <v>889</v>
      </c>
      <c r="O106" s="54" t="s">
        <v>889</v>
      </c>
      <c r="P106" s="54"/>
      <c r="Q106" s="54"/>
      <c r="R106" s="54"/>
      <c r="S106" s="54"/>
      <c r="T106" s="53" t="s">
        <v>110</v>
      </c>
      <c r="U106" s="53" t="s">
        <v>111</v>
      </c>
      <c r="V106" s="52" t="s">
        <v>122</v>
      </c>
      <c r="W106" s="52" t="s">
        <v>535</v>
      </c>
      <c r="X106" s="52"/>
      <c r="Y106" s="54" t="str">
        <f>"[" &amp; _xlfn.TEXTJOIN(", ", TRUE,
    IF(G106&lt;&gt;"", """" &amp; G$1 &amp; """", ""),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T106 &amp; """", ""),
    IF(U106&lt;&gt;"", """" &amp; U106 &amp; """", ""),
    IF(V106&lt;&gt;"", """" &amp; V106 &amp; """", ""),
    IF(W106&lt;&gt;"", """" &amp; W106 &amp; """", ""),
    IF(X106&lt;&gt;"", """" &amp; X106 &amp; """", "")
) &amp; "]"</f>
        <v>["ENA ERC32", "ENA ERC33", "ENA Sample", "VJDB Sample", "Sample", "Clinical "]</v>
      </c>
      <c r="Z106" s="54"/>
      <c r="AA106" s="54"/>
      <c r="AB106" s="54"/>
      <c r="AC106" s="54"/>
      <c r="AD106" s="54"/>
      <c r="AE106" s="54"/>
      <c r="AF106" s="54"/>
      <c r="AG106" s="54"/>
      <c r="AH106" s="54"/>
      <c r="AI106" s="54"/>
      <c r="AJ106" s="54"/>
      <c r="AK106" s="54"/>
      <c r="AL106" s="54"/>
      <c r="AM106" s="54" t="s">
        <v>892</v>
      </c>
      <c r="AN106" s="54"/>
      <c r="AO106" s="54"/>
      <c r="AP106" s="54" t="s">
        <v>892</v>
      </c>
      <c r="AQ106" s="54"/>
      <c r="AR106" s="54" t="s">
        <v>145</v>
      </c>
      <c r="AS106" s="54" t="s">
        <v>236</v>
      </c>
      <c r="AT106" s="54" t="s">
        <v>236</v>
      </c>
      <c r="AU106" s="55" t="s">
        <v>893</v>
      </c>
      <c r="AV106" s="54" t="s">
        <v>393</v>
      </c>
      <c r="AW106" s="54" t="s">
        <v>148</v>
      </c>
      <c r="AX106" s="52" t="s">
        <v>149</v>
      </c>
      <c r="AY106" s="54"/>
      <c r="AZ106" s="54"/>
      <c r="BA106" s="54"/>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c r="CJ106" s="50"/>
      <c r="CK106" s="50"/>
      <c r="CL106" s="50"/>
      <c r="CM106" s="50"/>
      <c r="CN106" s="50"/>
      <c r="CO106" s="50"/>
      <c r="CP106" s="50"/>
      <c r="CQ106" s="50"/>
      <c r="CR106" s="50"/>
      <c r="CS106" s="50"/>
      <c r="CT106" s="50"/>
      <c r="CU106" s="50"/>
      <c r="CV106" s="50"/>
      <c r="CW106" s="50"/>
      <c r="CX106" s="50"/>
      <c r="CY106" s="50"/>
      <c r="CZ106" s="50"/>
      <c r="DA106" s="50"/>
      <c r="DB106" s="50"/>
      <c r="DC106" s="50"/>
      <c r="DD106" s="50"/>
      <c r="DE106" s="50"/>
      <c r="DF106" s="50"/>
      <c r="DG106" s="50"/>
      <c r="DH106" s="50"/>
      <c r="DI106" s="50"/>
      <c r="DJ106" s="50"/>
      <c r="DK106" s="50"/>
      <c r="DL106" s="50"/>
      <c r="DM106" s="50"/>
      <c r="DN106" s="50"/>
      <c r="DO106" s="50"/>
      <c r="DP106" s="50"/>
      <c r="DQ106" s="50"/>
      <c r="DR106" s="50"/>
      <c r="DS106" s="50"/>
      <c r="DT106" s="50"/>
      <c r="DU106" s="50"/>
      <c r="DV106" s="50"/>
      <c r="DW106" s="50"/>
      <c r="DX106" s="50"/>
      <c r="DY106" s="50"/>
      <c r="DZ106" s="50"/>
      <c r="EA106" s="50"/>
      <c r="EB106" s="50"/>
      <c r="EC106" s="50"/>
      <c r="ED106" s="50"/>
      <c r="EE106" s="50"/>
      <c r="EF106" s="50"/>
      <c r="EG106" s="50"/>
      <c r="EH106" s="50"/>
      <c r="EI106" s="50"/>
      <c r="EJ106" s="50"/>
      <c r="EK106" s="50"/>
      <c r="EL106" s="50"/>
      <c r="EM106" s="50"/>
      <c r="EN106" s="50"/>
      <c r="EO106" s="50"/>
      <c r="EP106" s="50"/>
      <c r="EQ106" s="50"/>
      <c r="ER106" s="50"/>
      <c r="ES106" s="50"/>
      <c r="ET106" s="50"/>
      <c r="EU106" s="50"/>
      <c r="EV106" s="50"/>
      <c r="EW106" s="50"/>
      <c r="EX106" s="50"/>
      <c r="EY106" s="50"/>
      <c r="EZ106" s="50"/>
      <c r="FA106" s="50"/>
      <c r="FB106" s="50"/>
      <c r="FC106" s="50"/>
      <c r="FD106" s="50"/>
      <c r="FE106" s="50"/>
      <c r="FF106" s="50"/>
      <c r="FG106" s="50"/>
      <c r="FH106" s="50"/>
      <c r="FI106" s="50"/>
      <c r="FJ106" s="50"/>
      <c r="FK106" s="50"/>
      <c r="FL106" s="50"/>
      <c r="FM106" s="50"/>
      <c r="FN106" s="50"/>
      <c r="FO106" s="50"/>
      <c r="FP106" s="50"/>
      <c r="FQ106" s="50"/>
      <c r="FR106" s="50"/>
      <c r="FS106" s="50"/>
      <c r="FT106" s="50"/>
      <c r="FU106" s="50"/>
      <c r="FV106" s="50"/>
      <c r="FW106" s="50"/>
    </row>
    <row r="107" spans="1:180" s="59" customFormat="1" ht="25.5" customHeight="1">
      <c r="A107" s="64" t="s">
        <v>894</v>
      </c>
      <c r="B107" s="64" t="s">
        <v>895</v>
      </c>
      <c r="C107" s="54" t="s">
        <v>896</v>
      </c>
      <c r="D107" s="71" t="s">
        <v>897</v>
      </c>
      <c r="E107" s="54" t="s">
        <v>76</v>
      </c>
      <c r="F107" s="54" t="s">
        <v>154</v>
      </c>
      <c r="G107" s="54"/>
      <c r="H107" s="54"/>
      <c r="I107" s="54"/>
      <c r="J107" s="54"/>
      <c r="K107" s="54"/>
      <c r="L107" s="54"/>
      <c r="M107" s="54"/>
      <c r="N107" s="54" t="s">
        <v>898</v>
      </c>
      <c r="O107" s="54" t="s">
        <v>898</v>
      </c>
      <c r="P107" s="54"/>
      <c r="Q107" s="54"/>
      <c r="R107" s="54"/>
      <c r="S107" s="54"/>
      <c r="T107" s="53" t="s">
        <v>110</v>
      </c>
      <c r="U107" s="53" t="s">
        <v>111</v>
      </c>
      <c r="V107" s="52" t="s">
        <v>204</v>
      </c>
      <c r="W107" s="52" t="s">
        <v>535</v>
      </c>
      <c r="X107" s="52"/>
      <c r="Y107" s="54" t="str">
        <f>"[" &amp; _xlfn.TEXTJOIN(", ", TRUE,
    IF(G107&lt;&gt;"", """" &amp; G$1 &amp; """", ""),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T107 &amp; """", ""),
    IF(U107&lt;&gt;"", """" &amp; U107 &amp; """", ""),
    IF(V107&lt;&gt;"", """" &amp; V107 &amp; """", ""),
    IF(W107&lt;&gt;"", """" &amp; W107 &amp; """", ""),
    IF(X107&lt;&gt;"", """" &amp; X107 &amp; """", "")
) &amp; "]"</f>
        <v>["ENA ERC32", "ENA ERC33", "ENA Sample", "VJDB Sample", "Host", "Clinical "]</v>
      </c>
      <c r="Z107" s="54"/>
      <c r="AA107" s="54" t="s">
        <v>71</v>
      </c>
      <c r="AB107" s="54"/>
      <c r="AC107" s="54"/>
      <c r="AD107" s="54"/>
      <c r="AE107" s="54"/>
      <c r="AF107" s="54"/>
      <c r="AG107" s="54"/>
      <c r="AH107" s="54"/>
      <c r="AI107" s="54"/>
      <c r="AJ107" s="54"/>
      <c r="AK107" s="54"/>
      <c r="AL107" s="54"/>
      <c r="AM107" s="54" t="s">
        <v>899</v>
      </c>
      <c r="AN107" s="54"/>
      <c r="AO107" s="54"/>
      <c r="AP107" s="54" t="s">
        <v>899</v>
      </c>
      <c r="AQ107" s="54"/>
      <c r="AR107" s="54" t="s">
        <v>129</v>
      </c>
      <c r="AS107" s="54" t="s">
        <v>236</v>
      </c>
      <c r="AT107" s="54" t="s">
        <v>236</v>
      </c>
      <c r="AU107" s="55"/>
      <c r="AV107" s="54" t="s">
        <v>210</v>
      </c>
      <c r="AW107" s="52" t="s">
        <v>900</v>
      </c>
      <c r="AX107" s="52" t="s">
        <v>132</v>
      </c>
      <c r="AY107" s="54"/>
      <c r="AZ107" s="54"/>
      <c r="BA107" s="54"/>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row>
    <row r="108" spans="1:180" s="59" customFormat="1" ht="25.5" customHeight="1">
      <c r="A108" s="64" t="s">
        <v>901</v>
      </c>
      <c r="B108" s="64" t="s">
        <v>902</v>
      </c>
      <c r="C108" s="54" t="s">
        <v>903</v>
      </c>
      <c r="D108" s="71" t="s">
        <v>904</v>
      </c>
      <c r="E108" s="54" t="s">
        <v>216</v>
      </c>
      <c r="F108" s="54" t="s">
        <v>154</v>
      </c>
      <c r="G108" s="54"/>
      <c r="H108" s="54"/>
      <c r="I108" s="54"/>
      <c r="J108" s="54"/>
      <c r="K108" s="54"/>
      <c r="L108" s="54"/>
      <c r="M108" s="54"/>
      <c r="N108" s="54" t="s">
        <v>905</v>
      </c>
      <c r="O108" s="54" t="s">
        <v>905</v>
      </c>
      <c r="P108" s="54"/>
      <c r="Q108" s="54"/>
      <c r="R108" s="54"/>
      <c r="S108" s="54"/>
      <c r="T108" s="53" t="s">
        <v>110</v>
      </c>
      <c r="U108" s="53" t="s">
        <v>111</v>
      </c>
      <c r="V108" s="52" t="s">
        <v>204</v>
      </c>
      <c r="W108" s="52" t="s">
        <v>535</v>
      </c>
      <c r="X108" s="52"/>
      <c r="Y108" s="54" t="str">
        <f>"[" &amp; _xlfn.TEXTJOIN(", ", TRUE,
    IF(G108&lt;&gt;"", """" &amp; G$1 &amp; """", ""),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T108 &amp; """", ""),
    IF(U108&lt;&gt;"", """" &amp; U108 &amp; """", ""),
    IF(V108&lt;&gt;"", """" &amp; V108 &amp; """", ""),
    IF(W108&lt;&gt;"", """" &amp; W108 &amp; """", ""),
    IF(X108&lt;&gt;"", """" &amp; X108 &amp; """", "")
) &amp; "]"</f>
        <v>["ENA ERC32", "ENA ERC33", "ENA Sample", "VJDB Sample", "Host", "Clinical "]</v>
      </c>
      <c r="Z108" s="54"/>
      <c r="AA108" s="54"/>
      <c r="AB108" s="54"/>
      <c r="AC108" s="54"/>
      <c r="AD108" s="54"/>
      <c r="AE108" s="54"/>
      <c r="AF108" s="54"/>
      <c r="AG108" s="54"/>
      <c r="AH108" s="54"/>
      <c r="AI108" s="54"/>
      <c r="AJ108" s="54"/>
      <c r="AK108" s="54"/>
      <c r="AL108" s="54"/>
      <c r="AM108" s="54" t="s">
        <v>906</v>
      </c>
      <c r="AN108" s="54"/>
      <c r="AO108" s="54"/>
      <c r="AP108" s="54" t="s">
        <v>906</v>
      </c>
      <c r="AQ108" s="54"/>
      <c r="AR108" s="54" t="s">
        <v>129</v>
      </c>
      <c r="AS108" s="54" t="s">
        <v>236</v>
      </c>
      <c r="AT108" s="54" t="s">
        <v>236</v>
      </c>
      <c r="AU108" s="55" t="s">
        <v>907</v>
      </c>
      <c r="AV108" s="54" t="s">
        <v>826</v>
      </c>
      <c r="AW108" s="52" t="s">
        <v>76</v>
      </c>
      <c r="AX108" s="52" t="s">
        <v>77</v>
      </c>
      <c r="AY108" s="54"/>
      <c r="AZ108" s="54"/>
      <c r="BA108" s="54"/>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c r="CJ108" s="50"/>
      <c r="CK108" s="50"/>
      <c r="CL108" s="50"/>
      <c r="CM108" s="50"/>
      <c r="CN108" s="50"/>
      <c r="CO108" s="50"/>
      <c r="CP108" s="50"/>
      <c r="CQ108" s="50"/>
      <c r="CR108" s="50"/>
      <c r="CS108" s="50"/>
      <c r="CT108" s="50"/>
      <c r="CU108" s="50"/>
      <c r="CV108" s="50"/>
      <c r="CW108" s="50"/>
      <c r="CX108" s="50"/>
      <c r="CY108" s="50"/>
      <c r="CZ108" s="50"/>
      <c r="DA108" s="50"/>
      <c r="DB108" s="50"/>
      <c r="DC108" s="50"/>
      <c r="DD108" s="50"/>
      <c r="DE108" s="50"/>
      <c r="DF108" s="50"/>
      <c r="DG108" s="50"/>
      <c r="DH108" s="50"/>
      <c r="DI108" s="50"/>
      <c r="DJ108" s="50"/>
      <c r="DK108" s="50"/>
      <c r="DL108" s="50"/>
      <c r="DM108" s="50"/>
      <c r="DN108" s="50"/>
      <c r="DO108" s="50"/>
      <c r="DP108" s="50"/>
      <c r="DQ108" s="50"/>
      <c r="DR108" s="50"/>
      <c r="DS108" s="50"/>
      <c r="DT108" s="50"/>
      <c r="DU108" s="50"/>
      <c r="DV108" s="50"/>
      <c r="DW108" s="50"/>
      <c r="DX108" s="50"/>
      <c r="DY108" s="50"/>
      <c r="DZ108" s="50"/>
      <c r="EA108" s="50"/>
      <c r="EB108" s="50"/>
      <c r="EC108" s="50"/>
      <c r="ED108" s="50"/>
      <c r="EE108" s="50"/>
      <c r="EF108" s="50"/>
      <c r="EG108" s="50"/>
      <c r="EH108" s="50"/>
      <c r="EI108" s="50"/>
      <c r="EJ108" s="50"/>
      <c r="EK108" s="50"/>
      <c r="EL108" s="50"/>
      <c r="EM108" s="50"/>
      <c r="EN108" s="50"/>
      <c r="EO108" s="50"/>
      <c r="EP108" s="50"/>
      <c r="EQ108" s="50"/>
      <c r="ER108" s="50"/>
      <c r="ES108" s="50"/>
      <c r="ET108" s="50"/>
      <c r="EU108" s="50"/>
      <c r="EV108" s="50"/>
      <c r="EW108" s="50"/>
      <c r="EX108" s="50"/>
      <c r="EY108" s="50"/>
      <c r="EZ108" s="50"/>
      <c r="FA108" s="50"/>
      <c r="FB108" s="50"/>
      <c r="FC108" s="50"/>
      <c r="FD108" s="50"/>
      <c r="FE108" s="50"/>
      <c r="FF108" s="50"/>
      <c r="FG108" s="50"/>
      <c r="FH108" s="50"/>
      <c r="FI108" s="50"/>
      <c r="FJ108" s="50"/>
      <c r="FK108" s="50"/>
      <c r="FL108" s="50"/>
      <c r="FM108" s="50"/>
      <c r="FN108" s="50"/>
      <c r="FO108" s="50"/>
      <c r="FP108" s="50"/>
      <c r="FQ108" s="50"/>
      <c r="FR108" s="50"/>
      <c r="FS108" s="50"/>
      <c r="FT108" s="50"/>
      <c r="FU108" s="50"/>
      <c r="FV108" s="50"/>
      <c r="FW108" s="50"/>
    </row>
    <row r="109" spans="1:180" s="59" customFormat="1" ht="25.5" customHeight="1">
      <c r="A109" s="64" t="s">
        <v>908</v>
      </c>
      <c r="B109" s="64" t="s">
        <v>909</v>
      </c>
      <c r="C109" s="54" t="s">
        <v>910</v>
      </c>
      <c r="D109" s="71" t="s">
        <v>911</v>
      </c>
      <c r="E109" s="54" t="s">
        <v>117</v>
      </c>
      <c r="F109" s="54" t="s">
        <v>154</v>
      </c>
      <c r="G109" s="54"/>
      <c r="H109" s="54"/>
      <c r="I109" s="54"/>
      <c r="J109" s="54"/>
      <c r="K109" s="54"/>
      <c r="L109" s="54"/>
      <c r="M109" s="54"/>
      <c r="N109" s="54" t="s">
        <v>912</v>
      </c>
      <c r="O109" s="54"/>
      <c r="P109" s="54"/>
      <c r="Q109" s="54"/>
      <c r="R109" s="54"/>
      <c r="S109" s="54"/>
      <c r="T109" s="53" t="s">
        <v>110</v>
      </c>
      <c r="U109" s="53" t="s">
        <v>111</v>
      </c>
      <c r="V109" s="52" t="s">
        <v>204</v>
      </c>
      <c r="W109" s="52" t="s">
        <v>535</v>
      </c>
      <c r="X109" s="52"/>
      <c r="Y109" s="54" t="str">
        <f>"[" &amp; _xlfn.TEXTJOIN(", ", TRUE,
    IF(G109&lt;&gt;"", """" &amp; G$1 &amp; """", ""),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T109 &amp; """", ""),
    IF(U109&lt;&gt;"", """" &amp; U109 &amp; """", ""),
    IF(V109&lt;&gt;"", """" &amp; V109 &amp; """", ""),
    IF(W109&lt;&gt;"", """" &amp; W109 &amp; """", ""),
    IF(X109&lt;&gt;"", """" &amp; X109 &amp; """", "")
) &amp; "]"</f>
        <v>["ENA ERC32", "ENA Sample", "VJDB Sample", "Host", "Clinical "]</v>
      </c>
      <c r="Z109" s="54"/>
      <c r="AA109" s="54"/>
      <c r="AB109" s="54"/>
      <c r="AC109" s="54"/>
      <c r="AD109" s="54"/>
      <c r="AE109" s="54"/>
      <c r="AF109" s="54"/>
      <c r="AG109" s="54"/>
      <c r="AH109" s="54"/>
      <c r="AI109" s="54"/>
      <c r="AJ109" s="54"/>
      <c r="AK109" s="54"/>
      <c r="AL109" s="54"/>
      <c r="AM109" s="54" t="s">
        <v>913</v>
      </c>
      <c r="AN109" s="54"/>
      <c r="AO109" s="54"/>
      <c r="AP109" s="54"/>
      <c r="AQ109" s="54"/>
      <c r="AR109" s="54"/>
      <c r="AS109" s="54" t="s">
        <v>236</v>
      </c>
      <c r="AT109" s="54" t="s">
        <v>236</v>
      </c>
      <c r="AU109" s="55" t="s">
        <v>914</v>
      </c>
      <c r="AV109" s="54" t="s">
        <v>284</v>
      </c>
      <c r="AW109" s="52" t="s">
        <v>117</v>
      </c>
      <c r="AX109" s="52" t="s">
        <v>132</v>
      </c>
      <c r="AY109" s="54"/>
      <c r="AZ109" s="54"/>
      <c r="BA109" s="54"/>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c r="CJ109" s="50"/>
      <c r="CK109" s="50"/>
      <c r="CL109" s="50"/>
      <c r="CM109" s="50"/>
      <c r="CN109" s="50"/>
      <c r="CO109" s="50"/>
      <c r="CP109" s="50"/>
      <c r="CQ109" s="50"/>
      <c r="CR109" s="50"/>
      <c r="CS109" s="50"/>
      <c r="CT109" s="50"/>
      <c r="CU109" s="50"/>
      <c r="CV109" s="50"/>
      <c r="CW109" s="50"/>
      <c r="CX109" s="50"/>
      <c r="CY109" s="50"/>
      <c r="CZ109" s="50"/>
      <c r="DA109" s="50"/>
      <c r="DB109" s="50"/>
      <c r="DC109" s="50"/>
      <c r="DD109" s="50"/>
      <c r="DE109" s="50"/>
      <c r="DF109" s="50"/>
      <c r="DG109" s="50"/>
      <c r="DH109" s="50"/>
      <c r="DI109" s="50"/>
      <c r="DJ109" s="50"/>
      <c r="DK109" s="50"/>
      <c r="DL109" s="50"/>
      <c r="DM109" s="50"/>
      <c r="DN109" s="50"/>
      <c r="DO109" s="50"/>
      <c r="DP109" s="50"/>
      <c r="DQ109" s="50"/>
      <c r="DR109" s="50"/>
      <c r="DS109" s="50"/>
      <c r="DT109" s="50"/>
      <c r="DU109" s="50"/>
      <c r="DV109" s="50"/>
      <c r="DW109" s="50"/>
      <c r="DX109" s="50"/>
      <c r="DY109" s="50"/>
      <c r="DZ109" s="50"/>
      <c r="EA109" s="50"/>
      <c r="EB109" s="50"/>
      <c r="EC109" s="50"/>
      <c r="ED109" s="50"/>
      <c r="EE109" s="50"/>
      <c r="EF109" s="50"/>
      <c r="EG109" s="50"/>
      <c r="EH109" s="50"/>
      <c r="EI109" s="50"/>
      <c r="EJ109" s="50"/>
      <c r="EK109" s="50"/>
      <c r="EL109" s="50"/>
      <c r="EM109" s="50"/>
      <c r="EN109" s="50"/>
      <c r="EO109" s="50"/>
      <c r="EP109" s="50"/>
      <c r="EQ109" s="50"/>
      <c r="ER109" s="50"/>
      <c r="ES109" s="50"/>
      <c r="ET109" s="50"/>
      <c r="EU109" s="50"/>
      <c r="EV109" s="50"/>
      <c r="EW109" s="50"/>
      <c r="EX109" s="50"/>
      <c r="EY109" s="50"/>
      <c r="EZ109" s="50"/>
      <c r="FA109" s="50"/>
      <c r="FB109" s="50"/>
      <c r="FC109" s="50"/>
      <c r="FD109" s="50"/>
      <c r="FE109" s="50"/>
      <c r="FF109" s="50"/>
      <c r="FG109" s="50"/>
      <c r="FH109" s="50"/>
      <c r="FI109" s="50"/>
      <c r="FJ109" s="50"/>
      <c r="FK109" s="50"/>
      <c r="FL109" s="50"/>
      <c r="FM109" s="50"/>
      <c r="FN109" s="50"/>
      <c r="FO109" s="50"/>
      <c r="FP109" s="50"/>
      <c r="FQ109" s="50"/>
      <c r="FR109" s="50"/>
      <c r="FS109" s="50"/>
      <c r="FT109" s="50"/>
      <c r="FU109" s="50"/>
      <c r="FV109" s="50"/>
      <c r="FW109" s="50"/>
    </row>
    <row r="110" spans="1:180" s="59" customFormat="1" ht="25.5" customHeight="1">
      <c r="A110" s="64" t="s">
        <v>915</v>
      </c>
      <c r="B110" s="64" t="s">
        <v>916</v>
      </c>
      <c r="C110" s="54" t="s">
        <v>917</v>
      </c>
      <c r="D110" s="71" t="s">
        <v>918</v>
      </c>
      <c r="E110" s="54" t="s">
        <v>76</v>
      </c>
      <c r="F110" s="54" t="s">
        <v>154</v>
      </c>
      <c r="G110" s="54"/>
      <c r="H110" s="54"/>
      <c r="I110" s="54"/>
      <c r="J110" s="54"/>
      <c r="K110" s="54"/>
      <c r="L110" s="54"/>
      <c r="M110" s="54"/>
      <c r="N110" s="54" t="s">
        <v>466</v>
      </c>
      <c r="O110" s="54" t="s">
        <v>466</v>
      </c>
      <c r="P110" s="54"/>
      <c r="Q110" s="54"/>
      <c r="R110" s="54"/>
      <c r="S110" s="54"/>
      <c r="T110" s="53" t="s">
        <v>110</v>
      </c>
      <c r="U110" s="53" t="s">
        <v>111</v>
      </c>
      <c r="V110" s="52" t="s">
        <v>204</v>
      </c>
      <c r="W110" s="52" t="s">
        <v>535</v>
      </c>
      <c r="X110" s="52"/>
      <c r="Y110" s="54" t="str">
        <f>"[" &amp; _xlfn.TEXTJOIN(", ", TRUE,
    IF(G110&lt;&gt;"", """" &amp; G$1 &amp; """", ""),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T110 &amp; """", ""),
    IF(U110&lt;&gt;"", """" &amp; U110 &amp; """", ""),
    IF(V110&lt;&gt;"", """" &amp; V110 &amp; """", ""),
    IF(W110&lt;&gt;"", """" &amp; W110 &amp; """", ""),
    IF(X110&lt;&gt;"", """" &amp; X110 &amp; """", "")
) &amp; "]"</f>
        <v>["ENA ERC32", "ENA ERC33", "ENA Sample", "VJDB Sample", "Host", "Clinical "]</v>
      </c>
      <c r="Z110" s="54"/>
      <c r="AA110" s="54"/>
      <c r="AB110" s="54"/>
      <c r="AC110" s="54"/>
      <c r="AD110" s="54"/>
      <c r="AE110" s="54"/>
      <c r="AF110" s="54"/>
      <c r="AG110" s="54"/>
      <c r="AH110" s="54"/>
      <c r="AI110" s="54"/>
      <c r="AJ110" s="54"/>
      <c r="AK110" s="54"/>
      <c r="AL110" s="54"/>
      <c r="AM110" s="54" t="s">
        <v>919</v>
      </c>
      <c r="AN110" s="54"/>
      <c r="AO110" s="54"/>
      <c r="AP110" s="54" t="s">
        <v>919</v>
      </c>
      <c r="AQ110" s="54"/>
      <c r="AR110" s="54" t="s">
        <v>385</v>
      </c>
      <c r="AS110" s="54" t="s">
        <v>236</v>
      </c>
      <c r="AT110" s="54" t="s">
        <v>236</v>
      </c>
      <c r="AU110" s="55" t="s">
        <v>920</v>
      </c>
      <c r="AV110" s="54" t="s">
        <v>921</v>
      </c>
      <c r="AW110" s="52" t="s">
        <v>76</v>
      </c>
      <c r="AX110" s="52" t="s">
        <v>132</v>
      </c>
      <c r="AY110" s="54"/>
      <c r="AZ110" s="54"/>
      <c r="BA110" s="54"/>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c r="CJ110" s="50"/>
      <c r="CK110" s="50"/>
      <c r="CL110" s="50"/>
      <c r="CM110" s="50"/>
      <c r="CN110" s="50"/>
      <c r="CO110" s="50"/>
      <c r="CP110" s="50"/>
      <c r="CQ110" s="50"/>
      <c r="CR110" s="50"/>
      <c r="CS110" s="50"/>
      <c r="CT110" s="50"/>
      <c r="CU110" s="50"/>
      <c r="CV110" s="50"/>
      <c r="CW110" s="50"/>
      <c r="CX110" s="50"/>
      <c r="CY110" s="50"/>
      <c r="CZ110" s="50"/>
      <c r="DA110" s="50"/>
      <c r="DB110" s="50"/>
      <c r="DC110" s="50"/>
      <c r="DD110" s="50"/>
      <c r="DE110" s="50"/>
      <c r="DF110" s="50"/>
      <c r="DG110" s="50"/>
      <c r="DH110" s="50"/>
      <c r="DI110" s="50"/>
      <c r="DJ110" s="50"/>
      <c r="DK110" s="50"/>
      <c r="DL110" s="50"/>
      <c r="DM110" s="50"/>
      <c r="DN110" s="50"/>
      <c r="DO110" s="50"/>
      <c r="DP110" s="50"/>
      <c r="DQ110" s="50"/>
      <c r="DR110" s="50"/>
      <c r="DS110" s="50"/>
      <c r="DT110" s="50"/>
      <c r="DU110" s="50"/>
      <c r="DV110" s="50"/>
      <c r="DW110" s="50"/>
      <c r="DX110" s="50"/>
      <c r="DY110" s="50"/>
      <c r="DZ110" s="50"/>
      <c r="EA110" s="50"/>
      <c r="EB110" s="50"/>
      <c r="EC110" s="50"/>
      <c r="ED110" s="50"/>
      <c r="EE110" s="50"/>
      <c r="EF110" s="50"/>
      <c r="EG110" s="50"/>
      <c r="EH110" s="50"/>
      <c r="EI110" s="50"/>
      <c r="EJ110" s="50"/>
      <c r="EK110" s="50"/>
      <c r="EL110" s="50"/>
      <c r="EM110" s="50"/>
      <c r="EN110" s="50"/>
      <c r="EO110" s="50"/>
      <c r="EP110" s="50"/>
      <c r="EQ110" s="50"/>
      <c r="ER110" s="50"/>
      <c r="ES110" s="50"/>
      <c r="ET110" s="50"/>
      <c r="EU110" s="50"/>
      <c r="EV110" s="50"/>
      <c r="EW110" s="50"/>
      <c r="EX110" s="50"/>
      <c r="EY110" s="50"/>
      <c r="EZ110" s="50"/>
      <c r="FA110" s="50"/>
      <c r="FB110" s="50"/>
      <c r="FC110" s="50"/>
      <c r="FD110" s="50"/>
      <c r="FE110" s="50"/>
      <c r="FF110" s="50"/>
      <c r="FG110" s="50"/>
      <c r="FH110" s="50"/>
      <c r="FI110" s="50"/>
      <c r="FJ110" s="50"/>
      <c r="FK110" s="50"/>
      <c r="FL110" s="50"/>
      <c r="FM110" s="50"/>
      <c r="FN110" s="50"/>
      <c r="FO110" s="50"/>
      <c r="FP110" s="50"/>
      <c r="FQ110" s="50"/>
      <c r="FR110" s="50"/>
      <c r="FS110" s="50"/>
      <c r="FT110" s="50"/>
      <c r="FU110" s="50"/>
      <c r="FV110" s="50"/>
      <c r="FW110" s="50"/>
    </row>
    <row r="111" spans="1:180" s="59" customFormat="1" ht="25.5" customHeight="1">
      <c r="A111" s="64" t="s">
        <v>922</v>
      </c>
      <c r="B111" s="64" t="s">
        <v>923</v>
      </c>
      <c r="C111" s="54" t="s">
        <v>924</v>
      </c>
      <c r="D111" s="71" t="s">
        <v>925</v>
      </c>
      <c r="E111" s="54" t="s">
        <v>76</v>
      </c>
      <c r="F111" s="54" t="s">
        <v>154</v>
      </c>
      <c r="G111" s="54"/>
      <c r="H111" s="54"/>
      <c r="I111" s="54"/>
      <c r="J111" s="54"/>
      <c r="K111" s="54"/>
      <c r="L111" s="54"/>
      <c r="M111" s="54"/>
      <c r="N111" s="54" t="s">
        <v>926</v>
      </c>
      <c r="O111" s="54"/>
      <c r="P111" s="54"/>
      <c r="Q111" s="54"/>
      <c r="R111" s="54"/>
      <c r="S111" s="54"/>
      <c r="T111" s="53" t="s">
        <v>110</v>
      </c>
      <c r="U111" s="53" t="s">
        <v>111</v>
      </c>
      <c r="V111" s="52" t="s">
        <v>122</v>
      </c>
      <c r="W111" s="52" t="s">
        <v>535</v>
      </c>
      <c r="X111" s="52"/>
      <c r="Y111" s="54" t="str">
        <f>"[" &amp; _xlfn.TEXTJOIN(", ", TRUE,
    IF(G111&lt;&gt;"", """" &amp; G$1 &amp; """", ""),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T111 &amp; """", ""),
    IF(U111&lt;&gt;"", """" &amp; U111 &amp; """", ""),
    IF(V111&lt;&gt;"", """" &amp; V111 &amp; """", ""),
    IF(W111&lt;&gt;"", """" &amp; W111 &amp; """", ""),
    IF(X111&lt;&gt;"", """" &amp; X111 &amp; """", "")
) &amp; "]"</f>
        <v>["ENA ERC32", "ENA Sample", "VJDB Sample", "Sample", "Clinical "]</v>
      </c>
      <c r="Z111" s="54"/>
      <c r="AA111" s="54"/>
      <c r="AB111" s="54"/>
      <c r="AC111" s="54"/>
      <c r="AD111" s="54"/>
      <c r="AE111" s="54"/>
      <c r="AF111" s="54"/>
      <c r="AG111" s="54"/>
      <c r="AH111" s="54"/>
      <c r="AI111" s="54"/>
      <c r="AJ111" s="54"/>
      <c r="AK111" s="54"/>
      <c r="AL111" s="54"/>
      <c r="AM111" s="54" t="s">
        <v>927</v>
      </c>
      <c r="AN111" s="54"/>
      <c r="AO111" s="54"/>
      <c r="AP111" s="54"/>
      <c r="AQ111" s="54"/>
      <c r="AR111" s="54"/>
      <c r="AS111" s="54" t="s">
        <v>236</v>
      </c>
      <c r="AT111" s="54" t="s">
        <v>236</v>
      </c>
      <c r="AU111" s="55" t="s">
        <v>928</v>
      </c>
      <c r="AV111" s="54" t="s">
        <v>826</v>
      </c>
      <c r="AW111" s="52" t="s">
        <v>76</v>
      </c>
      <c r="AX111" s="52" t="s">
        <v>77</v>
      </c>
      <c r="AY111" s="54"/>
      <c r="AZ111" s="54"/>
      <c r="BA111" s="54"/>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c r="CJ111" s="50"/>
      <c r="CK111" s="50"/>
      <c r="CL111" s="50"/>
      <c r="CM111" s="50"/>
      <c r="CN111" s="50"/>
      <c r="CO111" s="50"/>
      <c r="CP111" s="50"/>
      <c r="CQ111" s="50"/>
      <c r="CR111" s="50"/>
      <c r="CS111" s="50"/>
      <c r="CT111" s="50"/>
      <c r="CU111" s="50"/>
      <c r="CV111" s="50"/>
      <c r="CW111" s="50"/>
      <c r="CX111" s="50"/>
      <c r="CY111" s="50"/>
      <c r="CZ111" s="50"/>
      <c r="DA111" s="50"/>
      <c r="DB111" s="50"/>
      <c r="DC111" s="50"/>
      <c r="DD111" s="50"/>
      <c r="DE111" s="50"/>
      <c r="DF111" s="50"/>
      <c r="DG111" s="50"/>
      <c r="DH111" s="50"/>
      <c r="DI111" s="50"/>
      <c r="DJ111" s="50"/>
      <c r="DK111" s="50"/>
      <c r="DL111" s="50"/>
      <c r="DM111" s="50"/>
      <c r="DN111" s="50"/>
      <c r="DO111" s="50"/>
      <c r="DP111" s="50"/>
      <c r="DQ111" s="50"/>
      <c r="DR111" s="50"/>
      <c r="DS111" s="50"/>
      <c r="DT111" s="50"/>
      <c r="DU111" s="50"/>
      <c r="DV111" s="50"/>
      <c r="DW111" s="50"/>
      <c r="DX111" s="50"/>
      <c r="DY111" s="50"/>
      <c r="DZ111" s="50"/>
      <c r="EA111" s="50"/>
      <c r="EB111" s="50"/>
      <c r="EC111" s="50"/>
      <c r="ED111" s="50"/>
      <c r="EE111" s="50"/>
      <c r="EF111" s="50"/>
      <c r="EG111" s="50"/>
      <c r="EH111" s="50"/>
      <c r="EI111" s="50"/>
      <c r="EJ111" s="50"/>
      <c r="EK111" s="50"/>
      <c r="EL111" s="50"/>
      <c r="EM111" s="50"/>
      <c r="EN111" s="50"/>
      <c r="EO111" s="50"/>
      <c r="EP111" s="50"/>
      <c r="EQ111" s="50"/>
      <c r="ER111" s="50"/>
      <c r="ES111" s="50"/>
      <c r="ET111" s="50"/>
      <c r="EU111" s="50"/>
      <c r="EV111" s="50"/>
      <c r="EW111" s="50"/>
      <c r="EX111" s="50"/>
      <c r="EY111" s="50"/>
      <c r="EZ111" s="50"/>
      <c r="FA111" s="50"/>
      <c r="FB111" s="50"/>
      <c r="FC111" s="50"/>
      <c r="FD111" s="50"/>
      <c r="FE111" s="50"/>
      <c r="FF111" s="50"/>
      <c r="FG111" s="50"/>
      <c r="FH111" s="50"/>
      <c r="FI111" s="50"/>
      <c r="FJ111" s="50"/>
      <c r="FK111" s="50"/>
      <c r="FL111" s="50"/>
      <c r="FM111" s="50"/>
      <c r="FN111" s="50"/>
      <c r="FO111" s="50"/>
      <c r="FP111" s="50"/>
      <c r="FQ111" s="50"/>
      <c r="FR111" s="50"/>
      <c r="FS111" s="50"/>
      <c r="FT111" s="50"/>
      <c r="FU111" s="50"/>
      <c r="FV111" s="50"/>
      <c r="FW111" s="50"/>
    </row>
    <row r="112" spans="1:180" s="59" customFormat="1" ht="25.5" customHeight="1">
      <c r="A112" s="64" t="s">
        <v>929</v>
      </c>
      <c r="B112" s="64" t="s">
        <v>930</v>
      </c>
      <c r="C112" s="54" t="s">
        <v>931</v>
      </c>
      <c r="D112" s="71" t="s">
        <v>932</v>
      </c>
      <c r="E112" s="54" t="s">
        <v>117</v>
      </c>
      <c r="F112" s="54" t="s">
        <v>154</v>
      </c>
      <c r="G112" s="54"/>
      <c r="H112" s="54"/>
      <c r="I112" s="54"/>
      <c r="J112" s="54"/>
      <c r="K112" s="54"/>
      <c r="L112" s="54"/>
      <c r="M112" s="54"/>
      <c r="N112" s="54" t="s">
        <v>933</v>
      </c>
      <c r="O112" s="54"/>
      <c r="P112" s="54"/>
      <c r="Q112" s="54"/>
      <c r="R112" s="54"/>
      <c r="S112" s="54"/>
      <c r="T112" s="53" t="s">
        <v>110</v>
      </c>
      <c r="U112" s="53" t="s">
        <v>111</v>
      </c>
      <c r="V112" s="52" t="s">
        <v>122</v>
      </c>
      <c r="W112" s="52" t="s">
        <v>535</v>
      </c>
      <c r="X112" s="52"/>
      <c r="Y112" s="54" t="str">
        <f>"[" &amp; _xlfn.TEXTJOIN(", ", TRUE,
    IF(G112&lt;&gt;"", """" &amp; G$1 &amp; """", ""),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T112 &amp; """", ""),
    IF(U112&lt;&gt;"", """" &amp; U112 &amp; """", ""),
    IF(V112&lt;&gt;"", """" &amp; V112 &amp; """", ""),
    IF(W112&lt;&gt;"", """" &amp; W112 &amp; """", ""),
    IF(X112&lt;&gt;"", """" &amp; X112 &amp; """", "")
) &amp; "]"</f>
        <v>["ENA ERC32", "ENA Sample", "VJDB Sample", "Sample", "Clinical "]</v>
      </c>
      <c r="Z112" s="54"/>
      <c r="AA112" s="54"/>
      <c r="AB112" s="54"/>
      <c r="AC112" s="54"/>
      <c r="AD112" s="54"/>
      <c r="AE112" s="54"/>
      <c r="AF112" s="54"/>
      <c r="AG112" s="54"/>
      <c r="AH112" s="54"/>
      <c r="AI112" s="54"/>
      <c r="AJ112" s="54"/>
      <c r="AK112" s="54"/>
      <c r="AL112" s="54"/>
      <c r="AM112" s="54" t="s">
        <v>934</v>
      </c>
      <c r="AN112" s="54"/>
      <c r="AO112" s="54"/>
      <c r="AP112" s="54"/>
      <c r="AQ112" s="54"/>
      <c r="AR112" s="54"/>
      <c r="AS112" s="54" t="s">
        <v>236</v>
      </c>
      <c r="AT112" s="54" t="s">
        <v>236</v>
      </c>
      <c r="AU112" s="55" t="s">
        <v>935</v>
      </c>
      <c r="AV112" s="54" t="s">
        <v>284</v>
      </c>
      <c r="AW112" s="52" t="s">
        <v>117</v>
      </c>
      <c r="AX112" s="52" t="s">
        <v>132</v>
      </c>
      <c r="AY112" s="54"/>
      <c r="AZ112" s="54"/>
      <c r="BA112" s="54"/>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c r="CJ112" s="50"/>
      <c r="CK112" s="50"/>
      <c r="CL112" s="50"/>
      <c r="CM112" s="50"/>
      <c r="CN112" s="50"/>
      <c r="CO112" s="50"/>
      <c r="CP112" s="50"/>
      <c r="CQ112" s="50"/>
      <c r="CR112" s="50"/>
      <c r="CS112" s="50"/>
      <c r="CT112" s="50"/>
      <c r="CU112" s="50"/>
      <c r="CV112" s="50"/>
      <c r="CW112" s="50"/>
      <c r="CX112" s="50"/>
      <c r="CY112" s="50"/>
      <c r="CZ112" s="50"/>
      <c r="DA112" s="50"/>
      <c r="DB112" s="50"/>
      <c r="DC112" s="50"/>
      <c r="DD112" s="50"/>
      <c r="DE112" s="50"/>
      <c r="DF112" s="50"/>
      <c r="DG112" s="50"/>
      <c r="DH112" s="50"/>
      <c r="DI112" s="50"/>
      <c r="DJ112" s="50"/>
      <c r="DK112" s="50"/>
      <c r="DL112" s="50"/>
      <c r="DM112" s="50"/>
      <c r="DN112" s="50"/>
      <c r="DO112" s="50"/>
      <c r="DP112" s="50"/>
      <c r="DQ112" s="50"/>
      <c r="DR112" s="50"/>
      <c r="DS112" s="50"/>
      <c r="DT112" s="50"/>
      <c r="DU112" s="50"/>
      <c r="DV112" s="50"/>
      <c r="DW112" s="50"/>
      <c r="DX112" s="50"/>
      <c r="DY112" s="50"/>
      <c r="DZ112" s="50"/>
      <c r="EA112" s="50"/>
      <c r="EB112" s="50"/>
      <c r="EC112" s="50"/>
      <c r="ED112" s="50"/>
      <c r="EE112" s="50"/>
      <c r="EF112" s="50"/>
      <c r="EG112" s="50"/>
      <c r="EH112" s="50"/>
      <c r="EI112" s="50"/>
      <c r="EJ112" s="50"/>
      <c r="EK112" s="50"/>
      <c r="EL112" s="50"/>
      <c r="EM112" s="50"/>
      <c r="EN112" s="50"/>
      <c r="EO112" s="50"/>
      <c r="EP112" s="50"/>
      <c r="EQ112" s="50"/>
      <c r="ER112" s="50"/>
      <c r="ES112" s="50"/>
      <c r="ET112" s="50"/>
      <c r="EU112" s="50"/>
      <c r="EV112" s="50"/>
      <c r="EW112" s="50"/>
      <c r="EX112" s="50"/>
      <c r="EY112" s="50"/>
      <c r="EZ112" s="50"/>
      <c r="FA112" s="50"/>
      <c r="FB112" s="50"/>
      <c r="FC112" s="50"/>
      <c r="FD112" s="50"/>
      <c r="FE112" s="50"/>
      <c r="FF112" s="50"/>
      <c r="FG112" s="50"/>
      <c r="FH112" s="50"/>
      <c r="FI112" s="50"/>
      <c r="FJ112" s="50"/>
      <c r="FK112" s="50"/>
      <c r="FL112" s="50"/>
      <c r="FM112" s="50"/>
      <c r="FN112" s="50"/>
      <c r="FO112" s="50"/>
      <c r="FP112" s="50"/>
      <c r="FQ112" s="50"/>
      <c r="FR112" s="50"/>
      <c r="FS112" s="50"/>
      <c r="FT112" s="50"/>
      <c r="FU112" s="50"/>
      <c r="FV112" s="50"/>
      <c r="FW112" s="50"/>
    </row>
    <row r="113" spans="1:180" ht="25.5" customHeight="1">
      <c r="A113" s="64" t="s">
        <v>936</v>
      </c>
      <c r="B113" s="64" t="s">
        <v>937</v>
      </c>
      <c r="C113" s="54" t="s">
        <v>938</v>
      </c>
      <c r="D113" s="71" t="s">
        <v>939</v>
      </c>
      <c r="E113" s="54" t="s">
        <v>63</v>
      </c>
      <c r="F113" s="54" t="s">
        <v>154</v>
      </c>
      <c r="G113" s="54"/>
      <c r="H113" s="54"/>
      <c r="I113" s="54"/>
      <c r="J113" s="54"/>
      <c r="K113" s="54"/>
      <c r="L113" s="54"/>
      <c r="M113" s="54"/>
      <c r="N113" s="54" t="s">
        <v>940</v>
      </c>
      <c r="O113" s="54"/>
      <c r="P113" s="54"/>
      <c r="Q113" s="54"/>
      <c r="R113" s="54"/>
      <c r="S113" s="54"/>
      <c r="T113" s="53" t="s">
        <v>110</v>
      </c>
      <c r="U113" s="53" t="s">
        <v>111</v>
      </c>
      <c r="V113" s="52" t="s">
        <v>122</v>
      </c>
      <c r="W113" s="52" t="s">
        <v>535</v>
      </c>
      <c r="X113" s="52"/>
      <c r="Y113" s="54" t="str">
        <f>"[" &amp; _xlfn.TEXTJOIN(", ", TRUE,
    IF(G113&lt;&gt;"", """" &amp; G$1 &amp; """", ""),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T113 &amp; """", ""),
    IF(U113&lt;&gt;"", """" &amp; U113 &amp; """", ""),
    IF(V113&lt;&gt;"", """" &amp; V113 &amp; """", ""),
    IF(W113&lt;&gt;"", """" &amp; W113 &amp; """", ""),
    IF(X113&lt;&gt;"", """" &amp; X113 &amp; """", "")
) &amp; "]"</f>
        <v>["ENA ERC32", "ENA Sample", "VJDB Sample", "Sample", "Clinical "]</v>
      </c>
      <c r="Z113" s="54"/>
      <c r="AA113" s="54"/>
      <c r="AB113" s="54"/>
      <c r="AC113" s="54"/>
      <c r="AD113" s="54"/>
      <c r="AE113" s="54"/>
      <c r="AF113" s="54"/>
      <c r="AG113" s="54"/>
      <c r="AH113" s="54"/>
      <c r="AI113" s="54"/>
      <c r="AJ113" s="54"/>
      <c r="AK113" s="54"/>
      <c r="AL113" s="54"/>
      <c r="AM113" s="54" t="s">
        <v>941</v>
      </c>
      <c r="AN113" s="54"/>
      <c r="AO113" s="54"/>
      <c r="AP113" s="54"/>
      <c r="AQ113" s="54"/>
      <c r="AR113" s="54"/>
      <c r="AS113" s="54" t="s">
        <v>236</v>
      </c>
      <c r="AT113" s="54" t="s">
        <v>236</v>
      </c>
      <c r="AU113" s="55" t="s">
        <v>942</v>
      </c>
      <c r="AV113" s="54" t="s">
        <v>210</v>
      </c>
      <c r="AW113" s="52" t="s">
        <v>76</v>
      </c>
      <c r="AX113" s="52" t="s">
        <v>132</v>
      </c>
      <c r="AY113" s="54"/>
      <c r="AZ113" s="54"/>
      <c r="BA113" s="54"/>
      <c r="FX113" s="59"/>
    </row>
    <row r="114" spans="1:180" ht="25.5" customHeight="1">
      <c r="A114" s="64" t="s">
        <v>943</v>
      </c>
      <c r="B114" s="64" t="s">
        <v>944</v>
      </c>
      <c r="C114" s="54" t="s">
        <v>945</v>
      </c>
      <c r="D114" s="71" t="s">
        <v>946</v>
      </c>
      <c r="E114" s="54" t="s">
        <v>63</v>
      </c>
      <c r="F114" s="54" t="s">
        <v>154</v>
      </c>
      <c r="G114" s="54"/>
      <c r="H114" s="54"/>
      <c r="I114" s="54"/>
      <c r="J114" s="54"/>
      <c r="K114" s="54"/>
      <c r="L114" s="54"/>
      <c r="M114" s="54"/>
      <c r="N114" s="54" t="s">
        <v>947</v>
      </c>
      <c r="O114" s="54"/>
      <c r="P114" s="54"/>
      <c r="Q114" s="54"/>
      <c r="R114" s="54"/>
      <c r="S114" s="54"/>
      <c r="T114" s="53" t="s">
        <v>110</v>
      </c>
      <c r="U114" s="53" t="s">
        <v>111</v>
      </c>
      <c r="V114" s="52" t="s">
        <v>122</v>
      </c>
      <c r="W114" s="52" t="s">
        <v>535</v>
      </c>
      <c r="X114" s="52"/>
      <c r="Y114" s="54" t="str">
        <f>"[" &amp; _xlfn.TEXTJOIN(", ", TRUE,
    IF(G114&lt;&gt;"", """" &amp; G$1 &amp; """", ""),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T114 &amp; """", ""),
    IF(U114&lt;&gt;"", """" &amp; U114 &amp; """", ""),
    IF(V114&lt;&gt;"", """" &amp; V114 &amp; """", ""),
    IF(W114&lt;&gt;"", """" &amp; W114 &amp; """", ""),
    IF(X114&lt;&gt;"", """" &amp; X114 &amp; """", "")
) &amp; "]"</f>
        <v>["ENA ERC32", "ENA Sample", "VJDB Sample", "Sample", "Clinical "]</v>
      </c>
      <c r="Z114" s="54"/>
      <c r="AA114" s="54"/>
      <c r="AB114" s="54"/>
      <c r="AC114" s="54"/>
      <c r="AD114" s="54"/>
      <c r="AE114" s="54"/>
      <c r="AF114" s="54"/>
      <c r="AG114" s="54"/>
      <c r="AH114" s="54"/>
      <c r="AI114" s="54"/>
      <c r="AJ114" s="54"/>
      <c r="AK114" s="54"/>
      <c r="AL114" s="54"/>
      <c r="AM114" s="54" t="s">
        <v>948</v>
      </c>
      <c r="AN114" s="54"/>
      <c r="AO114" s="54"/>
      <c r="AP114" s="54"/>
      <c r="AQ114" s="54"/>
      <c r="AR114" s="54"/>
      <c r="AS114" s="54" t="s">
        <v>236</v>
      </c>
      <c r="AT114" s="54" t="s">
        <v>236</v>
      </c>
      <c r="AU114" s="55" t="s">
        <v>893</v>
      </c>
      <c r="AV114" s="54" t="s">
        <v>393</v>
      </c>
      <c r="AW114" s="52" t="s">
        <v>76</v>
      </c>
      <c r="AX114" s="52" t="s">
        <v>132</v>
      </c>
      <c r="AY114" s="54"/>
      <c r="AZ114" s="54"/>
      <c r="BA114" s="54"/>
      <c r="FX114" s="59"/>
    </row>
    <row r="115" spans="1:180" ht="25.5" customHeight="1">
      <c r="A115" s="64" t="s">
        <v>949</v>
      </c>
      <c r="B115" s="64" t="s">
        <v>950</v>
      </c>
      <c r="C115" s="54" t="s">
        <v>951</v>
      </c>
      <c r="D115" s="71" t="s">
        <v>952</v>
      </c>
      <c r="E115" s="54" t="s">
        <v>63</v>
      </c>
      <c r="F115" s="54" t="s">
        <v>154</v>
      </c>
      <c r="G115" s="54"/>
      <c r="H115" s="54"/>
      <c r="I115" s="54"/>
      <c r="J115" s="54"/>
      <c r="K115" s="54"/>
      <c r="L115" s="54"/>
      <c r="M115" s="54"/>
      <c r="N115" s="54" t="s">
        <v>953</v>
      </c>
      <c r="O115" s="54"/>
      <c r="P115" s="54"/>
      <c r="Q115" s="54"/>
      <c r="R115" s="54"/>
      <c r="S115" s="54"/>
      <c r="T115" s="53" t="s">
        <v>110</v>
      </c>
      <c r="U115" s="53" t="s">
        <v>111</v>
      </c>
      <c r="V115" s="52" t="s">
        <v>122</v>
      </c>
      <c r="W115" s="52" t="s">
        <v>535</v>
      </c>
      <c r="X115" s="52"/>
      <c r="Y115" s="54" t="str">
        <f>"[" &amp; _xlfn.TEXTJOIN(", ", TRUE,
    IF(G115&lt;&gt;"", """" &amp; G$1 &amp; """", ""),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T115 &amp; """", ""),
    IF(U115&lt;&gt;"", """" &amp; U115 &amp; """", ""),
    IF(V115&lt;&gt;"", """" &amp; V115 &amp; """", ""),
    IF(W115&lt;&gt;"", """" &amp; W115 &amp; """", ""),
    IF(X115&lt;&gt;"", """" &amp; X115 &amp; """", "")
) &amp; "]"</f>
        <v>["ENA ERC32", "ENA Sample", "VJDB Sample", "Sample", "Clinical "]</v>
      </c>
      <c r="Z115" s="54"/>
      <c r="AA115" s="54" t="s">
        <v>351</v>
      </c>
      <c r="AB115" s="54"/>
      <c r="AC115" s="54"/>
      <c r="AD115" s="54"/>
      <c r="AE115" s="54"/>
      <c r="AF115" s="54"/>
      <c r="AG115" s="54"/>
      <c r="AH115" s="54"/>
      <c r="AI115" s="54"/>
      <c r="AJ115" s="54"/>
      <c r="AK115" s="54"/>
      <c r="AL115" s="54"/>
      <c r="AM115" s="54" t="s">
        <v>954</v>
      </c>
      <c r="AN115" s="54"/>
      <c r="AO115" s="54"/>
      <c r="AP115" s="54"/>
      <c r="AQ115" s="54"/>
      <c r="AR115" s="54"/>
      <c r="AS115" s="54" t="s">
        <v>236</v>
      </c>
      <c r="AT115" s="54" t="s">
        <v>236</v>
      </c>
      <c r="AU115" s="55"/>
      <c r="AV115" s="54" t="s">
        <v>210</v>
      </c>
      <c r="AW115" s="52" t="s">
        <v>76</v>
      </c>
      <c r="AX115" s="52" t="s">
        <v>132</v>
      </c>
      <c r="AY115" s="54"/>
      <c r="AZ115" s="54"/>
      <c r="BA115" s="54"/>
      <c r="FX115" s="59"/>
    </row>
    <row r="116" spans="1:180" ht="25.5" customHeight="1">
      <c r="A116" s="64" t="s">
        <v>955</v>
      </c>
      <c r="B116" s="64" t="s">
        <v>956</v>
      </c>
      <c r="C116" s="54" t="s">
        <v>957</v>
      </c>
      <c r="D116" s="71" t="s">
        <v>958</v>
      </c>
      <c r="E116" s="54" t="s">
        <v>76</v>
      </c>
      <c r="F116" s="54" t="s">
        <v>154</v>
      </c>
      <c r="G116" s="54"/>
      <c r="H116" s="54"/>
      <c r="I116" s="54"/>
      <c r="J116" s="54"/>
      <c r="K116" s="54"/>
      <c r="L116" s="54"/>
      <c r="M116" s="54"/>
      <c r="N116" s="54" t="s">
        <v>959</v>
      </c>
      <c r="O116" s="54"/>
      <c r="P116" s="54"/>
      <c r="Q116" s="54"/>
      <c r="R116" s="54"/>
      <c r="S116" s="54"/>
      <c r="T116" s="53" t="s">
        <v>110</v>
      </c>
      <c r="U116" s="53" t="s">
        <v>111</v>
      </c>
      <c r="V116" s="52" t="s">
        <v>122</v>
      </c>
      <c r="W116" s="52" t="s">
        <v>535</v>
      </c>
      <c r="X116" s="52"/>
      <c r="Y116" s="54" t="str">
        <f>"[" &amp; _xlfn.TEXTJOIN(", ", TRUE,
    IF(G116&lt;&gt;"", """" &amp; G$1 &amp; """", ""),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T116 &amp; """", ""),
    IF(U116&lt;&gt;"", """" &amp; U116 &amp; """", ""),
    IF(V116&lt;&gt;"", """" &amp; V116 &amp; """", ""),
    IF(W116&lt;&gt;"", """" &amp; W116 &amp; """", ""),
    IF(X116&lt;&gt;"", """" &amp; X116 &amp; """", "")
) &amp; "]"</f>
        <v>["ENA ERC32", "ENA Sample", "VJDB Sample", "Sample", "Clinical "]</v>
      </c>
      <c r="Z116" s="54"/>
      <c r="AA116" s="54" t="s">
        <v>351</v>
      </c>
      <c r="AB116" s="54"/>
      <c r="AC116" s="54"/>
      <c r="AD116" s="54"/>
      <c r="AE116" s="54"/>
      <c r="AF116" s="54"/>
      <c r="AG116" s="54"/>
      <c r="AH116" s="54"/>
      <c r="AI116" s="54"/>
      <c r="AJ116" s="54"/>
      <c r="AK116" s="54"/>
      <c r="AL116" s="54"/>
      <c r="AM116" s="54" t="s">
        <v>960</v>
      </c>
      <c r="AN116" s="54"/>
      <c r="AO116" s="54"/>
      <c r="AP116" s="54"/>
      <c r="AQ116" s="54"/>
      <c r="AR116" s="54"/>
      <c r="AS116" s="54" t="s">
        <v>236</v>
      </c>
      <c r="AT116" s="54" t="s">
        <v>236</v>
      </c>
      <c r="AU116" s="55"/>
      <c r="AV116" s="54" t="s">
        <v>210</v>
      </c>
      <c r="AW116" s="52" t="s">
        <v>76</v>
      </c>
      <c r="AX116" s="52" t="s">
        <v>132</v>
      </c>
      <c r="AY116" s="54"/>
      <c r="AZ116" s="54"/>
      <c r="BA116" s="54"/>
      <c r="FX116" s="59"/>
    </row>
    <row r="117" spans="1:180" ht="25.5" customHeight="1">
      <c r="A117" s="64" t="s">
        <v>961</v>
      </c>
      <c r="B117" s="64" t="s">
        <v>962</v>
      </c>
      <c r="C117" s="54" t="s">
        <v>963</v>
      </c>
      <c r="D117" s="71" t="s">
        <v>964</v>
      </c>
      <c r="E117" s="54" t="s">
        <v>76</v>
      </c>
      <c r="F117" s="54" t="s">
        <v>154</v>
      </c>
      <c r="G117" s="54"/>
      <c r="H117" s="54"/>
      <c r="I117" s="54"/>
      <c r="J117" s="54"/>
      <c r="K117" s="54"/>
      <c r="L117" s="54"/>
      <c r="M117" s="54"/>
      <c r="N117" s="54" t="s">
        <v>965</v>
      </c>
      <c r="O117" s="54"/>
      <c r="P117" s="54"/>
      <c r="Q117" s="54"/>
      <c r="R117" s="54"/>
      <c r="S117" s="54"/>
      <c r="T117" s="53" t="s">
        <v>110</v>
      </c>
      <c r="U117" s="53" t="s">
        <v>111</v>
      </c>
      <c r="V117" s="52" t="s">
        <v>122</v>
      </c>
      <c r="W117" s="52" t="s">
        <v>535</v>
      </c>
      <c r="X117" s="52"/>
      <c r="Y117" s="54" t="str">
        <f>"[" &amp; _xlfn.TEXTJOIN(", ", TRUE,
    IF(G117&lt;&gt;"", """" &amp; G$1 &amp; """", ""),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T117 &amp; """", ""),
    IF(U117&lt;&gt;"", """" &amp; U117 &amp; """", ""),
    IF(V117&lt;&gt;"", """" &amp; V117 &amp; """", ""),
    IF(W117&lt;&gt;"", """" &amp; W117 &amp; """", ""),
    IF(X117&lt;&gt;"", """" &amp; X117 &amp; """", "")
) &amp; "]"</f>
        <v>["ENA ERC32", "ENA Sample", "VJDB Sample", "Sample", "Clinical "]</v>
      </c>
      <c r="Z117" s="54"/>
      <c r="AA117" s="54" t="s">
        <v>351</v>
      </c>
      <c r="AB117" s="54"/>
      <c r="AC117" s="54"/>
      <c r="AD117" s="54"/>
      <c r="AE117" s="54"/>
      <c r="AF117" s="54"/>
      <c r="AG117" s="54"/>
      <c r="AH117" s="54"/>
      <c r="AI117" s="54"/>
      <c r="AJ117" s="54"/>
      <c r="AK117" s="54"/>
      <c r="AL117" s="54"/>
      <c r="AM117" s="54" t="s">
        <v>966</v>
      </c>
      <c r="AN117" s="54"/>
      <c r="AO117" s="54"/>
      <c r="AP117" s="54"/>
      <c r="AQ117" s="54"/>
      <c r="AR117" s="54"/>
      <c r="AS117" s="54" t="s">
        <v>236</v>
      </c>
      <c r="AT117" s="54" t="s">
        <v>236</v>
      </c>
      <c r="AU117" s="55"/>
      <c r="AV117" s="54" t="s">
        <v>210</v>
      </c>
      <c r="AW117" s="52" t="s">
        <v>148</v>
      </c>
      <c r="AX117" s="52" t="s">
        <v>149</v>
      </c>
      <c r="AY117" s="54"/>
      <c r="AZ117" s="54"/>
      <c r="BA117" s="54"/>
      <c r="FX117" s="59"/>
    </row>
    <row r="118" spans="1:180" ht="25.5" customHeight="1">
      <c r="A118" s="64" t="s">
        <v>967</v>
      </c>
      <c r="B118" s="64" t="s">
        <v>968</v>
      </c>
      <c r="C118" s="54" t="s">
        <v>969</v>
      </c>
      <c r="D118" s="71" t="s">
        <v>970</v>
      </c>
      <c r="E118" s="54" t="s">
        <v>63</v>
      </c>
      <c r="F118" s="54" t="s">
        <v>154</v>
      </c>
      <c r="G118" s="54"/>
      <c r="H118" s="54"/>
      <c r="I118" s="54"/>
      <c r="J118" s="54"/>
      <c r="K118" s="54"/>
      <c r="L118" s="54"/>
      <c r="M118" s="54"/>
      <c r="N118" s="54" t="s">
        <v>971</v>
      </c>
      <c r="O118" s="54"/>
      <c r="P118" s="54"/>
      <c r="Q118" s="54"/>
      <c r="R118" s="54"/>
      <c r="S118" s="54"/>
      <c r="T118" s="53" t="s">
        <v>110</v>
      </c>
      <c r="U118" s="53" t="s">
        <v>111</v>
      </c>
      <c r="V118" s="52" t="s">
        <v>587</v>
      </c>
      <c r="W118" s="52" t="s">
        <v>535</v>
      </c>
      <c r="X118" s="52"/>
      <c r="Y118" s="54" t="str">
        <f>"[" &amp; _xlfn.TEXTJOIN(", ", TRUE,
    IF(G118&lt;&gt;"", """" &amp; G$1 &amp; """", ""),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T118 &amp; """", ""),
    IF(U118&lt;&gt;"", """" &amp; U118 &amp; """", ""),
    IF(V118&lt;&gt;"", """" &amp; V118 &amp; """", ""),
    IF(W118&lt;&gt;"", """" &amp; W118 &amp; """", ""),
    IF(X118&lt;&gt;"", """" &amp; X118 &amp; """", "")
) &amp; "]"</f>
        <v>["ENA ERC32", "ENA Sample", "VJDB Sample", "Analysis", "Clinical "]</v>
      </c>
      <c r="Z118" s="54"/>
      <c r="AA118" s="54" t="s">
        <v>351</v>
      </c>
      <c r="AB118" s="54"/>
      <c r="AC118" s="54"/>
      <c r="AD118" s="54"/>
      <c r="AE118" s="54"/>
      <c r="AF118" s="54"/>
      <c r="AG118" s="54"/>
      <c r="AH118" s="54"/>
      <c r="AI118" s="54"/>
      <c r="AJ118" s="54"/>
      <c r="AK118" s="54"/>
      <c r="AL118" s="54"/>
      <c r="AM118" s="54" t="s">
        <v>972</v>
      </c>
      <c r="AN118" s="54"/>
      <c r="AO118" s="54"/>
      <c r="AP118" s="54"/>
      <c r="AQ118" s="54"/>
      <c r="AR118" s="54"/>
      <c r="AS118" s="54" t="s">
        <v>236</v>
      </c>
      <c r="AT118" s="54" t="s">
        <v>236</v>
      </c>
      <c r="AU118" s="55"/>
      <c r="AV118" s="54" t="s">
        <v>210</v>
      </c>
      <c r="AW118" s="52" t="s">
        <v>148</v>
      </c>
      <c r="AX118" s="52" t="s">
        <v>149</v>
      </c>
      <c r="AY118" s="54"/>
      <c r="AZ118" s="54"/>
      <c r="BA118" s="54"/>
      <c r="FX118" s="59"/>
    </row>
    <row r="119" spans="1:180" ht="25.5" customHeight="1">
      <c r="A119" s="64" t="s">
        <v>973</v>
      </c>
      <c r="B119" s="64" t="s">
        <v>974</v>
      </c>
      <c r="C119" s="54" t="s">
        <v>975</v>
      </c>
      <c r="D119" s="71" t="s">
        <v>976</v>
      </c>
      <c r="E119" s="54" t="s">
        <v>63</v>
      </c>
      <c r="F119" s="54" t="s">
        <v>154</v>
      </c>
      <c r="G119" s="54"/>
      <c r="H119" s="54"/>
      <c r="I119" s="54"/>
      <c r="J119" s="54"/>
      <c r="K119" s="54"/>
      <c r="L119" s="54"/>
      <c r="M119" s="54"/>
      <c r="N119" s="54" t="s">
        <v>977</v>
      </c>
      <c r="O119" s="54"/>
      <c r="P119" s="54"/>
      <c r="Q119" s="54"/>
      <c r="R119" s="54"/>
      <c r="S119" s="54"/>
      <c r="T119" s="53" t="s">
        <v>110</v>
      </c>
      <c r="U119" s="53" t="s">
        <v>111</v>
      </c>
      <c r="V119" s="52" t="s">
        <v>122</v>
      </c>
      <c r="W119" s="52" t="s">
        <v>535</v>
      </c>
      <c r="X119" s="52"/>
      <c r="Y119" s="54" t="str">
        <f>"[" &amp; _xlfn.TEXTJOIN(", ", TRUE,
    IF(G119&lt;&gt;"", """" &amp; G$1 &amp; """", ""),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T119 &amp; """", ""),
    IF(U119&lt;&gt;"", """" &amp; U119 &amp; """", ""),
    IF(V119&lt;&gt;"", """" &amp; V119 &amp; """", ""),
    IF(W119&lt;&gt;"", """" &amp; W119 &amp; """", ""),
    IF(X119&lt;&gt;"", """" &amp; X119 &amp; """", "")
) &amp; "]"</f>
        <v>["ENA ERC32", "ENA Sample", "VJDB Sample", "Sample", "Clinical "]</v>
      </c>
      <c r="Z119" s="54"/>
      <c r="AA119" s="54" t="s">
        <v>71</v>
      </c>
      <c r="AB119" s="54"/>
      <c r="AC119" s="54"/>
      <c r="AD119" s="54"/>
      <c r="AE119" s="54"/>
      <c r="AF119" s="54"/>
      <c r="AG119" s="54"/>
      <c r="AH119" s="54"/>
      <c r="AI119" s="54"/>
      <c r="AJ119" s="54"/>
      <c r="AK119" s="54"/>
      <c r="AL119" s="54"/>
      <c r="AM119" s="54" t="s">
        <v>978</v>
      </c>
      <c r="AN119" s="54"/>
      <c r="AO119" s="54"/>
      <c r="AP119" s="54"/>
      <c r="AQ119" s="54"/>
      <c r="AR119" s="54"/>
      <c r="AS119" s="54" t="s">
        <v>236</v>
      </c>
      <c r="AT119" s="54" t="s">
        <v>236</v>
      </c>
      <c r="AU119" s="55"/>
      <c r="AV119" s="54" t="s">
        <v>210</v>
      </c>
      <c r="AW119" s="52" t="s">
        <v>76</v>
      </c>
      <c r="AX119" s="52" t="s">
        <v>132</v>
      </c>
      <c r="AY119" s="54"/>
      <c r="AZ119" s="54"/>
      <c r="BA119" s="54"/>
      <c r="FX119" s="59"/>
    </row>
    <row r="120" spans="1:180" ht="25.5" customHeight="1">
      <c r="A120" s="64" t="s">
        <v>979</v>
      </c>
      <c r="B120" s="64" t="s">
        <v>980</v>
      </c>
      <c r="C120" s="54" t="s">
        <v>981</v>
      </c>
      <c r="D120" s="71" t="s">
        <v>982</v>
      </c>
      <c r="E120" s="54" t="s">
        <v>216</v>
      </c>
      <c r="F120" s="54" t="s">
        <v>154</v>
      </c>
      <c r="G120" s="54"/>
      <c r="H120" s="54"/>
      <c r="I120" s="54"/>
      <c r="J120" s="54"/>
      <c r="K120" s="54"/>
      <c r="L120" s="54"/>
      <c r="M120" s="54"/>
      <c r="N120" s="54" t="s">
        <v>983</v>
      </c>
      <c r="O120" s="54"/>
      <c r="P120" s="54"/>
      <c r="Q120" s="54"/>
      <c r="R120" s="54"/>
      <c r="S120" s="54"/>
      <c r="T120" s="53" t="s">
        <v>110</v>
      </c>
      <c r="U120" s="53" t="s">
        <v>111</v>
      </c>
      <c r="V120" s="52" t="s">
        <v>122</v>
      </c>
      <c r="W120" s="52" t="s">
        <v>535</v>
      </c>
      <c r="X120" s="52"/>
      <c r="Y120" s="54" t="str">
        <f>"[" &amp; _xlfn.TEXTJOIN(", ", TRUE,
    IF(G120&lt;&gt;"", """" &amp; G$1 &amp; """", ""),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T120 &amp; """", ""),
    IF(U120&lt;&gt;"", """" &amp; U120 &amp; """", ""),
    IF(V120&lt;&gt;"", """" &amp; V120 &amp; """", ""),
    IF(W120&lt;&gt;"", """" &amp; W120 &amp; """", ""),
    IF(X120&lt;&gt;"", """" &amp; X120 &amp; """", "")
) &amp; "]"</f>
        <v>["ENA ERC32", "ENA Sample", "VJDB Sample", "Sample", "Clinical "]</v>
      </c>
      <c r="Z120" s="54"/>
      <c r="AA120" s="54"/>
      <c r="AB120" s="54"/>
      <c r="AC120" s="54"/>
      <c r="AD120" s="54"/>
      <c r="AE120" s="54"/>
      <c r="AF120" s="54"/>
      <c r="AG120" s="54"/>
      <c r="AH120" s="54"/>
      <c r="AI120" s="54"/>
      <c r="AJ120" s="54"/>
      <c r="AK120" s="54"/>
      <c r="AL120" s="54"/>
      <c r="AM120" s="54" t="s">
        <v>984</v>
      </c>
      <c r="AN120" s="54"/>
      <c r="AO120" s="54"/>
      <c r="AP120" s="54"/>
      <c r="AQ120" s="54"/>
      <c r="AR120" s="54"/>
      <c r="AS120" s="54" t="s">
        <v>236</v>
      </c>
      <c r="AT120" s="54" t="s">
        <v>236</v>
      </c>
      <c r="AU120" s="55" t="s">
        <v>859</v>
      </c>
      <c r="AV120" s="54" t="s">
        <v>826</v>
      </c>
      <c r="AW120" s="52" t="s">
        <v>76</v>
      </c>
      <c r="AX120" s="52" t="s">
        <v>77</v>
      </c>
      <c r="AY120" s="54"/>
      <c r="AZ120" s="54"/>
      <c r="BA120" s="54"/>
      <c r="FX120" s="59"/>
    </row>
    <row r="121" spans="1:180" ht="25.5" customHeight="1">
      <c r="A121" s="64" t="s">
        <v>985</v>
      </c>
      <c r="B121" s="64" t="s">
        <v>986</v>
      </c>
      <c r="C121" s="54" t="s">
        <v>987</v>
      </c>
      <c r="D121" s="71" t="s">
        <v>988</v>
      </c>
      <c r="E121" s="54" t="s">
        <v>63</v>
      </c>
      <c r="F121" s="54" t="s">
        <v>154</v>
      </c>
      <c r="G121" s="54"/>
      <c r="H121" s="54"/>
      <c r="I121" s="54"/>
      <c r="J121" s="54"/>
      <c r="K121" s="54"/>
      <c r="L121" s="54"/>
      <c r="M121" s="54"/>
      <c r="N121" s="54" t="s">
        <v>989</v>
      </c>
      <c r="O121" s="54" t="s">
        <v>989</v>
      </c>
      <c r="P121" s="54"/>
      <c r="Q121" s="54"/>
      <c r="R121" s="54"/>
      <c r="S121" s="54"/>
      <c r="T121" s="53" t="s">
        <v>110</v>
      </c>
      <c r="U121" s="53" t="s">
        <v>111</v>
      </c>
      <c r="V121" s="52" t="s">
        <v>122</v>
      </c>
      <c r="W121" s="52" t="s">
        <v>535</v>
      </c>
      <c r="X121" s="52"/>
      <c r="Y121" s="54" t="str">
        <f>"[" &amp; _xlfn.TEXTJOIN(", ", TRUE,
    IF(G121&lt;&gt;"", """" &amp; G$1 &amp; """", ""),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T121 &amp; """", ""),
    IF(U121&lt;&gt;"", """" &amp; U121 &amp; """", ""),
    IF(V121&lt;&gt;"", """" &amp; V121 &amp; """", ""),
    IF(W121&lt;&gt;"", """" &amp; W121 &amp; """", ""),
    IF(X121&lt;&gt;"", """" &amp; X121 &amp; """", "")
) &amp; "]"</f>
        <v>["ENA ERC32", "ENA ERC33", "ENA Sample", "VJDB Sample", "Sample", "Clinical "]</v>
      </c>
      <c r="Z121" s="54"/>
      <c r="AA121" s="54"/>
      <c r="AB121" s="54"/>
      <c r="AC121" s="54"/>
      <c r="AD121" s="54"/>
      <c r="AE121" s="54"/>
      <c r="AF121" s="54"/>
      <c r="AG121" s="54"/>
      <c r="AH121" s="54"/>
      <c r="AI121" s="54"/>
      <c r="AJ121" s="54"/>
      <c r="AK121" s="54"/>
      <c r="AL121" s="54"/>
      <c r="AM121" s="54" t="s">
        <v>990</v>
      </c>
      <c r="AN121" s="54"/>
      <c r="AO121" s="54"/>
      <c r="AP121" s="54" t="s">
        <v>990</v>
      </c>
      <c r="AQ121" s="54"/>
      <c r="AR121" s="54" t="s">
        <v>129</v>
      </c>
      <c r="AS121" s="54" t="s">
        <v>236</v>
      </c>
      <c r="AT121" s="54" t="s">
        <v>236</v>
      </c>
      <c r="AU121" s="55" t="s">
        <v>991</v>
      </c>
      <c r="AV121" s="54" t="s">
        <v>992</v>
      </c>
      <c r="AW121" s="52" t="s">
        <v>76</v>
      </c>
      <c r="AX121" s="52" t="s">
        <v>77</v>
      </c>
      <c r="AY121" s="54"/>
      <c r="AZ121" s="54"/>
      <c r="BA121" s="54"/>
      <c r="FX121" s="59"/>
    </row>
    <row r="122" spans="1:180" ht="25.5" customHeight="1">
      <c r="A122" s="64" t="s">
        <v>993</v>
      </c>
      <c r="B122" s="64" t="s">
        <v>994</v>
      </c>
      <c r="C122" s="54" t="s">
        <v>995</v>
      </c>
      <c r="D122" s="71" t="s">
        <v>996</v>
      </c>
      <c r="E122" s="54" t="s">
        <v>63</v>
      </c>
      <c r="F122" s="54" t="s">
        <v>154</v>
      </c>
      <c r="G122" s="54"/>
      <c r="H122" s="54"/>
      <c r="I122" s="54"/>
      <c r="J122" s="54"/>
      <c r="K122" s="54"/>
      <c r="L122" s="54"/>
      <c r="M122" s="54"/>
      <c r="N122" s="54" t="s">
        <v>804</v>
      </c>
      <c r="O122" s="54" t="s">
        <v>804</v>
      </c>
      <c r="P122" s="54"/>
      <c r="Q122" s="54"/>
      <c r="R122" s="54"/>
      <c r="S122" s="54"/>
      <c r="T122" s="53" t="s">
        <v>110</v>
      </c>
      <c r="U122" s="53" t="s">
        <v>111</v>
      </c>
      <c r="V122" s="52" t="s">
        <v>122</v>
      </c>
      <c r="W122" s="52" t="s">
        <v>535</v>
      </c>
      <c r="X122" s="52"/>
      <c r="Y122" s="54" t="str">
        <f>"[" &amp; _xlfn.TEXTJOIN(", ", TRUE,
    IF(G122&lt;&gt;"", """" &amp; G$1 &amp; """", ""),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T122 &amp; """", ""),
    IF(U122&lt;&gt;"", """" &amp; U122 &amp; """", ""),
    IF(V122&lt;&gt;"", """" &amp; V122 &amp; """", ""),
    IF(W122&lt;&gt;"", """" &amp; W122 &amp; """", ""),
    IF(X122&lt;&gt;"", """" &amp; X122 &amp; """", "")
) &amp; "]"</f>
        <v>["ENA ERC32", "ENA ERC33", "ENA Sample", "VJDB Sample", "Sample", "Clinical "]</v>
      </c>
      <c r="Z122" s="54"/>
      <c r="AA122" s="54"/>
      <c r="AB122" s="54"/>
      <c r="AC122" s="54"/>
      <c r="AD122" s="54"/>
      <c r="AE122" s="54"/>
      <c r="AF122" s="54"/>
      <c r="AG122" s="54"/>
      <c r="AH122" s="54"/>
      <c r="AI122" s="54"/>
      <c r="AJ122" s="54"/>
      <c r="AK122" s="54"/>
      <c r="AL122" s="54"/>
      <c r="AM122" s="54" t="s">
        <v>997</v>
      </c>
      <c r="AN122" s="54"/>
      <c r="AO122" s="54"/>
      <c r="AP122" s="54" t="s">
        <v>997</v>
      </c>
      <c r="AQ122" s="54"/>
      <c r="AR122" s="54" t="s">
        <v>145</v>
      </c>
      <c r="AS122" s="54" t="s">
        <v>186</v>
      </c>
      <c r="AT122" s="54" t="s">
        <v>186</v>
      </c>
      <c r="AU122" s="55" t="s">
        <v>998</v>
      </c>
      <c r="AV122" s="54" t="s">
        <v>393</v>
      </c>
      <c r="AW122" s="52" t="s">
        <v>148</v>
      </c>
      <c r="AX122" s="52" t="s">
        <v>149</v>
      </c>
      <c r="AY122" s="54"/>
      <c r="AZ122" s="54"/>
      <c r="BA122" s="54"/>
      <c r="FX122" s="59"/>
    </row>
    <row r="123" spans="1:180" ht="25.5" customHeight="1">
      <c r="A123" s="64" t="s">
        <v>999</v>
      </c>
      <c r="B123" s="64" t="s">
        <v>1000</v>
      </c>
      <c r="C123" s="54" t="s">
        <v>1001</v>
      </c>
      <c r="D123" s="71" t="s">
        <v>1002</v>
      </c>
      <c r="E123" s="54" t="s">
        <v>63</v>
      </c>
      <c r="F123" s="54" t="s">
        <v>154</v>
      </c>
      <c r="G123" s="54"/>
      <c r="H123" s="54"/>
      <c r="I123" s="54"/>
      <c r="J123" s="54"/>
      <c r="K123" s="54"/>
      <c r="L123" s="54"/>
      <c r="M123" s="54"/>
      <c r="N123" s="54" t="s">
        <v>1003</v>
      </c>
      <c r="O123" s="54" t="s">
        <v>1003</v>
      </c>
      <c r="P123" s="54"/>
      <c r="Q123" s="54"/>
      <c r="R123" s="54"/>
      <c r="S123" s="54"/>
      <c r="T123" s="53" t="s">
        <v>110</v>
      </c>
      <c r="U123" s="53" t="s">
        <v>111</v>
      </c>
      <c r="V123" s="52" t="s">
        <v>122</v>
      </c>
      <c r="W123" s="52" t="s">
        <v>535</v>
      </c>
      <c r="X123" s="52"/>
      <c r="Y123" s="54" t="str">
        <f>"[" &amp; _xlfn.TEXTJOIN(", ", TRUE,
    IF(G123&lt;&gt;"", """" &amp; G$1 &amp; """", ""),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T123 &amp; """", ""),
    IF(U123&lt;&gt;"", """" &amp; U123 &amp; """", ""),
    IF(V123&lt;&gt;"", """" &amp; V123 &amp; """", ""),
    IF(W123&lt;&gt;"", """" &amp; W123 &amp; """", ""),
    IF(X123&lt;&gt;"", """" &amp; X123 &amp; """", "")
) &amp; "]"</f>
        <v>["ENA ERC32", "ENA ERC33", "ENA Sample", "VJDB Sample", "Sample", "Clinical "]</v>
      </c>
      <c r="Z123" s="54"/>
      <c r="AA123" s="54" t="s">
        <v>351</v>
      </c>
      <c r="AB123" s="54"/>
      <c r="AC123" s="54"/>
      <c r="AD123" s="54"/>
      <c r="AE123" s="54"/>
      <c r="AF123" s="54"/>
      <c r="AG123" s="54"/>
      <c r="AH123" s="54"/>
      <c r="AI123" s="54"/>
      <c r="AJ123" s="54"/>
      <c r="AK123" s="54"/>
      <c r="AL123" s="54"/>
      <c r="AM123" s="54" t="s">
        <v>1004</v>
      </c>
      <c r="AN123" s="54"/>
      <c r="AO123" s="54"/>
      <c r="AP123" s="54" t="s">
        <v>1005</v>
      </c>
      <c r="AQ123" s="54"/>
      <c r="AR123" s="54" t="s">
        <v>129</v>
      </c>
      <c r="AS123" s="54" t="s">
        <v>236</v>
      </c>
      <c r="AT123" s="54" t="s">
        <v>236</v>
      </c>
      <c r="AU123" s="55"/>
      <c r="AV123" s="54" t="s">
        <v>210</v>
      </c>
      <c r="AW123" s="52" t="s">
        <v>76</v>
      </c>
      <c r="AX123" s="52" t="s">
        <v>132</v>
      </c>
      <c r="AY123" s="54"/>
      <c r="AZ123" s="54"/>
      <c r="BA123" s="54"/>
      <c r="FX123" s="59"/>
    </row>
    <row r="124" spans="1:180" ht="25.5" customHeight="1">
      <c r="A124" s="64" t="s">
        <v>1006</v>
      </c>
      <c r="B124" s="64" t="s">
        <v>1007</v>
      </c>
      <c r="C124" s="54" t="s">
        <v>1008</v>
      </c>
      <c r="D124" s="71" t="s">
        <v>1009</v>
      </c>
      <c r="E124" s="54" t="s">
        <v>76</v>
      </c>
      <c r="F124" s="54" t="s">
        <v>154</v>
      </c>
      <c r="G124" s="54"/>
      <c r="H124" s="54"/>
      <c r="I124" s="54"/>
      <c r="J124" s="54"/>
      <c r="K124" s="54"/>
      <c r="L124" s="54"/>
      <c r="M124" s="54"/>
      <c r="N124" s="54" t="s">
        <v>1007</v>
      </c>
      <c r="O124" s="54" t="s">
        <v>1007</v>
      </c>
      <c r="P124" s="54"/>
      <c r="Q124" s="54"/>
      <c r="R124" s="54"/>
      <c r="S124" s="54"/>
      <c r="T124" s="53" t="s">
        <v>110</v>
      </c>
      <c r="U124" s="53" t="s">
        <v>111</v>
      </c>
      <c r="V124" s="52" t="s">
        <v>122</v>
      </c>
      <c r="W124" s="52" t="s">
        <v>535</v>
      </c>
      <c r="X124" s="52"/>
      <c r="Y124" s="54" t="str">
        <f>"[" &amp; _xlfn.TEXTJOIN(", ", TRUE,
    IF(G124&lt;&gt;"", """" &amp; G$1 &amp; """", ""),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T124 &amp; """", ""),
    IF(U124&lt;&gt;"", """" &amp; U124 &amp; """", ""),
    IF(V124&lt;&gt;"", """" &amp; V124 &amp; """", ""),
    IF(W124&lt;&gt;"", """" &amp; W124 &amp; """", ""),
    IF(X124&lt;&gt;"", """" &amp; X124 &amp; """", "")
) &amp; "]"</f>
        <v>["ENA ERC32", "ENA ERC33", "ENA Sample", "VJDB Sample", "Sample", "Clinical "]</v>
      </c>
      <c r="Z124" s="54"/>
      <c r="AA124" s="54" t="s">
        <v>71</v>
      </c>
      <c r="AB124" s="54"/>
      <c r="AC124" s="54"/>
      <c r="AD124" s="54"/>
      <c r="AE124" s="54"/>
      <c r="AF124" s="54"/>
      <c r="AG124" s="54"/>
      <c r="AH124" s="54"/>
      <c r="AI124" s="54"/>
      <c r="AJ124" s="54"/>
      <c r="AK124" s="54"/>
      <c r="AL124" s="54"/>
      <c r="AM124" s="54" t="s">
        <v>1010</v>
      </c>
      <c r="AN124" s="54"/>
      <c r="AO124" s="54"/>
      <c r="AP124" s="54" t="s">
        <v>1010</v>
      </c>
      <c r="AQ124" s="54"/>
      <c r="AR124" s="54" t="s">
        <v>385</v>
      </c>
      <c r="AS124" s="54" t="s">
        <v>236</v>
      </c>
      <c r="AT124" s="54" t="s">
        <v>236</v>
      </c>
      <c r="AU124" s="55"/>
      <c r="AV124" s="54" t="s">
        <v>210</v>
      </c>
      <c r="AW124" s="52" t="s">
        <v>900</v>
      </c>
      <c r="AX124" s="52" t="s">
        <v>132</v>
      </c>
      <c r="AY124" s="54"/>
      <c r="AZ124" s="54"/>
      <c r="BA124" s="54"/>
      <c r="FX124" s="59"/>
    </row>
    <row r="125" spans="1:180" ht="25.5" customHeight="1">
      <c r="A125" s="64" t="s">
        <v>1011</v>
      </c>
      <c r="B125" s="64" t="s">
        <v>1012</v>
      </c>
      <c r="C125" s="54" t="s">
        <v>1013</v>
      </c>
      <c r="D125" s="71" t="s">
        <v>1014</v>
      </c>
      <c r="E125" s="54" t="s">
        <v>63</v>
      </c>
      <c r="F125" s="54" t="s">
        <v>154</v>
      </c>
      <c r="G125" s="54"/>
      <c r="H125" s="54"/>
      <c r="I125" s="54"/>
      <c r="J125" s="54"/>
      <c r="K125" s="54"/>
      <c r="L125" s="54"/>
      <c r="M125" s="54"/>
      <c r="N125" s="54" t="s">
        <v>1015</v>
      </c>
      <c r="O125" s="54"/>
      <c r="P125" s="54"/>
      <c r="Q125" s="54"/>
      <c r="R125" s="54"/>
      <c r="S125" s="54"/>
      <c r="T125" s="53" t="s">
        <v>110</v>
      </c>
      <c r="U125" s="53" t="s">
        <v>111</v>
      </c>
      <c r="V125" s="52" t="s">
        <v>122</v>
      </c>
      <c r="W125" s="52" t="s">
        <v>535</v>
      </c>
      <c r="X125" s="52"/>
      <c r="Y125" s="54" t="str">
        <f>"[" &amp; _xlfn.TEXTJOIN(", ", TRUE,
    IF(G125&lt;&gt;"", """" &amp; G$1 &amp; """", ""),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T125 &amp; """", ""),
    IF(U125&lt;&gt;"", """" &amp; U125 &amp; """", ""),
    IF(V125&lt;&gt;"", """" &amp; V125 &amp; """", ""),
    IF(W125&lt;&gt;"", """" &amp; W125 &amp; """", ""),
    IF(X125&lt;&gt;"", """" &amp; X125 &amp; """", "")
) &amp; "]"</f>
        <v>["ENA ERC32", "ENA Sample", "VJDB Sample", "Sample", "Clinical "]</v>
      </c>
      <c r="Z125" s="54"/>
      <c r="AA125" s="54"/>
      <c r="AB125" s="54"/>
      <c r="AC125" s="54"/>
      <c r="AD125" s="54"/>
      <c r="AE125" s="54"/>
      <c r="AF125" s="54"/>
      <c r="AG125" s="54"/>
      <c r="AH125" s="54"/>
      <c r="AI125" s="54"/>
      <c r="AJ125" s="54"/>
      <c r="AK125" s="54"/>
      <c r="AL125" s="54"/>
      <c r="AM125" s="54" t="s">
        <v>1016</v>
      </c>
      <c r="AN125" s="54"/>
      <c r="AO125" s="54"/>
      <c r="AP125" s="54"/>
      <c r="AQ125" s="54"/>
      <c r="AR125" s="54"/>
      <c r="AS125" s="54" t="s">
        <v>236</v>
      </c>
      <c r="AT125" s="54" t="s">
        <v>236</v>
      </c>
      <c r="AU125" s="55" t="s">
        <v>1017</v>
      </c>
      <c r="AV125" s="54" t="s">
        <v>393</v>
      </c>
      <c r="AW125" s="52" t="s">
        <v>148</v>
      </c>
      <c r="AX125" s="52" t="s">
        <v>149</v>
      </c>
      <c r="AY125" s="54"/>
      <c r="AZ125" s="54"/>
      <c r="BA125" s="54"/>
      <c r="FX125" s="59"/>
    </row>
    <row r="126" spans="1:180" ht="25.5" customHeight="1">
      <c r="A126" s="64" t="s">
        <v>1018</v>
      </c>
      <c r="B126" s="64" t="s">
        <v>1019</v>
      </c>
      <c r="C126" s="54" t="s">
        <v>1020</v>
      </c>
      <c r="D126" s="71" t="s">
        <v>1021</v>
      </c>
      <c r="E126" s="54" t="s">
        <v>76</v>
      </c>
      <c r="F126" s="54" t="s">
        <v>64</v>
      </c>
      <c r="G126" s="54"/>
      <c r="H126" s="54"/>
      <c r="I126" s="54"/>
      <c r="J126" s="54"/>
      <c r="K126" s="54"/>
      <c r="L126" s="54"/>
      <c r="M126" s="54" t="s">
        <v>1020</v>
      </c>
      <c r="N126" s="54" t="s">
        <v>1019</v>
      </c>
      <c r="O126" s="54" t="s">
        <v>1019</v>
      </c>
      <c r="P126" s="54"/>
      <c r="Q126" s="54"/>
      <c r="R126" s="54"/>
      <c r="S126" s="54"/>
      <c r="T126" s="53" t="s">
        <v>110</v>
      </c>
      <c r="U126" s="53" t="s">
        <v>111</v>
      </c>
      <c r="V126" s="52" t="s">
        <v>122</v>
      </c>
      <c r="W126" s="52" t="s">
        <v>233</v>
      </c>
      <c r="X126" s="52"/>
      <c r="Y126" s="54" t="str">
        <f>"[" &amp; _xlfn.TEXTJOIN(", ", TRUE,
    IF(G126&lt;&gt;"", """" &amp; G$1 &amp; """", ""),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T126 &amp; """", ""),
    IF(U126&lt;&gt;"", """" &amp; U126 &amp; """", ""),
    IF(V126&lt;&gt;"", """" &amp; V126 &amp; """", ""),
    IF(W126&lt;&gt;"", """" &amp; W126 &amp; """", ""),
    IF(X126&lt;&gt;"", """" &amp; X126 &amp; """", "")
) &amp; "]"</f>
        <v>["BV-BRC", "ENA ERC32", "ENA ERC33", "ENA Sample", "VJDB Sample", "Sample", "Virus Info"]</v>
      </c>
      <c r="Z126" s="54" t="s">
        <v>359</v>
      </c>
      <c r="AA126" s="54" t="s">
        <v>351</v>
      </c>
      <c r="AB126" s="54"/>
      <c r="AC126" s="54"/>
      <c r="AD126" s="54"/>
      <c r="AE126" s="54"/>
      <c r="AF126" s="54"/>
      <c r="AG126" s="54"/>
      <c r="AH126" s="54"/>
      <c r="AI126" s="54" t="s">
        <v>1019</v>
      </c>
      <c r="AJ126" s="54"/>
      <c r="AK126" s="54"/>
      <c r="AL126" s="54"/>
      <c r="AM126" s="54" t="s">
        <v>1022</v>
      </c>
      <c r="AN126" s="54"/>
      <c r="AO126" s="54"/>
      <c r="AP126" s="54" t="s">
        <v>1022</v>
      </c>
      <c r="AQ126" s="54"/>
      <c r="AR126" s="54" t="s">
        <v>129</v>
      </c>
      <c r="AS126" s="54" t="s">
        <v>236</v>
      </c>
      <c r="AT126" s="54" t="s">
        <v>236</v>
      </c>
      <c r="AU126" s="55"/>
      <c r="AV126" s="54" t="s">
        <v>210</v>
      </c>
      <c r="AW126" s="52" t="s">
        <v>76</v>
      </c>
      <c r="AX126" s="52" t="s">
        <v>132</v>
      </c>
      <c r="AY126" s="54"/>
      <c r="AZ126" s="54"/>
      <c r="BA126" s="54"/>
      <c r="FX126" s="59"/>
    </row>
    <row r="127" spans="1:180" ht="25.5" customHeight="1">
      <c r="A127" s="64" t="s">
        <v>1023</v>
      </c>
      <c r="B127" s="64" t="s">
        <v>1024</v>
      </c>
      <c r="C127" s="54" t="s">
        <v>1025</v>
      </c>
      <c r="D127" s="71" t="s">
        <v>1026</v>
      </c>
      <c r="E127" s="54" t="s">
        <v>76</v>
      </c>
      <c r="F127" s="54" t="s">
        <v>154</v>
      </c>
      <c r="G127" s="54"/>
      <c r="H127" s="54"/>
      <c r="I127" s="54"/>
      <c r="J127" s="54"/>
      <c r="K127" s="54"/>
      <c r="L127" s="54"/>
      <c r="M127" s="54"/>
      <c r="N127" s="54" t="s">
        <v>1027</v>
      </c>
      <c r="O127" s="54" t="s">
        <v>1027</v>
      </c>
      <c r="P127" s="54"/>
      <c r="Q127" s="54"/>
      <c r="R127" s="54"/>
      <c r="S127" s="54"/>
      <c r="T127" s="53" t="s">
        <v>99</v>
      </c>
      <c r="U127" s="53" t="s">
        <v>270</v>
      </c>
      <c r="V127" s="52" t="s">
        <v>68</v>
      </c>
      <c r="W127" s="52" t="s">
        <v>1028</v>
      </c>
      <c r="X127" s="52"/>
      <c r="Y127" s="54" t="str">
        <f>"[" &amp; _xlfn.TEXTJOIN(", ", TRUE,
    IF(G127&lt;&gt;"", """" &amp; G$1 &amp; """", ""),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T127 &amp; """", ""),
    IF(U127&lt;&gt;"", """" &amp; U127 &amp; """", ""),
    IF(V127&lt;&gt;"", """" &amp; V127 &amp; """", ""),
    IF(W127&lt;&gt;"", """" &amp; W127 &amp; """", ""),
    IF(X127&lt;&gt;"", """" &amp; X127 &amp; """", "")
) &amp; "]"</f>
        <v>["ENA ERC32", "ENA ERC33", "ENA Study", "VJDB Study", "Organizational", "Study"]</v>
      </c>
      <c r="Z127" s="54"/>
      <c r="AA127" s="54" t="s">
        <v>71</v>
      </c>
      <c r="AB127" s="54"/>
      <c r="AC127" s="54"/>
      <c r="AD127" s="54"/>
      <c r="AE127" s="54"/>
      <c r="AF127" s="54"/>
      <c r="AG127" s="54"/>
      <c r="AH127" s="54"/>
      <c r="AI127" s="54"/>
      <c r="AJ127" s="54"/>
      <c r="AK127" s="54"/>
      <c r="AL127" s="54"/>
      <c r="AM127" s="54" t="s">
        <v>1029</v>
      </c>
      <c r="AN127" s="54"/>
      <c r="AO127" s="54"/>
      <c r="AP127" s="54" t="s">
        <v>1029</v>
      </c>
      <c r="AQ127" s="54"/>
      <c r="AR127" s="54" t="s">
        <v>385</v>
      </c>
      <c r="AS127" s="54" t="s">
        <v>236</v>
      </c>
      <c r="AT127" s="54" t="s">
        <v>101</v>
      </c>
      <c r="AU127" s="55"/>
      <c r="AV127" s="54" t="s">
        <v>210</v>
      </c>
      <c r="AW127" s="52" t="s">
        <v>900</v>
      </c>
      <c r="AX127" s="52" t="s">
        <v>132</v>
      </c>
      <c r="AY127" s="54"/>
      <c r="AZ127" s="54"/>
      <c r="BA127" s="54"/>
      <c r="FX127" s="59"/>
    </row>
    <row r="128" spans="1:180" ht="25.5" customHeight="1">
      <c r="A128" s="64" t="s">
        <v>1030</v>
      </c>
      <c r="B128" s="64" t="s">
        <v>1031</v>
      </c>
      <c r="C128" s="54" t="s">
        <v>1032</v>
      </c>
      <c r="D128" s="71" t="s">
        <v>1033</v>
      </c>
      <c r="E128" s="54" t="s">
        <v>76</v>
      </c>
      <c r="F128" s="54" t="s">
        <v>154</v>
      </c>
      <c r="G128" s="54"/>
      <c r="H128" s="54"/>
      <c r="I128" s="54"/>
      <c r="J128" s="54"/>
      <c r="K128" s="54"/>
      <c r="L128" s="54"/>
      <c r="M128" s="54"/>
      <c r="N128" s="54" t="s">
        <v>1034</v>
      </c>
      <c r="O128" s="54" t="s">
        <v>1034</v>
      </c>
      <c r="P128" s="54"/>
      <c r="Q128" s="54"/>
      <c r="R128" s="54"/>
      <c r="S128" s="54"/>
      <c r="T128" s="53" t="s">
        <v>110</v>
      </c>
      <c r="U128" s="53" t="s">
        <v>111</v>
      </c>
      <c r="V128" s="52" t="s">
        <v>122</v>
      </c>
      <c r="W128" s="52" t="s">
        <v>535</v>
      </c>
      <c r="X128" s="52"/>
      <c r="Y128" s="54" t="str">
        <f>"[" &amp; _xlfn.TEXTJOIN(", ", TRUE,
    IF(G128&lt;&gt;"", """" &amp; G$1 &amp; """", ""),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T128 &amp; """", ""),
    IF(U128&lt;&gt;"", """" &amp; U128 &amp; """", ""),
    IF(V128&lt;&gt;"", """" &amp; V128 &amp; """", ""),
    IF(W128&lt;&gt;"", """" &amp; W128 &amp; """", ""),
    IF(X128&lt;&gt;"", """" &amp; X128 &amp; """", "")
) &amp; "]"</f>
        <v>["ENA ERC32", "ENA ERC33", "ENA Sample", "VJDB Sample", "Sample", "Clinical "]</v>
      </c>
      <c r="Z128" s="54"/>
      <c r="AA128" s="54"/>
      <c r="AB128" s="54"/>
      <c r="AC128" s="54"/>
      <c r="AD128" s="54"/>
      <c r="AE128" s="54"/>
      <c r="AF128" s="54"/>
      <c r="AG128" s="54"/>
      <c r="AH128" s="54"/>
      <c r="AI128" s="54"/>
      <c r="AJ128" s="54"/>
      <c r="AK128" s="54"/>
      <c r="AL128" s="54"/>
      <c r="AM128" s="54" t="s">
        <v>1035</v>
      </c>
      <c r="AN128" s="54"/>
      <c r="AO128" s="54"/>
      <c r="AP128" s="54" t="s">
        <v>1035</v>
      </c>
      <c r="AQ128" s="54"/>
      <c r="AR128" s="54" t="s">
        <v>129</v>
      </c>
      <c r="AS128" s="54" t="s">
        <v>236</v>
      </c>
      <c r="AT128" s="54" t="s">
        <v>236</v>
      </c>
      <c r="AU128" s="54" t="s">
        <v>1036</v>
      </c>
      <c r="AV128" s="54" t="s">
        <v>992</v>
      </c>
      <c r="AW128" s="52" t="s">
        <v>76</v>
      </c>
      <c r="AX128" s="52" t="s">
        <v>77</v>
      </c>
      <c r="AY128" s="54"/>
      <c r="AZ128" s="54"/>
      <c r="BA128" s="54"/>
      <c r="FX128" s="59"/>
    </row>
    <row r="129" spans="1:180" ht="25.5" customHeight="1">
      <c r="A129" s="64" t="s">
        <v>1037</v>
      </c>
      <c r="B129" s="64" t="s">
        <v>1038</v>
      </c>
      <c r="C129" s="54" t="s">
        <v>1039</v>
      </c>
      <c r="D129" s="71" t="s">
        <v>1040</v>
      </c>
      <c r="E129" s="54" t="s">
        <v>254</v>
      </c>
      <c r="F129" s="54" t="s">
        <v>154</v>
      </c>
      <c r="G129" s="54"/>
      <c r="H129" s="54"/>
      <c r="I129" s="54"/>
      <c r="J129" s="54"/>
      <c r="K129" s="54"/>
      <c r="L129" s="54"/>
      <c r="M129" s="54"/>
      <c r="N129" s="54" t="s">
        <v>1041</v>
      </c>
      <c r="O129" s="54" t="s">
        <v>1041</v>
      </c>
      <c r="P129" s="54"/>
      <c r="Q129" s="54"/>
      <c r="R129" s="54"/>
      <c r="S129" s="54"/>
      <c r="T129" s="53" t="s">
        <v>110</v>
      </c>
      <c r="U129" s="53" t="s">
        <v>111</v>
      </c>
      <c r="V129" s="52" t="s">
        <v>122</v>
      </c>
      <c r="W129" s="52" t="s">
        <v>535</v>
      </c>
      <c r="X129" s="52"/>
      <c r="Y129" s="54" t="str">
        <f>"[" &amp; _xlfn.TEXTJOIN(", ", TRUE,
    IF(G129&lt;&gt;"", """" &amp; G$1 &amp; """", ""),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T129 &amp; """", ""),
    IF(U129&lt;&gt;"", """" &amp; U129 &amp; """", ""),
    IF(V129&lt;&gt;"", """" &amp; V129 &amp; """", ""),
    IF(W129&lt;&gt;"", """" &amp; W129 &amp; """", ""),
    IF(X129&lt;&gt;"", """" &amp; X129 &amp; """", "")
) &amp; "]"</f>
        <v>["ENA ERC32", "ENA ERC33", "ENA Sample", "VJDB Sample", "Sample", "Clinical "]</v>
      </c>
      <c r="Z129" s="54"/>
      <c r="AA129" s="54"/>
      <c r="AB129" s="54"/>
      <c r="AC129" s="54"/>
      <c r="AD129" s="54"/>
      <c r="AE129" s="54"/>
      <c r="AF129" s="54"/>
      <c r="AG129" s="54"/>
      <c r="AH129" s="54"/>
      <c r="AI129" s="54"/>
      <c r="AJ129" s="54"/>
      <c r="AK129" s="54"/>
      <c r="AL129" s="54"/>
      <c r="AM129" s="54" t="s">
        <v>1042</v>
      </c>
      <c r="AN129" s="54"/>
      <c r="AO129" s="54"/>
      <c r="AP129" s="54" t="s">
        <v>1043</v>
      </c>
      <c r="AQ129" s="54"/>
      <c r="AR129" s="54" t="s">
        <v>129</v>
      </c>
      <c r="AS129" s="54" t="s">
        <v>236</v>
      </c>
      <c r="AT129" s="54" t="s">
        <v>236</v>
      </c>
      <c r="AU129" s="55" t="s">
        <v>1044</v>
      </c>
      <c r="AV129" s="54" t="s">
        <v>1045</v>
      </c>
      <c r="AW129" s="52" t="s">
        <v>76</v>
      </c>
      <c r="AX129" s="52" t="s">
        <v>77</v>
      </c>
      <c r="AY129" s="54"/>
      <c r="AZ129" s="54"/>
      <c r="BA129" s="54"/>
      <c r="FX129" s="59"/>
    </row>
    <row r="130" spans="1:180" ht="25.5" customHeight="1">
      <c r="A130" s="64" t="s">
        <v>1046</v>
      </c>
      <c r="B130" s="64" t="s">
        <v>1047</v>
      </c>
      <c r="C130" s="54" t="s">
        <v>1048</v>
      </c>
      <c r="D130" s="71" t="s">
        <v>1049</v>
      </c>
      <c r="E130" s="54" t="s">
        <v>76</v>
      </c>
      <c r="F130" s="54" t="s">
        <v>154</v>
      </c>
      <c r="G130" s="54"/>
      <c r="H130" s="54"/>
      <c r="I130" s="54"/>
      <c r="J130" s="54"/>
      <c r="K130" s="54"/>
      <c r="L130" s="54"/>
      <c r="M130" s="54"/>
      <c r="N130" s="54" t="s">
        <v>1050</v>
      </c>
      <c r="O130" s="54" t="s">
        <v>1050</v>
      </c>
      <c r="P130" s="54"/>
      <c r="Q130" s="54"/>
      <c r="R130" s="54"/>
      <c r="S130" s="54"/>
      <c r="T130" s="53" t="s">
        <v>99</v>
      </c>
      <c r="U130" s="53" t="s">
        <v>270</v>
      </c>
      <c r="V130" s="52" t="s">
        <v>68</v>
      </c>
      <c r="W130" s="52" t="s">
        <v>1028</v>
      </c>
      <c r="X130" s="52"/>
      <c r="Y130" s="54" t="str">
        <f>"[" &amp; _xlfn.TEXTJOIN(", ", TRUE,
    IF(G130&lt;&gt;"", """" &amp; G$1 &amp; """", ""),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T130 &amp; """", ""),
    IF(U130&lt;&gt;"", """" &amp; U130 &amp; """", ""),
    IF(V130&lt;&gt;"", """" &amp; V130 &amp; """", ""),
    IF(W130&lt;&gt;"", """" &amp; W130 &amp; """", ""),
    IF(X130&lt;&gt;"", """" &amp; X130 &amp; """", "")
) &amp; "]"</f>
        <v>["ENA ERC32", "ENA ERC33", "ENA Study", "VJDB Study", "Organizational", "Study"]</v>
      </c>
      <c r="Z130" s="54"/>
      <c r="AA130" s="54" t="s">
        <v>71</v>
      </c>
      <c r="AB130" s="54"/>
      <c r="AC130" s="54"/>
      <c r="AD130" s="54"/>
      <c r="AE130" s="54"/>
      <c r="AF130" s="54"/>
      <c r="AG130" s="54"/>
      <c r="AH130" s="54"/>
      <c r="AI130" s="54"/>
      <c r="AJ130" s="54"/>
      <c r="AK130" s="54"/>
      <c r="AL130" s="54"/>
      <c r="AM130" s="54" t="s">
        <v>1051</v>
      </c>
      <c r="AN130" s="54"/>
      <c r="AO130" s="54"/>
      <c r="AP130" s="54" t="s">
        <v>1051</v>
      </c>
      <c r="AQ130" s="54"/>
      <c r="AR130" s="54" t="s">
        <v>129</v>
      </c>
      <c r="AS130" s="54" t="s">
        <v>101</v>
      </c>
      <c r="AT130" s="54" t="s">
        <v>101</v>
      </c>
      <c r="AU130" s="55"/>
      <c r="AV130" s="54" t="s">
        <v>210</v>
      </c>
      <c r="AW130" s="52" t="s">
        <v>76</v>
      </c>
      <c r="AX130" s="52" t="s">
        <v>132</v>
      </c>
      <c r="AY130" s="54"/>
      <c r="AZ130" s="54"/>
      <c r="BA130" s="54"/>
      <c r="FX130" s="59"/>
    </row>
    <row r="131" spans="1:180" ht="25.5" customHeight="1">
      <c r="A131" s="64" t="s">
        <v>1052</v>
      </c>
      <c r="B131" s="64" t="s">
        <v>1053</v>
      </c>
      <c r="C131" s="54" t="s">
        <v>1054</v>
      </c>
      <c r="D131" s="71" t="s">
        <v>1055</v>
      </c>
      <c r="E131" s="54" t="s">
        <v>76</v>
      </c>
      <c r="F131" s="54" t="s">
        <v>154</v>
      </c>
      <c r="G131" s="54"/>
      <c r="H131" s="54"/>
      <c r="I131" s="54"/>
      <c r="J131" s="54"/>
      <c r="K131" s="54"/>
      <c r="L131" s="54"/>
      <c r="M131" s="54"/>
      <c r="N131" s="54" t="s">
        <v>1050</v>
      </c>
      <c r="O131" s="54" t="s">
        <v>1050</v>
      </c>
      <c r="P131" s="54"/>
      <c r="Q131" s="54"/>
      <c r="R131" s="54"/>
      <c r="S131" s="54"/>
      <c r="T131" s="53" t="s">
        <v>731</v>
      </c>
      <c r="U131" s="53" t="s">
        <v>732</v>
      </c>
      <c r="V131" s="52" t="s">
        <v>68</v>
      </c>
      <c r="W131" s="52" t="s">
        <v>1028</v>
      </c>
      <c r="X131" s="52"/>
      <c r="Y131" s="54" t="str">
        <f>"[" &amp; _xlfn.TEXTJOIN(", ", TRUE,
    IF(G131&lt;&gt;"", """" &amp; G$1 &amp; """", ""),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T131 &amp; """", ""),
    IF(U131&lt;&gt;"", """" &amp; U131 &amp; """", ""),
    IF(V131&lt;&gt;"", """" &amp; V131 &amp; """", ""),
    IF(W131&lt;&gt;"", """" &amp; W131 &amp; """", ""),
    IF(X131&lt;&gt;"", """" &amp; X131 &amp; """", "")
) &amp; "]"</f>
        <v>["ENA ERC32", "ENA ERC33", "ENA Experiment", "VJDB Experiment", "Organizational", "Study"]</v>
      </c>
      <c r="Z131" s="54"/>
      <c r="AA131" s="54" t="s">
        <v>71</v>
      </c>
      <c r="AB131" s="54"/>
      <c r="AC131" s="54"/>
      <c r="AD131" s="54"/>
      <c r="AE131" s="54"/>
      <c r="AF131" s="54"/>
      <c r="AG131" s="54"/>
      <c r="AH131" s="54"/>
      <c r="AI131" s="54"/>
      <c r="AJ131" s="54"/>
      <c r="AK131" s="54"/>
      <c r="AL131" s="54"/>
      <c r="AM131" s="54" t="s">
        <v>1056</v>
      </c>
      <c r="AN131" s="54"/>
      <c r="AO131" s="54"/>
      <c r="AP131" s="54" t="s">
        <v>1057</v>
      </c>
      <c r="AQ131" s="54"/>
      <c r="AR131" s="54" t="s">
        <v>129</v>
      </c>
      <c r="AS131" s="54" t="s">
        <v>101</v>
      </c>
      <c r="AT131" s="54" t="s">
        <v>101</v>
      </c>
      <c r="AU131" s="55"/>
      <c r="AV131" s="54" t="s">
        <v>210</v>
      </c>
      <c r="AW131" s="52" t="s">
        <v>76</v>
      </c>
      <c r="AX131" s="52" t="s">
        <v>132</v>
      </c>
      <c r="AY131" s="54"/>
      <c r="AZ131" s="54"/>
      <c r="BA131" s="54"/>
      <c r="FX131" s="59"/>
    </row>
    <row r="132" spans="1:180" ht="25.5" customHeight="1">
      <c r="A132" s="64" t="s">
        <v>1058</v>
      </c>
      <c r="B132" s="64" t="s">
        <v>1059</v>
      </c>
      <c r="C132" s="54" t="s">
        <v>1060</v>
      </c>
      <c r="D132" s="71" t="s">
        <v>1061</v>
      </c>
      <c r="E132" s="54" t="s">
        <v>76</v>
      </c>
      <c r="F132" s="54" t="s">
        <v>154</v>
      </c>
      <c r="G132" s="54"/>
      <c r="H132" s="54"/>
      <c r="I132" s="54"/>
      <c r="J132" s="54"/>
      <c r="K132" s="54"/>
      <c r="L132" s="54"/>
      <c r="M132" s="54"/>
      <c r="N132" s="54" t="s">
        <v>1050</v>
      </c>
      <c r="O132" s="54" t="s">
        <v>1050</v>
      </c>
      <c r="P132" s="54"/>
      <c r="Q132" s="54"/>
      <c r="R132" s="54"/>
      <c r="S132" s="54"/>
      <c r="T132" s="53" t="s">
        <v>110</v>
      </c>
      <c r="U132" s="53" t="s">
        <v>111</v>
      </c>
      <c r="V132" s="52" t="s">
        <v>68</v>
      </c>
      <c r="W132" s="52" t="s">
        <v>1028</v>
      </c>
      <c r="X132" s="52"/>
      <c r="Y132" s="54" t="str">
        <f>"[" &amp; _xlfn.TEXTJOIN(", ", TRUE,
    IF(G132&lt;&gt;"", """" &amp; G$1 &amp; """", ""),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T132 &amp; """", ""),
    IF(U132&lt;&gt;"", """" &amp; U132 &amp; """", ""),
    IF(V132&lt;&gt;"", """" &amp; V132 &amp; """", ""),
    IF(W132&lt;&gt;"", """" &amp; W132 &amp; """", ""),
    IF(X132&lt;&gt;"", """" &amp; X132 &amp; """", "")
) &amp; "]"</f>
        <v>["ENA ERC32", "ENA ERC33", "ENA Sample", "VJDB Sample", "Organizational", "Study"]</v>
      </c>
      <c r="Z132" s="54"/>
      <c r="AA132" s="54" t="s">
        <v>71</v>
      </c>
      <c r="AB132" s="54"/>
      <c r="AC132" s="54"/>
      <c r="AD132" s="54"/>
      <c r="AE132" s="54"/>
      <c r="AF132" s="54"/>
      <c r="AG132" s="54"/>
      <c r="AH132" s="54"/>
      <c r="AI132" s="54"/>
      <c r="AJ132" s="54"/>
      <c r="AK132" s="54"/>
      <c r="AL132" s="54"/>
      <c r="AM132" s="54" t="s">
        <v>1062</v>
      </c>
      <c r="AN132" s="54"/>
      <c r="AO132" s="54"/>
      <c r="AP132" s="54" t="s">
        <v>1062</v>
      </c>
      <c r="AQ132" s="54"/>
      <c r="AR132" s="54" t="s">
        <v>129</v>
      </c>
      <c r="AS132" s="54" t="s">
        <v>101</v>
      </c>
      <c r="AT132" s="54" t="s">
        <v>101</v>
      </c>
      <c r="AU132" s="55"/>
      <c r="AV132" s="54" t="s">
        <v>210</v>
      </c>
      <c r="AW132" s="52" t="s">
        <v>76</v>
      </c>
      <c r="AX132" s="52" t="s">
        <v>132</v>
      </c>
      <c r="AY132" s="54"/>
      <c r="AZ132" s="54"/>
      <c r="BA132" s="54"/>
      <c r="FX132" s="59"/>
    </row>
    <row r="133" spans="1:180" ht="25.5" customHeight="1">
      <c r="A133" s="64" t="s">
        <v>1063</v>
      </c>
      <c r="B133" s="64" t="s">
        <v>1064</v>
      </c>
      <c r="C133" s="54" t="s">
        <v>1065</v>
      </c>
      <c r="D133" s="71" t="s">
        <v>1066</v>
      </c>
      <c r="E133" s="54" t="s">
        <v>76</v>
      </c>
      <c r="F133" s="54" t="s">
        <v>154</v>
      </c>
      <c r="G133" s="54"/>
      <c r="H133" s="54"/>
      <c r="I133" s="54"/>
      <c r="J133" s="54"/>
      <c r="K133" s="54"/>
      <c r="L133" s="54"/>
      <c r="M133" s="54"/>
      <c r="N133" s="54" t="s">
        <v>1067</v>
      </c>
      <c r="O133" s="54" t="s">
        <v>1067</v>
      </c>
      <c r="P133" s="54"/>
      <c r="Q133" s="54"/>
      <c r="R133" s="54"/>
      <c r="S133" s="54"/>
      <c r="T133" s="53" t="s">
        <v>110</v>
      </c>
      <c r="U133" s="53" t="s">
        <v>111</v>
      </c>
      <c r="V133" s="52" t="s">
        <v>122</v>
      </c>
      <c r="W133" s="52" t="s">
        <v>535</v>
      </c>
      <c r="X133" s="52"/>
      <c r="Y133" s="54" t="str">
        <f>"[" &amp; _xlfn.TEXTJOIN(", ", TRUE,
    IF(G133&lt;&gt;"", """" &amp; G$1 &amp; """", ""),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T133 &amp; """", ""),
    IF(U133&lt;&gt;"", """" &amp; U133 &amp; """", ""),
    IF(V133&lt;&gt;"", """" &amp; V133 &amp; """", ""),
    IF(W133&lt;&gt;"", """" &amp; W133 &amp; """", ""),
    IF(X133&lt;&gt;"", """" &amp; X133 &amp; """", "")
) &amp; "]"</f>
        <v>["ENA ERC32", "ENA ERC33", "ENA Sample", "VJDB Sample", "Sample", "Clinical "]</v>
      </c>
      <c r="Z133" s="54"/>
      <c r="AA133" s="54"/>
      <c r="AB133" s="54"/>
      <c r="AC133" s="54"/>
      <c r="AD133" s="54"/>
      <c r="AE133" s="54"/>
      <c r="AF133" s="54"/>
      <c r="AG133" s="54"/>
      <c r="AH133" s="54"/>
      <c r="AI133" s="54"/>
      <c r="AJ133" s="54"/>
      <c r="AK133" s="54"/>
      <c r="AL133" s="54"/>
      <c r="AM133" s="54" t="s">
        <v>1068</v>
      </c>
      <c r="AN133" s="54"/>
      <c r="AO133" s="54"/>
      <c r="AP133" s="54" t="s">
        <v>1068</v>
      </c>
      <c r="AQ133" s="54"/>
      <c r="AR133" s="54" t="s">
        <v>129</v>
      </c>
      <c r="AS133" s="54" t="s">
        <v>236</v>
      </c>
      <c r="AT133" s="54" t="s">
        <v>236</v>
      </c>
      <c r="AU133" s="55" t="s">
        <v>1069</v>
      </c>
      <c r="AV133" s="54" t="s">
        <v>1070</v>
      </c>
      <c r="AW133" s="54" t="s">
        <v>76</v>
      </c>
      <c r="AX133" s="54" t="s">
        <v>77</v>
      </c>
      <c r="AY133" s="54"/>
      <c r="AZ133" s="54"/>
      <c r="BA133" s="54"/>
    </row>
    <row r="134" spans="1:180" ht="25.5" customHeight="1">
      <c r="A134" s="64" t="s">
        <v>1071</v>
      </c>
      <c r="B134" s="64" t="s">
        <v>1072</v>
      </c>
      <c r="C134" s="54" t="s">
        <v>1073</v>
      </c>
      <c r="D134" s="71" t="s">
        <v>1074</v>
      </c>
      <c r="E134" s="54" t="s">
        <v>254</v>
      </c>
      <c r="F134" s="54" t="s">
        <v>154</v>
      </c>
      <c r="G134" s="54"/>
      <c r="H134" s="54"/>
      <c r="I134" s="54"/>
      <c r="J134" s="54"/>
      <c r="K134" s="54"/>
      <c r="L134" s="54"/>
      <c r="M134" s="54"/>
      <c r="N134" s="54" t="s">
        <v>1075</v>
      </c>
      <c r="O134" s="54"/>
      <c r="P134" s="54"/>
      <c r="Q134" s="54"/>
      <c r="R134" s="54"/>
      <c r="S134" s="54"/>
      <c r="T134" s="53" t="s">
        <v>110</v>
      </c>
      <c r="U134" s="53" t="s">
        <v>111</v>
      </c>
      <c r="V134" s="52" t="s">
        <v>122</v>
      </c>
      <c r="W134" s="52" t="s">
        <v>535</v>
      </c>
      <c r="X134" s="52"/>
      <c r="Y134" s="54" t="str">
        <f>"["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["ENA ERC32", "ENA Sample", "VJDB Sample", "Sample", "Clinical "]</v>
      </c>
      <c r="Z134" s="54"/>
      <c r="AA134" s="54"/>
      <c r="AB134" s="54"/>
      <c r="AC134" s="54"/>
      <c r="AD134" s="54"/>
      <c r="AE134" s="54"/>
      <c r="AF134" s="54"/>
      <c r="AG134" s="54"/>
      <c r="AH134" s="54"/>
      <c r="AI134" s="54"/>
      <c r="AJ134" s="54"/>
      <c r="AK134" s="54"/>
      <c r="AL134" s="54"/>
      <c r="AM134" s="54" t="s">
        <v>1076</v>
      </c>
      <c r="AN134" s="52"/>
      <c r="AO134" s="52"/>
      <c r="AP134" s="52"/>
      <c r="AQ134" s="52"/>
      <c r="AR134" s="52"/>
      <c r="AS134" s="54" t="s">
        <v>236</v>
      </c>
      <c r="AT134" s="54" t="s">
        <v>236</v>
      </c>
      <c r="AU134" s="55" t="s">
        <v>1077</v>
      </c>
      <c r="AV134" s="54" t="s">
        <v>852</v>
      </c>
      <c r="AW134" s="52" t="s">
        <v>76</v>
      </c>
      <c r="AX134" s="52" t="s">
        <v>132</v>
      </c>
      <c r="AY134" s="54"/>
      <c r="AZ134" s="54"/>
      <c r="BA134" s="54"/>
    </row>
    <row r="135" spans="1:180" ht="25.5" customHeight="1">
      <c r="A135" s="64" t="s">
        <v>1078</v>
      </c>
      <c r="B135" s="64" t="s">
        <v>1079</v>
      </c>
      <c r="C135" s="54" t="s">
        <v>1080</v>
      </c>
      <c r="D135" s="71" t="s">
        <v>1081</v>
      </c>
      <c r="E135" s="54" t="s">
        <v>63</v>
      </c>
      <c r="F135" s="54" t="s">
        <v>154</v>
      </c>
      <c r="G135" s="54"/>
      <c r="H135" s="54"/>
      <c r="I135" s="54"/>
      <c r="J135" s="54"/>
      <c r="K135" s="54"/>
      <c r="L135" s="54"/>
      <c r="M135" s="54"/>
      <c r="N135" s="54" t="s">
        <v>1082</v>
      </c>
      <c r="O135" s="54"/>
      <c r="P135" s="54"/>
      <c r="Q135" s="54"/>
      <c r="R135" s="54"/>
      <c r="S135" s="54"/>
      <c r="T135" s="53" t="s">
        <v>110</v>
      </c>
      <c r="U135" s="53" t="s">
        <v>111</v>
      </c>
      <c r="V135" s="52" t="s">
        <v>122</v>
      </c>
      <c r="W135" s="52" t="s">
        <v>535</v>
      </c>
      <c r="X135" s="52"/>
      <c r="Y135" s="54" t="str">
        <f>"[" &amp; _xlfn.TEXTJOIN(", ", TRUE,
    IF(G135&lt;&gt;"", """" &amp; G$1 &amp; """", ""),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T135 &amp; """", ""),
    IF(U135&lt;&gt;"", """" &amp; U135 &amp; """", ""),
    IF(V135&lt;&gt;"", """" &amp; V135 &amp; """", ""),
    IF(W135&lt;&gt;"", """" &amp; W135 &amp; """", ""),
    IF(X135&lt;&gt;"", """" &amp; X135 &amp; """", "")
) &amp; "]"</f>
        <v>["ENA ERC32", "ENA Sample", "VJDB Sample", "Sample", "Clinical "]</v>
      </c>
      <c r="Z135" s="54"/>
      <c r="AA135" s="54" t="s">
        <v>351</v>
      </c>
      <c r="AB135" s="54"/>
      <c r="AC135" s="54"/>
      <c r="AD135" s="54"/>
      <c r="AE135" s="54"/>
      <c r="AF135" s="54"/>
      <c r="AG135" s="54"/>
      <c r="AH135" s="54"/>
      <c r="AI135" s="54"/>
      <c r="AJ135" s="54"/>
      <c r="AK135" s="54"/>
      <c r="AL135" s="54"/>
      <c r="AM135" s="54" t="s">
        <v>1083</v>
      </c>
      <c r="AN135" s="52"/>
      <c r="AO135" s="52"/>
      <c r="AP135" s="52"/>
      <c r="AQ135" s="52"/>
      <c r="AR135" s="52"/>
      <c r="AS135" s="54" t="s">
        <v>236</v>
      </c>
      <c r="AT135" s="54" t="s">
        <v>236</v>
      </c>
      <c r="AU135" s="55"/>
      <c r="AV135" s="54" t="s">
        <v>210</v>
      </c>
      <c r="AW135" s="52" t="s">
        <v>76</v>
      </c>
      <c r="AX135" s="52" t="s">
        <v>132</v>
      </c>
      <c r="AY135" s="54"/>
      <c r="AZ135" s="54"/>
      <c r="BA135" s="54"/>
    </row>
    <row r="136" spans="1:180" ht="25.5" customHeight="1">
      <c r="A136" s="64" t="s">
        <v>1084</v>
      </c>
      <c r="B136" s="64" t="s">
        <v>1085</v>
      </c>
      <c r="C136" s="54" t="s">
        <v>1086</v>
      </c>
      <c r="D136" s="71" t="s">
        <v>1087</v>
      </c>
      <c r="E136" s="54" t="s">
        <v>76</v>
      </c>
      <c r="F136" s="54" t="s">
        <v>154</v>
      </c>
      <c r="G136" s="54"/>
      <c r="H136" s="54"/>
      <c r="I136" s="54"/>
      <c r="J136" s="54"/>
      <c r="K136" s="54"/>
      <c r="L136" s="54"/>
      <c r="M136" s="54"/>
      <c r="N136" s="54" t="s">
        <v>1088</v>
      </c>
      <c r="O136" s="54"/>
      <c r="P136" s="54"/>
      <c r="Q136" s="54"/>
      <c r="R136" s="54"/>
      <c r="S136" s="54"/>
      <c r="T136" s="53" t="s">
        <v>110</v>
      </c>
      <c r="U136" s="53" t="s">
        <v>111</v>
      </c>
      <c r="V136" s="52" t="s">
        <v>122</v>
      </c>
      <c r="W136" s="52" t="s">
        <v>535</v>
      </c>
      <c r="X136" s="52"/>
      <c r="Y136" s="54" t="str">
        <f>"[" &amp; _xlfn.TEXTJOIN(", ", TRUE,
    IF(G136&lt;&gt;"", """" &amp; G$1 &amp; """", ""),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T136 &amp; """", ""),
    IF(U136&lt;&gt;"", """" &amp; U136 &amp; """", ""),
    IF(V136&lt;&gt;"", """" &amp; V136 &amp; """", ""),
    IF(W136&lt;&gt;"", """" &amp; W136 &amp; """", ""),
    IF(X136&lt;&gt;"", """" &amp; X136 &amp; """", "")
) &amp; "]"</f>
        <v>["ENA ERC32", "ENA Sample", "VJDB Sample", "Sample", "Clinical "]</v>
      </c>
      <c r="Z136" s="54"/>
      <c r="AA136" s="54" t="s">
        <v>351</v>
      </c>
      <c r="AB136" s="54"/>
      <c r="AC136" s="54"/>
      <c r="AD136" s="54"/>
      <c r="AE136" s="54"/>
      <c r="AF136" s="54"/>
      <c r="AG136" s="54"/>
      <c r="AH136" s="54"/>
      <c r="AI136" s="54"/>
      <c r="AJ136" s="54"/>
      <c r="AK136" s="54"/>
      <c r="AL136" s="54"/>
      <c r="AM136" s="54" t="s">
        <v>1089</v>
      </c>
      <c r="AN136" s="52"/>
      <c r="AO136" s="52"/>
      <c r="AP136" s="52"/>
      <c r="AQ136" s="52"/>
      <c r="AR136" s="52"/>
      <c r="AS136" s="54" t="s">
        <v>236</v>
      </c>
      <c r="AT136" s="54" t="s">
        <v>236</v>
      </c>
      <c r="AU136" s="55"/>
      <c r="AV136" s="54" t="s">
        <v>210</v>
      </c>
      <c r="AW136" s="52" t="s">
        <v>76</v>
      </c>
      <c r="AX136" s="52" t="s">
        <v>132</v>
      </c>
      <c r="AY136" s="54"/>
      <c r="AZ136" s="54"/>
      <c r="BA136" s="54"/>
    </row>
    <row r="137" spans="1:180" ht="25.5" customHeight="1">
      <c r="A137" s="64" t="s">
        <v>1090</v>
      </c>
      <c r="B137" s="64" t="s">
        <v>1091</v>
      </c>
      <c r="C137" s="54" t="s">
        <v>1092</v>
      </c>
      <c r="D137" s="71" t="s">
        <v>1093</v>
      </c>
      <c r="E137" s="54" t="s">
        <v>76</v>
      </c>
      <c r="F137" s="54" t="s">
        <v>154</v>
      </c>
      <c r="G137" s="54"/>
      <c r="H137" s="54"/>
      <c r="I137" s="54"/>
      <c r="J137" s="54"/>
      <c r="K137" s="54"/>
      <c r="L137" s="54"/>
      <c r="M137" s="54"/>
      <c r="N137" s="54" t="s">
        <v>1094</v>
      </c>
      <c r="O137" s="54"/>
      <c r="P137" s="54"/>
      <c r="Q137" s="54"/>
      <c r="R137" s="54"/>
      <c r="S137" s="54"/>
      <c r="T137" s="53" t="s">
        <v>110</v>
      </c>
      <c r="U137" s="53" t="s">
        <v>111</v>
      </c>
      <c r="V137" s="52" t="s">
        <v>122</v>
      </c>
      <c r="W137" s="52" t="s">
        <v>535</v>
      </c>
      <c r="X137" s="52"/>
      <c r="Y137" s="54" t="str">
        <f>"[" &amp; _xlfn.TEXTJOIN(", ", TRUE,
    IF(G137&lt;&gt;"", """" &amp; G$1 &amp; """", ""),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T137 &amp; """", ""),
    IF(U137&lt;&gt;"", """" &amp; U137 &amp; """", ""),
    IF(V137&lt;&gt;"", """" &amp; V137 &amp; """", ""),
    IF(W137&lt;&gt;"", """" &amp; W137 &amp; """", ""),
    IF(X137&lt;&gt;"", """" &amp; X137 &amp; """", "")
) &amp; "]"</f>
        <v>["ENA ERC32", "ENA Sample", "VJDB Sample", "Sample", "Clinical "]</v>
      </c>
      <c r="Z137" s="54"/>
      <c r="AA137" s="54"/>
      <c r="AB137" s="54"/>
      <c r="AC137" s="54"/>
      <c r="AD137" s="54"/>
      <c r="AE137" s="54"/>
      <c r="AF137" s="54"/>
      <c r="AG137" s="54"/>
      <c r="AH137" s="54"/>
      <c r="AI137" s="54"/>
      <c r="AJ137" s="54"/>
      <c r="AK137" s="54"/>
      <c r="AL137" s="54"/>
      <c r="AM137" s="54" t="s">
        <v>1095</v>
      </c>
      <c r="AN137" s="52"/>
      <c r="AO137" s="52"/>
      <c r="AP137" s="52"/>
      <c r="AQ137" s="52"/>
      <c r="AR137" s="52"/>
      <c r="AS137" s="54" t="s">
        <v>236</v>
      </c>
      <c r="AT137" s="54" t="s">
        <v>236</v>
      </c>
      <c r="AU137" s="55" t="s">
        <v>1096</v>
      </c>
      <c r="AV137" s="54" t="s">
        <v>210</v>
      </c>
      <c r="AW137" s="52" t="s">
        <v>76</v>
      </c>
      <c r="AX137" s="52" t="s">
        <v>132</v>
      </c>
      <c r="AY137" s="54"/>
      <c r="AZ137" s="54"/>
      <c r="BA137" s="54"/>
    </row>
    <row r="138" spans="1:180" ht="25.5" customHeight="1">
      <c r="A138" s="64" t="s">
        <v>1097</v>
      </c>
      <c r="B138" s="64" t="s">
        <v>1098</v>
      </c>
      <c r="C138" s="54" t="s">
        <v>1099</v>
      </c>
      <c r="D138" s="71" t="s">
        <v>1100</v>
      </c>
      <c r="E138" s="54" t="s">
        <v>76</v>
      </c>
      <c r="F138" s="54" t="s">
        <v>154</v>
      </c>
      <c r="G138" s="54"/>
      <c r="H138" s="54"/>
      <c r="I138" s="54"/>
      <c r="J138" s="54"/>
      <c r="K138" s="54"/>
      <c r="L138" s="54"/>
      <c r="M138" s="54"/>
      <c r="N138" s="54"/>
      <c r="O138" s="54"/>
      <c r="P138" s="54"/>
      <c r="Q138" s="54"/>
      <c r="R138" s="54"/>
      <c r="S138" s="54"/>
      <c r="T138" s="54"/>
      <c r="U138" s="54"/>
      <c r="V138" s="52" t="s">
        <v>122</v>
      </c>
      <c r="W138" s="52" t="s">
        <v>535</v>
      </c>
      <c r="X138" s="52"/>
      <c r="Y138" s="54" t="str">
        <f>"[" &amp; _xlfn.TEXTJOIN(", ", TRUE,
    IF(G138&lt;&gt;"", """" &amp; G$1 &amp; """", ""),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T138 &amp; """", ""),
    IF(U138&lt;&gt;"", """" &amp; U138 &amp; """", ""),
    IF(V138&lt;&gt;"", """" &amp; V138 &amp; """", ""),
    IF(W138&lt;&gt;"", """" &amp; W138 &amp; """", ""),
    IF(X138&lt;&gt;"", """" &amp; X138 &amp; """", "")
) &amp; "]"</f>
        <v>["Sample", "Clinical "]</v>
      </c>
      <c r="Z138" s="54"/>
      <c r="AA138" s="54" t="s">
        <v>71</v>
      </c>
      <c r="AB138" s="54"/>
      <c r="AC138" s="54"/>
      <c r="AD138" s="54"/>
      <c r="AE138" s="54"/>
      <c r="AF138" s="54"/>
      <c r="AG138" s="54"/>
      <c r="AH138" s="54"/>
      <c r="AI138" s="54"/>
      <c r="AJ138" s="54"/>
      <c r="AK138" s="54"/>
      <c r="AL138" s="54"/>
      <c r="AM138" s="54"/>
      <c r="AN138" s="54"/>
      <c r="AO138" s="54"/>
      <c r="AP138" s="54"/>
      <c r="AQ138" s="54"/>
      <c r="AR138" s="54"/>
      <c r="AS138" s="54"/>
      <c r="AT138" s="54"/>
      <c r="AU138" s="55"/>
      <c r="AV138" s="54"/>
      <c r="AW138" s="54"/>
      <c r="AX138" s="54"/>
      <c r="AY138" s="54"/>
      <c r="AZ138" s="54"/>
      <c r="BA138" s="54"/>
    </row>
    <row r="139" spans="1:180" ht="25.5" customHeight="1">
      <c r="A139" s="64" t="s">
        <v>1101</v>
      </c>
      <c r="B139" s="64" t="s">
        <v>1102</v>
      </c>
      <c r="C139" s="54" t="s">
        <v>1103</v>
      </c>
      <c r="D139" s="71" t="s">
        <v>1104</v>
      </c>
      <c r="E139" s="54" t="s">
        <v>63</v>
      </c>
      <c r="F139" s="54" t="s">
        <v>154</v>
      </c>
      <c r="G139" s="54"/>
      <c r="H139" s="54"/>
      <c r="I139" s="54"/>
      <c r="J139" s="54"/>
      <c r="K139" s="54"/>
      <c r="L139" s="54"/>
      <c r="M139" s="54"/>
      <c r="N139" s="54"/>
      <c r="O139" s="54"/>
      <c r="P139" s="54"/>
      <c r="Q139" s="54"/>
      <c r="R139" s="54"/>
      <c r="S139" s="54"/>
      <c r="T139" s="54"/>
      <c r="U139" s="54"/>
      <c r="V139" s="52" t="s">
        <v>344</v>
      </c>
      <c r="W139" s="52"/>
      <c r="X139" s="52" t="s">
        <v>219</v>
      </c>
      <c r="Y139" s="54" t="str">
        <f>"[" &amp; _xlfn.TEXTJOIN(", ", TRUE,
    IF(G139&lt;&gt;"", """" &amp; G$1 &amp; """", ""),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T139 &amp; """", ""),
    IF(U139&lt;&gt;"", """" &amp; U139 &amp; """", ""),
    IF(V139&lt;&gt;"", """" &amp; V139 &amp; """", ""),
    IF(W139&lt;&gt;"", """" &amp; W139 &amp; """", ""),
    IF(X139&lt;&gt;"", """" &amp; X139 &amp; """", "")
) &amp; "]"</f>
        <v>["Internal", "Workflows"]</v>
      </c>
      <c r="Z139" s="54"/>
      <c r="AA139" s="54" t="s">
        <v>71</v>
      </c>
      <c r="AB139" s="54"/>
      <c r="AC139" s="54"/>
      <c r="AD139" s="54"/>
      <c r="AE139" s="54"/>
      <c r="AF139" s="54"/>
      <c r="AG139" s="54"/>
      <c r="AH139" s="54"/>
      <c r="AI139" s="54"/>
      <c r="AJ139" s="54"/>
      <c r="AK139" s="54"/>
      <c r="AL139" s="54"/>
      <c r="AM139" s="54"/>
      <c r="AN139" s="54"/>
      <c r="AO139" s="54"/>
      <c r="AP139" s="54"/>
      <c r="AQ139" s="54"/>
      <c r="AR139" s="54"/>
      <c r="AS139" s="54"/>
      <c r="AT139" s="54"/>
      <c r="AU139" s="55"/>
      <c r="AV139" s="54"/>
      <c r="AW139" s="54"/>
      <c r="AX139" s="54"/>
      <c r="AY139" s="54"/>
      <c r="AZ139" s="54"/>
      <c r="BA139" s="54"/>
    </row>
    <row r="140" spans="1:180" ht="25.5" customHeight="1">
      <c r="A140" s="64" t="s">
        <v>1105</v>
      </c>
      <c r="B140" s="64" t="s">
        <v>1106</v>
      </c>
      <c r="C140" s="54" t="s">
        <v>1107</v>
      </c>
      <c r="D140" s="71" t="s">
        <v>1108</v>
      </c>
      <c r="E140" s="54" t="s">
        <v>63</v>
      </c>
      <c r="F140" s="54" t="s">
        <v>154</v>
      </c>
      <c r="G140" s="54"/>
      <c r="H140" s="54"/>
      <c r="I140" s="54"/>
      <c r="J140" s="54"/>
      <c r="K140" s="54"/>
      <c r="L140" s="54"/>
      <c r="M140" s="54"/>
      <c r="N140" s="54"/>
      <c r="O140" s="54"/>
      <c r="P140" s="54"/>
      <c r="Q140" s="54"/>
      <c r="R140" s="54"/>
      <c r="S140" s="54"/>
      <c r="T140" s="54"/>
      <c r="U140" s="54"/>
      <c r="V140" s="52" t="s">
        <v>344</v>
      </c>
      <c r="W140" s="52"/>
      <c r="X140" s="52" t="s">
        <v>219</v>
      </c>
      <c r="Y140" s="54" t="str">
        <f>"[" &amp; _xlfn.TEXTJOIN(", ", TRUE,
    IF(G140&lt;&gt;"", """" &amp; G$1 &amp; """", ""),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T140 &amp; """", ""),
    IF(U140&lt;&gt;"", """" &amp; U140 &amp; """", ""),
    IF(V140&lt;&gt;"", """" &amp; V140 &amp; """", ""),
    IF(W140&lt;&gt;"", """" &amp; W140 &amp; """", ""),
    IF(X140&lt;&gt;"", """" &amp; X140 &amp; """", "")
) &amp; "]"</f>
        <v>["Internal", "Workflows"]</v>
      </c>
      <c r="Z140" s="54"/>
      <c r="AA140" s="54" t="s">
        <v>71</v>
      </c>
      <c r="AB140" s="54"/>
      <c r="AC140" s="54"/>
      <c r="AD140" s="54"/>
      <c r="AE140" s="54"/>
      <c r="AF140" s="54"/>
      <c r="AG140" s="54"/>
      <c r="AH140" s="54"/>
      <c r="AI140" s="54"/>
      <c r="AJ140" s="54"/>
      <c r="AK140" s="54"/>
      <c r="AL140" s="54"/>
      <c r="AM140" s="54"/>
      <c r="AN140" s="54"/>
      <c r="AO140" s="54"/>
      <c r="AP140" s="54"/>
      <c r="AQ140" s="54"/>
      <c r="AR140" s="54"/>
      <c r="AS140" s="54"/>
      <c r="AT140" s="54"/>
      <c r="AU140" s="55"/>
      <c r="AV140" s="54"/>
      <c r="AW140" s="54"/>
      <c r="AX140" s="54"/>
      <c r="AY140" s="54"/>
      <c r="AZ140" s="54"/>
      <c r="BA140" s="54"/>
    </row>
    <row r="141" spans="1:180" ht="25.5" customHeight="1">
      <c r="A141" s="64" t="s">
        <v>1109</v>
      </c>
      <c r="B141" s="64" t="s">
        <v>1110</v>
      </c>
      <c r="C141" s="54" t="s">
        <v>1111</v>
      </c>
      <c r="D141" s="71" t="s">
        <v>1112</v>
      </c>
      <c r="E141" s="54" t="s">
        <v>117</v>
      </c>
      <c r="F141" s="54" t="s">
        <v>154</v>
      </c>
      <c r="G141" s="54"/>
      <c r="H141" s="54"/>
      <c r="I141" s="54"/>
      <c r="J141" s="54"/>
      <c r="K141" s="54"/>
      <c r="L141" s="54"/>
      <c r="M141" s="54"/>
      <c r="N141" s="54"/>
      <c r="O141" s="54"/>
      <c r="P141" s="54"/>
      <c r="Q141" s="54"/>
      <c r="R141" s="54"/>
      <c r="S141" s="54"/>
      <c r="T141" s="54"/>
      <c r="U141" s="54"/>
      <c r="V141" s="52" t="s">
        <v>344</v>
      </c>
      <c r="W141" s="52"/>
      <c r="X141" s="52" t="s">
        <v>219</v>
      </c>
      <c r="Y141" s="54" t="str">
        <f>"[" &amp; _xlfn.TEXTJOIN(", ", TRUE,
    IF(G141&lt;&gt;"", """" &amp; G$1 &amp; """", ""),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T141 &amp; """", ""),
    IF(U141&lt;&gt;"", """" &amp; U141 &amp; """", ""),
    IF(V141&lt;&gt;"", """" &amp; V141 &amp; """", ""),
    IF(W141&lt;&gt;"", """" &amp; W141 &amp; """", ""),
    IF(X141&lt;&gt;"", """" &amp; X141 &amp; """", "")
) &amp; "]"</f>
        <v>["Internal", "Workflows"]</v>
      </c>
      <c r="Z141" s="54"/>
      <c r="AA141" s="54" t="s">
        <v>71</v>
      </c>
      <c r="AB141" s="54"/>
      <c r="AC141" s="54"/>
      <c r="AD141" s="54"/>
      <c r="AE141" s="54"/>
      <c r="AF141" s="54"/>
      <c r="AG141" s="54"/>
      <c r="AH141" s="54"/>
      <c r="AI141" s="54"/>
      <c r="AJ141" s="54"/>
      <c r="AK141" s="54"/>
      <c r="AL141" s="54"/>
      <c r="AM141" s="54"/>
      <c r="AN141" s="54"/>
      <c r="AO141" s="54"/>
      <c r="AP141" s="54"/>
      <c r="AQ141" s="54"/>
      <c r="AR141" s="54"/>
      <c r="AS141" s="54"/>
      <c r="AT141" s="54"/>
      <c r="AU141" s="55"/>
      <c r="AV141" s="54"/>
      <c r="AW141" s="54"/>
      <c r="AX141" s="54"/>
      <c r="AY141" s="54"/>
      <c r="AZ141" s="54"/>
      <c r="BA141" s="54"/>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row>
    <row r="142" spans="1:180" ht="25.5" customHeight="1">
      <c r="A142" s="64" t="s">
        <v>1113</v>
      </c>
      <c r="B142" s="64" t="s">
        <v>1114</v>
      </c>
      <c r="C142" s="54" t="s">
        <v>1115</v>
      </c>
      <c r="D142" s="71" t="s">
        <v>1116</v>
      </c>
      <c r="E142" s="54" t="s">
        <v>117</v>
      </c>
      <c r="F142" s="54" t="s">
        <v>154</v>
      </c>
      <c r="G142" s="54"/>
      <c r="H142" s="54"/>
      <c r="I142" s="54"/>
      <c r="J142" s="54"/>
      <c r="K142" s="54"/>
      <c r="L142" s="54"/>
      <c r="M142" s="54"/>
      <c r="N142" s="54"/>
      <c r="O142" s="54"/>
      <c r="P142" s="54"/>
      <c r="Q142" s="54"/>
      <c r="R142" s="54"/>
      <c r="S142" s="54"/>
      <c r="T142" s="54"/>
      <c r="U142" s="54"/>
      <c r="V142" s="52" t="s">
        <v>344</v>
      </c>
      <c r="W142" s="52"/>
      <c r="X142" s="52" t="s">
        <v>219</v>
      </c>
      <c r="Y142" s="54" t="str">
        <f>"[" &amp; _xlfn.TEXTJOIN(", ", TRUE,
    IF(G142&lt;&gt;"", """" &amp; G$1 &amp; """", ""),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T142 &amp; """", ""),
    IF(U142&lt;&gt;"", """" &amp; U142 &amp; """", ""),
    IF(V142&lt;&gt;"", """" &amp; V142 &amp; """", ""),
    IF(W142&lt;&gt;"", """" &amp; W142 &amp; """", ""),
    IF(X142&lt;&gt;"", """" &amp; X142 &amp; """", "")
) &amp; "]"</f>
        <v>["Internal", "Workflows"]</v>
      </c>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row>
    <row r="143" spans="1:180" ht="25.5" customHeight="1">
      <c r="A143" s="64" t="s">
        <v>1117</v>
      </c>
      <c r="B143" s="64" t="s">
        <v>1118</v>
      </c>
      <c r="C143" s="54" t="s">
        <v>1119</v>
      </c>
      <c r="D143" s="71" t="s">
        <v>1120</v>
      </c>
      <c r="E143" s="54" t="s">
        <v>76</v>
      </c>
      <c r="F143" s="54" t="s">
        <v>64</v>
      </c>
      <c r="G143" s="54"/>
      <c r="H143" s="54"/>
      <c r="I143" s="54"/>
      <c r="J143" s="54"/>
      <c r="K143" s="54"/>
      <c r="L143" s="54"/>
      <c r="M143" s="54"/>
      <c r="N143" s="54"/>
      <c r="O143" s="54"/>
      <c r="P143" s="60" t="s">
        <v>1121</v>
      </c>
      <c r="Q143" s="60" t="s">
        <v>1121</v>
      </c>
      <c r="R143" s="60" t="s">
        <v>1121</v>
      </c>
      <c r="S143" s="54"/>
      <c r="T143" s="54"/>
      <c r="U143" s="54"/>
      <c r="V143" s="52" t="s">
        <v>621</v>
      </c>
      <c r="W143" s="52" t="s">
        <v>1122</v>
      </c>
      <c r="X143" s="52" t="s">
        <v>639</v>
      </c>
      <c r="Y143" s="54" t="str">
        <f>"[" &amp; _xlfn.TEXTJOIN(", ", TRUE,
    IF(G143&lt;&gt;"", """" &amp; G$1 &amp; """", ""),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T143 &amp; """", ""),
    IF(U143&lt;&gt;"", """" &amp; U143 &amp; """", ""),
    IF(V143&lt;&gt;"", """" &amp; V143 &amp; """", ""),
    IF(W143&lt;&gt;"", """" &amp; W143 &amp; """", ""),
    IF(X143&lt;&gt;"", """" &amp; X143 &amp; """", "")
) &amp; "]"</f>
        <v>["IMG/VR", "PHD", "PhiSpy", "Taxonomy", "Virus Taxonomy", "ICTV Taxonomy"]</v>
      </c>
      <c r="Z143" s="54" t="s">
        <v>640</v>
      </c>
      <c r="AA143" s="54" t="s">
        <v>71</v>
      </c>
      <c r="AB143" s="54"/>
      <c r="AC143" s="54"/>
      <c r="AD143" s="54"/>
      <c r="AE143" s="54"/>
      <c r="AF143" s="54"/>
      <c r="AG143" s="54"/>
      <c r="AH143" s="54"/>
      <c r="AI143" s="54"/>
      <c r="AJ143" s="54"/>
      <c r="AK143" s="54"/>
      <c r="AL143" s="54"/>
      <c r="AM143" s="54"/>
      <c r="AN143" s="54"/>
      <c r="AO143" s="54"/>
      <c r="AP143" s="54"/>
      <c r="AQ143" s="54"/>
      <c r="AR143" s="54"/>
      <c r="AS143" s="54"/>
      <c r="AT143" s="54"/>
      <c r="AU143" s="55"/>
      <c r="AV143" s="54"/>
      <c r="AW143" s="54"/>
      <c r="AX143" s="54"/>
      <c r="AY143" s="54" t="s">
        <v>1123</v>
      </c>
      <c r="AZ143" s="54" t="s">
        <v>1123</v>
      </c>
      <c r="BA143" s="54"/>
    </row>
    <row r="144" spans="1:180" ht="25.5" customHeight="1">
      <c r="A144" s="64" t="s">
        <v>1124</v>
      </c>
      <c r="B144" s="64" t="s">
        <v>1125</v>
      </c>
      <c r="C144" s="54" t="s">
        <v>1126</v>
      </c>
      <c r="D144" s="71" t="s">
        <v>1127</v>
      </c>
      <c r="E144" s="54" t="s">
        <v>76</v>
      </c>
      <c r="F144" s="54" t="s">
        <v>154</v>
      </c>
      <c r="G144" s="54"/>
      <c r="H144" s="54"/>
      <c r="I144" s="54"/>
      <c r="J144" s="54"/>
      <c r="K144" s="54"/>
      <c r="L144" s="54"/>
      <c r="M144" s="54"/>
      <c r="N144" s="54"/>
      <c r="O144" s="54"/>
      <c r="P144" s="54"/>
      <c r="Q144" s="54" t="s">
        <v>1128</v>
      </c>
      <c r="R144" s="54"/>
      <c r="S144" s="54"/>
      <c r="T144" s="54"/>
      <c r="U144" s="54"/>
      <c r="V144" s="52" t="s">
        <v>621</v>
      </c>
      <c r="W144" s="52" t="s">
        <v>1122</v>
      </c>
      <c r="X144" s="52" t="s">
        <v>639</v>
      </c>
      <c r="Y144" s="54" t="str">
        <f>"[" &amp; _xlfn.TEXTJOIN(", ", TRUE,
    IF(G144&lt;&gt;"", """" &amp; G$1 &amp; """", ""),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T144 &amp; """", ""),
    IF(U144&lt;&gt;"", """" &amp; U144 &amp; """", ""),
    IF(V144&lt;&gt;"", """" &amp; V144 &amp; """", ""),
    IF(W144&lt;&gt;"", """" &amp; W144 &amp; """", ""),
    IF(X144&lt;&gt;"", """" &amp; X144 &amp; """", "")
) &amp; "]"</f>
        <v>["PHD", "Taxonomy", "Virus Taxonomy", "ICTV Taxonomy"]</v>
      </c>
      <c r="Z144" s="54" t="s">
        <v>640</v>
      </c>
      <c r="AA144" s="54" t="s">
        <v>71</v>
      </c>
      <c r="AB144" s="54"/>
      <c r="AC144" s="54"/>
      <c r="AD144" s="54"/>
      <c r="AE144" s="54"/>
      <c r="AF144" s="54"/>
      <c r="AG144" s="54"/>
      <c r="AH144" s="54"/>
      <c r="AI144" s="54"/>
      <c r="AJ144" s="54"/>
      <c r="AK144" s="54"/>
      <c r="AL144" s="54"/>
      <c r="AM144" s="54"/>
      <c r="AN144" s="54"/>
      <c r="AO144" s="54"/>
      <c r="AP144" s="54"/>
      <c r="AQ144" s="54"/>
      <c r="AR144" s="54"/>
      <c r="AS144" s="54"/>
      <c r="AT144" s="54"/>
      <c r="AU144" s="55"/>
      <c r="AV144" s="54"/>
      <c r="AW144" s="54"/>
      <c r="AX144" s="54"/>
      <c r="AY144" s="54" t="s">
        <v>1129</v>
      </c>
      <c r="AZ144" s="54" t="s">
        <v>1129</v>
      </c>
      <c r="BA144" s="54"/>
    </row>
    <row r="145" spans="1:55" ht="25.5" customHeight="1">
      <c r="A145" s="64" t="s">
        <v>1130</v>
      </c>
      <c r="B145" s="64" t="s">
        <v>1131</v>
      </c>
      <c r="C145" s="54" t="s">
        <v>1132</v>
      </c>
      <c r="D145" s="71" t="s">
        <v>1133</v>
      </c>
      <c r="E145" s="54" t="s">
        <v>76</v>
      </c>
      <c r="F145" s="54" t="s">
        <v>64</v>
      </c>
      <c r="G145" s="54"/>
      <c r="H145" s="54"/>
      <c r="I145" s="54"/>
      <c r="J145" s="54"/>
      <c r="K145" s="54"/>
      <c r="L145" s="54"/>
      <c r="M145" s="54"/>
      <c r="N145" s="54"/>
      <c r="O145" s="54"/>
      <c r="P145" s="60" t="s">
        <v>1134</v>
      </c>
      <c r="Q145" s="60" t="s">
        <v>1134</v>
      </c>
      <c r="R145" s="60" t="s">
        <v>1134</v>
      </c>
      <c r="S145" s="54"/>
      <c r="T145" s="54"/>
      <c r="U145" s="54"/>
      <c r="V145" s="52" t="s">
        <v>621</v>
      </c>
      <c r="W145" s="52" t="s">
        <v>1122</v>
      </c>
      <c r="X145" s="52" t="s">
        <v>639</v>
      </c>
      <c r="Y145" s="54" t="str">
        <f>"[" &amp; _xlfn.TEXTJOIN(", ", TRUE,
    IF(G145&lt;&gt;"", """" &amp; G$1 &amp; """", ""),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T145 &amp; """", ""),
    IF(U145&lt;&gt;"", """" &amp; U145 &amp; """", ""),
    IF(V145&lt;&gt;"", """" &amp; V145 &amp; """", ""),
    IF(W145&lt;&gt;"", """" &amp; W145 &amp; """", ""),
    IF(X145&lt;&gt;"", """" &amp; X145 &amp; """", "")
) &amp; "]"</f>
        <v>["IMG/VR", "PHD", "PhiSpy", "Taxonomy", "Virus Taxonomy", "ICTV Taxonomy"]</v>
      </c>
      <c r="Z145" s="54" t="s">
        <v>640</v>
      </c>
      <c r="AA145" s="54" t="s">
        <v>71</v>
      </c>
      <c r="AB145" s="54"/>
      <c r="AC145" s="54"/>
      <c r="AD145" s="54"/>
      <c r="AE145" s="54"/>
      <c r="AF145" s="54"/>
      <c r="AG145" s="54"/>
      <c r="AH145" s="54"/>
      <c r="AI145" s="54"/>
      <c r="AJ145" s="54"/>
      <c r="AK145" s="54"/>
      <c r="AL145" s="54"/>
      <c r="AM145" s="54"/>
      <c r="AN145" s="54"/>
      <c r="AO145" s="54"/>
      <c r="AP145" s="54"/>
      <c r="AQ145" s="54"/>
      <c r="AR145" s="54"/>
      <c r="AS145" s="54"/>
      <c r="AT145" s="54"/>
      <c r="AU145" s="55"/>
      <c r="AV145" s="54"/>
      <c r="AW145" s="54"/>
      <c r="AX145" s="54"/>
      <c r="AY145" s="54" t="s">
        <v>1135</v>
      </c>
      <c r="AZ145" s="54" t="s">
        <v>1135</v>
      </c>
      <c r="BA145" s="54"/>
    </row>
    <row r="146" spans="1:55" ht="25.5" customHeight="1">
      <c r="A146" s="64" t="s">
        <v>1136</v>
      </c>
      <c r="B146" s="64" t="s">
        <v>1137</v>
      </c>
      <c r="C146" s="54" t="s">
        <v>1138</v>
      </c>
      <c r="D146" s="71" t="s">
        <v>1139</v>
      </c>
      <c r="E146" s="54" t="s">
        <v>76</v>
      </c>
      <c r="F146" s="54" t="s">
        <v>154</v>
      </c>
      <c r="G146" s="54"/>
      <c r="H146" s="54"/>
      <c r="I146" s="54"/>
      <c r="J146" s="54"/>
      <c r="K146" s="54"/>
      <c r="L146" s="54"/>
      <c r="M146" s="54"/>
      <c r="N146" s="54"/>
      <c r="O146" s="54"/>
      <c r="P146" s="54"/>
      <c r="Q146" s="54" t="s">
        <v>1140</v>
      </c>
      <c r="R146" s="54"/>
      <c r="S146" s="54"/>
      <c r="T146" s="54"/>
      <c r="U146" s="54"/>
      <c r="V146" s="52" t="s">
        <v>621</v>
      </c>
      <c r="W146" s="52" t="s">
        <v>1122</v>
      </c>
      <c r="X146" s="52" t="s">
        <v>639</v>
      </c>
      <c r="Y146" s="54" t="str">
        <f>"[" &amp; _xlfn.TEXTJOIN(", ", TRUE,
    IF(G146&lt;&gt;"", """" &amp; G$1 &amp; """", ""),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T146 &amp; """", ""),
    IF(U146&lt;&gt;"", """" &amp; U146 &amp; """", ""),
    IF(V146&lt;&gt;"", """" &amp; V146 &amp; """", ""),
    IF(W146&lt;&gt;"", """" &amp; W146 &amp; """", ""),
    IF(X146&lt;&gt;"", """" &amp; X146 &amp; """", "")
) &amp; "]"</f>
        <v>["PHD", "Taxonomy", "Virus Taxonomy", "ICTV Taxonomy"]</v>
      </c>
      <c r="Z146" s="54" t="s">
        <v>640</v>
      </c>
      <c r="AA146" s="54" t="s">
        <v>71</v>
      </c>
      <c r="AB146" s="54"/>
      <c r="AC146" s="54"/>
      <c r="AD146" s="54"/>
      <c r="AE146" s="54"/>
      <c r="AF146" s="54"/>
      <c r="AG146" s="54"/>
      <c r="AH146" s="54"/>
      <c r="AI146" s="54"/>
      <c r="AJ146" s="54"/>
      <c r="AK146" s="54"/>
      <c r="AL146" s="54"/>
      <c r="AM146" s="54"/>
      <c r="AN146" s="54"/>
      <c r="AO146" s="54"/>
      <c r="AP146" s="54"/>
      <c r="AQ146" s="54"/>
      <c r="AR146" s="54"/>
      <c r="AS146" s="54"/>
      <c r="AT146" s="54"/>
      <c r="AU146" s="55"/>
      <c r="AV146" s="54"/>
      <c r="AW146" s="54"/>
      <c r="AX146" s="54"/>
      <c r="AY146" s="54" t="s">
        <v>1141</v>
      </c>
      <c r="AZ146" s="54" t="s">
        <v>1141</v>
      </c>
      <c r="BA146" s="54"/>
    </row>
    <row r="147" spans="1:55" ht="25.5" customHeight="1">
      <c r="A147" s="64" t="s">
        <v>1142</v>
      </c>
      <c r="B147" s="64" t="s">
        <v>1143</v>
      </c>
      <c r="C147" s="54" t="s">
        <v>1144</v>
      </c>
      <c r="D147" s="71" t="s">
        <v>1145</v>
      </c>
      <c r="E147" s="54" t="s">
        <v>76</v>
      </c>
      <c r="F147" s="54" t="s">
        <v>64</v>
      </c>
      <c r="G147" s="54"/>
      <c r="H147" s="54"/>
      <c r="I147" s="54"/>
      <c r="J147" s="54"/>
      <c r="K147" s="54"/>
      <c r="L147" s="54"/>
      <c r="M147" s="54"/>
      <c r="N147" s="54"/>
      <c r="O147" s="54"/>
      <c r="P147" s="60" t="s">
        <v>1146</v>
      </c>
      <c r="Q147" s="60" t="s">
        <v>1146</v>
      </c>
      <c r="R147" s="60" t="s">
        <v>1146</v>
      </c>
      <c r="S147" s="54"/>
      <c r="T147" s="54"/>
      <c r="U147" s="54"/>
      <c r="V147" s="52" t="s">
        <v>621</v>
      </c>
      <c r="W147" s="52" t="s">
        <v>1122</v>
      </c>
      <c r="X147" s="52" t="s">
        <v>639</v>
      </c>
      <c r="Y147" s="54" t="str">
        <f>"[" &amp; _xlfn.TEXTJOIN(", ", TRUE,
    IF(G147&lt;&gt;"", """" &amp; G$1 &amp; """", ""),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T147 &amp; """", ""),
    IF(U147&lt;&gt;"", """" &amp; U147 &amp; """", ""),
    IF(V147&lt;&gt;"", """" &amp; V147 &amp; """", ""),
    IF(W147&lt;&gt;"", """" &amp; W147 &amp; """", ""),
    IF(X147&lt;&gt;"", """" &amp; X147 &amp; """", "")
) &amp; "]"</f>
        <v>["IMG/VR", "PHD", "PhiSpy", "Taxonomy", "Virus Taxonomy", "ICTV Taxonomy"]</v>
      </c>
      <c r="Z147" s="54" t="s">
        <v>640</v>
      </c>
      <c r="AA147" s="54" t="s">
        <v>71</v>
      </c>
      <c r="AB147" s="54"/>
      <c r="AC147" s="54"/>
      <c r="AD147" s="54"/>
      <c r="AE147" s="54"/>
      <c r="AF147" s="54"/>
      <c r="AG147" s="54"/>
      <c r="AH147" s="54"/>
      <c r="AI147" s="54"/>
      <c r="AJ147" s="54"/>
      <c r="AK147" s="54"/>
      <c r="AL147" s="54"/>
      <c r="AM147" s="54"/>
      <c r="AN147" s="54"/>
      <c r="AO147" s="54"/>
      <c r="AP147" s="54"/>
      <c r="AQ147" s="54"/>
      <c r="AR147" s="54"/>
      <c r="AS147" s="54"/>
      <c r="AT147" s="54"/>
      <c r="AU147" s="55"/>
      <c r="AV147" s="54"/>
      <c r="AW147" s="54"/>
      <c r="AX147" s="54"/>
      <c r="AY147" s="54" t="s">
        <v>1147</v>
      </c>
      <c r="AZ147" s="54" t="s">
        <v>1147</v>
      </c>
      <c r="BA147" s="54"/>
    </row>
    <row r="148" spans="1:55" ht="25.5" customHeight="1">
      <c r="A148" s="64" t="s">
        <v>1148</v>
      </c>
      <c r="B148" s="64" t="s">
        <v>1149</v>
      </c>
      <c r="C148" s="54" t="s">
        <v>1150</v>
      </c>
      <c r="D148" s="71" t="s">
        <v>1151</v>
      </c>
      <c r="E148" s="54" t="s">
        <v>76</v>
      </c>
      <c r="F148" s="54" t="s">
        <v>64</v>
      </c>
      <c r="G148" s="54"/>
      <c r="H148" s="54"/>
      <c r="I148" s="54"/>
      <c r="J148" s="54"/>
      <c r="K148" s="54"/>
      <c r="L148" s="54"/>
      <c r="M148" s="54"/>
      <c r="N148" s="54"/>
      <c r="O148" s="54"/>
      <c r="P148" s="54"/>
      <c r="Q148" s="54" t="s">
        <v>1152</v>
      </c>
      <c r="R148" s="54"/>
      <c r="S148" s="54"/>
      <c r="T148" s="54"/>
      <c r="U148" s="54"/>
      <c r="V148" s="52" t="s">
        <v>621</v>
      </c>
      <c r="W148" s="52" t="s">
        <v>1122</v>
      </c>
      <c r="X148" s="52" t="s">
        <v>639</v>
      </c>
      <c r="Y148" s="54" t="str">
        <f>"[" &amp; _xlfn.TEXTJOIN(", ", TRUE,
    IF(G148&lt;&gt;"", """" &amp; G$1 &amp; """", ""),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T148 &amp; """", ""),
    IF(U148&lt;&gt;"", """" &amp; U148 &amp; """", ""),
    IF(V148&lt;&gt;"", """" &amp; V148 &amp; """", ""),
    IF(W148&lt;&gt;"", """" &amp; W148 &amp; """", ""),
    IF(X148&lt;&gt;"", """" &amp; X148 &amp; """", "")
) &amp; "]"</f>
        <v>["PHD", "Taxonomy", "Virus Taxonomy", "ICTV Taxonomy"]</v>
      </c>
      <c r="Z148" s="54" t="s">
        <v>640</v>
      </c>
      <c r="AA148" s="54" t="s">
        <v>71</v>
      </c>
      <c r="AB148" s="54"/>
      <c r="AC148" s="54"/>
      <c r="AD148" s="54"/>
      <c r="AE148" s="54"/>
      <c r="AF148" s="54"/>
      <c r="AG148" s="54"/>
      <c r="AH148" s="54"/>
      <c r="AI148" s="54"/>
      <c r="AJ148" s="54"/>
      <c r="AK148" s="54"/>
      <c r="AL148" s="54"/>
      <c r="AM148" s="54"/>
      <c r="AN148" s="54"/>
      <c r="AO148" s="54"/>
      <c r="AP148" s="54"/>
      <c r="AQ148" s="54"/>
      <c r="AR148" s="54"/>
      <c r="AS148" s="54"/>
      <c r="AT148" s="54"/>
      <c r="AU148" s="55"/>
      <c r="AV148" s="54"/>
      <c r="AW148" s="54"/>
      <c r="AX148" s="54"/>
      <c r="AY148" s="54" t="s">
        <v>1153</v>
      </c>
      <c r="AZ148" s="54" t="s">
        <v>1153</v>
      </c>
      <c r="BA148" s="54"/>
    </row>
    <row r="149" spans="1:55" ht="25.5" customHeight="1">
      <c r="A149" s="64" t="s">
        <v>1154</v>
      </c>
      <c r="B149" s="64" t="s">
        <v>1155</v>
      </c>
      <c r="C149" s="54" t="s">
        <v>1156</v>
      </c>
      <c r="D149" s="71" t="s">
        <v>1157</v>
      </c>
      <c r="E149" s="54" t="s">
        <v>76</v>
      </c>
      <c r="F149" s="54" t="s">
        <v>64</v>
      </c>
      <c r="G149" s="54"/>
      <c r="H149" s="54"/>
      <c r="I149" s="54"/>
      <c r="J149" s="54"/>
      <c r="K149" s="54"/>
      <c r="L149" s="54"/>
      <c r="M149" s="54"/>
      <c r="N149" s="54"/>
      <c r="O149" s="54"/>
      <c r="P149" s="60" t="s">
        <v>1158</v>
      </c>
      <c r="Q149" s="60" t="s">
        <v>1158</v>
      </c>
      <c r="R149" s="60" t="s">
        <v>1158</v>
      </c>
      <c r="S149" s="54"/>
      <c r="T149" s="54"/>
      <c r="U149" s="54"/>
      <c r="V149" s="52" t="s">
        <v>621</v>
      </c>
      <c r="W149" s="52" t="s">
        <v>1122</v>
      </c>
      <c r="X149" s="52" t="s">
        <v>639</v>
      </c>
      <c r="Y149" s="54" t="str">
        <f>"[" &amp; _xlfn.TEXTJOIN(", ", TRUE,
    IF(G149&lt;&gt;"", """" &amp; G$1 &amp; """", ""),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T149 &amp; """", ""),
    IF(U149&lt;&gt;"", """" &amp; U149 &amp; """", ""),
    IF(V149&lt;&gt;"", """" &amp; V149 &amp; """", ""),
    IF(W149&lt;&gt;"", """" &amp; W149 &amp; """", ""),
    IF(X149&lt;&gt;"", """" &amp; X149 &amp; """", "")
) &amp; "]"</f>
        <v>["IMG/VR", "PHD", "PhiSpy", "Taxonomy", "Virus Taxonomy", "ICTV Taxonomy"]</v>
      </c>
      <c r="Z149" s="54" t="s">
        <v>640</v>
      </c>
      <c r="AA149" s="54" t="s">
        <v>71</v>
      </c>
      <c r="AB149" s="54"/>
      <c r="AC149" s="54"/>
      <c r="AD149" s="54"/>
      <c r="AE149" s="54"/>
      <c r="AF149" s="54"/>
      <c r="AG149" s="54"/>
      <c r="AH149" s="54"/>
      <c r="AI149" s="54"/>
      <c r="AJ149" s="54"/>
      <c r="AK149" s="54"/>
      <c r="AL149" s="54"/>
      <c r="AM149" s="54"/>
      <c r="AN149" s="54"/>
      <c r="AO149" s="54"/>
      <c r="AP149" s="54"/>
      <c r="AQ149" s="54"/>
      <c r="AR149" s="54"/>
      <c r="AS149" s="54"/>
      <c r="AT149" s="54"/>
      <c r="AU149" s="55"/>
      <c r="AV149" s="54"/>
      <c r="AW149" s="54"/>
      <c r="AX149" s="54"/>
      <c r="AY149" s="54" t="s">
        <v>1159</v>
      </c>
      <c r="AZ149" s="54" t="s">
        <v>1159</v>
      </c>
      <c r="BA149" s="54"/>
    </row>
    <row r="150" spans="1:55" ht="25.5" customHeight="1">
      <c r="A150" s="64" t="s">
        <v>1160</v>
      </c>
      <c r="B150" s="64" t="s">
        <v>1161</v>
      </c>
      <c r="C150" s="54" t="s">
        <v>1162</v>
      </c>
      <c r="D150" s="71" t="s">
        <v>1163</v>
      </c>
      <c r="E150" s="54" t="s">
        <v>76</v>
      </c>
      <c r="F150" s="54" t="s">
        <v>154</v>
      </c>
      <c r="G150" s="54"/>
      <c r="H150" s="54"/>
      <c r="I150" s="54"/>
      <c r="J150" s="54"/>
      <c r="K150" s="54"/>
      <c r="L150" s="54"/>
      <c r="M150" s="54"/>
      <c r="N150" s="54"/>
      <c r="O150" s="54"/>
      <c r="P150" s="54"/>
      <c r="Q150" s="54" t="s">
        <v>1164</v>
      </c>
      <c r="R150" s="54"/>
      <c r="S150" s="54"/>
      <c r="T150" s="54"/>
      <c r="U150" s="54"/>
      <c r="V150" s="52" t="s">
        <v>621</v>
      </c>
      <c r="W150" s="52" t="s">
        <v>1122</v>
      </c>
      <c r="X150" s="52" t="s">
        <v>639</v>
      </c>
      <c r="Y150" s="54" t="str">
        <f>"[" &amp; _xlfn.TEXTJOIN(", ", TRUE,
    IF(G150&lt;&gt;"", """" &amp; G$1 &amp; """", ""),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T150 &amp; """", ""),
    IF(U150&lt;&gt;"", """" &amp; U150 &amp; """", ""),
    IF(V150&lt;&gt;"", """" &amp; V150 &amp; """", ""),
    IF(W150&lt;&gt;"", """" &amp; W150 &amp; """", ""),
    IF(X150&lt;&gt;"", """" &amp; X150 &amp; """", "")
) &amp; "]"</f>
        <v>["PHD", "Taxonomy", "Virus Taxonomy", "ICTV Taxonomy"]</v>
      </c>
      <c r="Z150" s="54" t="s">
        <v>640</v>
      </c>
      <c r="AA150" s="54" t="s">
        <v>71</v>
      </c>
      <c r="AB150" s="54"/>
      <c r="AC150" s="54"/>
      <c r="AD150" s="54"/>
      <c r="AE150" s="54"/>
      <c r="AF150" s="54"/>
      <c r="AG150" s="54"/>
      <c r="AH150" s="54"/>
      <c r="AI150" s="54"/>
      <c r="AJ150" s="54"/>
      <c r="AK150" s="54"/>
      <c r="AL150" s="54"/>
      <c r="AM150" s="54"/>
      <c r="AN150" s="54"/>
      <c r="AO150" s="54"/>
      <c r="AP150" s="54"/>
      <c r="AQ150" s="54"/>
      <c r="AR150" s="54"/>
      <c r="AS150" s="54"/>
      <c r="AT150" s="54"/>
      <c r="AU150" s="55"/>
      <c r="AV150" s="54"/>
      <c r="AW150" s="54"/>
      <c r="AX150" s="54"/>
      <c r="AY150" s="54" t="s">
        <v>1165</v>
      </c>
      <c r="AZ150" s="54" t="s">
        <v>1165</v>
      </c>
      <c r="BA150" s="54"/>
    </row>
    <row r="151" spans="1:55" ht="25.5" customHeight="1">
      <c r="A151" s="64" t="s">
        <v>1166</v>
      </c>
      <c r="B151" s="64" t="s">
        <v>1167</v>
      </c>
      <c r="C151" s="54" t="s">
        <v>1168</v>
      </c>
      <c r="D151" s="71" t="s">
        <v>1169</v>
      </c>
      <c r="E151" s="54" t="s">
        <v>76</v>
      </c>
      <c r="F151" s="54" t="s">
        <v>64</v>
      </c>
      <c r="G151" s="54"/>
      <c r="H151" s="54"/>
      <c r="I151" s="54"/>
      <c r="J151" s="54"/>
      <c r="K151" s="54"/>
      <c r="L151" s="54"/>
      <c r="M151" s="54"/>
      <c r="N151" s="54"/>
      <c r="O151" s="54"/>
      <c r="P151" s="60" t="s">
        <v>1170</v>
      </c>
      <c r="Q151" s="60" t="s">
        <v>1170</v>
      </c>
      <c r="R151" s="60" t="s">
        <v>1170</v>
      </c>
      <c r="S151" s="54"/>
      <c r="T151" s="54"/>
      <c r="U151" s="54"/>
      <c r="V151" s="52" t="s">
        <v>621</v>
      </c>
      <c r="W151" s="52" t="s">
        <v>1122</v>
      </c>
      <c r="X151" s="52" t="s">
        <v>639</v>
      </c>
      <c r="Y151" s="54" t="str">
        <f>"[" &amp; _xlfn.TEXTJOIN(", ", TRUE,
    IF(G151&lt;&gt;"", """" &amp; G$1 &amp; """", ""),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T151 &amp; """", ""),
    IF(U151&lt;&gt;"", """" &amp; U151 &amp; """", ""),
    IF(V151&lt;&gt;"", """" &amp; V151 &amp; """", ""),
    IF(W151&lt;&gt;"", """" &amp; W151 &amp; """", ""),
    IF(X151&lt;&gt;"", """" &amp; X151 &amp; """", "")
) &amp; "]"</f>
        <v>["IMG/VR", "PHD", "PhiSpy", "Taxonomy", "Virus Taxonomy", "ICTV Taxonomy"]</v>
      </c>
      <c r="Z151" s="54" t="s">
        <v>640</v>
      </c>
      <c r="AA151" s="54" t="s">
        <v>71</v>
      </c>
      <c r="AB151" s="54"/>
      <c r="AC151" s="54"/>
      <c r="AD151" s="54"/>
      <c r="AE151" s="54"/>
      <c r="AF151" s="54"/>
      <c r="AG151" s="54"/>
      <c r="AH151" s="54"/>
      <c r="AI151" s="54"/>
      <c r="AJ151" s="54"/>
      <c r="AK151" s="54"/>
      <c r="AL151" s="54"/>
      <c r="AM151" s="54"/>
      <c r="AN151" s="54"/>
      <c r="AO151" s="54"/>
      <c r="AP151" s="54"/>
      <c r="AQ151" s="54"/>
      <c r="AR151" s="54"/>
      <c r="AS151" s="54"/>
      <c r="AT151" s="54"/>
      <c r="AU151" s="55"/>
      <c r="AV151" s="54"/>
      <c r="AW151" s="54"/>
      <c r="AX151" s="54"/>
      <c r="AY151" s="54" t="s">
        <v>1171</v>
      </c>
      <c r="AZ151" s="54" t="s">
        <v>1171</v>
      </c>
      <c r="BA151" s="54"/>
    </row>
    <row r="152" spans="1:55" ht="25.5" customHeight="1">
      <c r="A152" s="64" t="s">
        <v>1172</v>
      </c>
      <c r="B152" s="64" t="s">
        <v>1173</v>
      </c>
      <c r="C152" s="54" t="s">
        <v>1174</v>
      </c>
      <c r="D152" s="71" t="s">
        <v>1175</v>
      </c>
      <c r="E152" s="54" t="s">
        <v>76</v>
      </c>
      <c r="F152" s="54" t="s">
        <v>64</v>
      </c>
      <c r="G152" s="54"/>
      <c r="H152" s="54"/>
      <c r="I152" s="54"/>
      <c r="J152" s="54"/>
      <c r="K152" s="54"/>
      <c r="L152" s="54"/>
      <c r="M152" s="54"/>
      <c r="N152" s="54"/>
      <c r="O152" s="54"/>
      <c r="P152" s="54"/>
      <c r="Q152" s="54" t="s">
        <v>1176</v>
      </c>
      <c r="R152" s="54"/>
      <c r="S152" s="54"/>
      <c r="T152" s="54"/>
      <c r="U152" s="54"/>
      <c r="V152" s="52" t="s">
        <v>621</v>
      </c>
      <c r="W152" s="52" t="s">
        <v>1122</v>
      </c>
      <c r="X152" s="52" t="s">
        <v>639</v>
      </c>
      <c r="Y152" s="54" t="str">
        <f>"[" &amp; _xlfn.TEXTJOIN(", ", TRUE,
    IF(G152&lt;&gt;"", """" &amp; G$1 &amp; """", ""),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T152 &amp; """", ""),
    IF(U152&lt;&gt;"", """" &amp; U152 &amp; """", ""),
    IF(V152&lt;&gt;"", """" &amp; V152 &amp; """", ""),
    IF(W152&lt;&gt;"", """" &amp; W152 &amp; """", ""),
    IF(X152&lt;&gt;"", """" &amp; X152 &amp; """", "")
) &amp; "]"</f>
        <v>["PHD", "Taxonomy", "Virus Taxonomy", "ICTV Taxonomy"]</v>
      </c>
      <c r="Z152" s="54" t="s">
        <v>640</v>
      </c>
      <c r="AA152" s="54" t="s">
        <v>71</v>
      </c>
      <c r="AB152" s="54"/>
      <c r="AC152" s="54"/>
      <c r="AD152" s="54"/>
      <c r="AE152" s="54"/>
      <c r="AF152" s="54"/>
      <c r="AG152" s="54"/>
      <c r="AH152" s="54"/>
      <c r="AI152" s="54"/>
      <c r="AJ152" s="54"/>
      <c r="AK152" s="54"/>
      <c r="AL152" s="54"/>
      <c r="AM152" s="54"/>
      <c r="AN152" s="54"/>
      <c r="AO152" s="54"/>
      <c r="AP152" s="54"/>
      <c r="AQ152" s="54"/>
      <c r="AR152" s="54"/>
      <c r="AS152" s="54"/>
      <c r="AT152" s="54"/>
      <c r="AU152" s="55"/>
      <c r="AV152" s="54"/>
      <c r="AW152" s="54"/>
      <c r="AX152" s="54"/>
      <c r="AY152" s="54" t="s">
        <v>1177</v>
      </c>
      <c r="AZ152" s="54" t="s">
        <v>1177</v>
      </c>
      <c r="BA152" s="54"/>
    </row>
    <row r="153" spans="1:55" ht="25.5" customHeight="1">
      <c r="A153" s="64" t="s">
        <v>1178</v>
      </c>
      <c r="B153" s="64" t="s">
        <v>1179</v>
      </c>
      <c r="C153" s="54" t="s">
        <v>1180</v>
      </c>
      <c r="D153" s="71" t="s">
        <v>1181</v>
      </c>
      <c r="E153" s="54" t="s">
        <v>76</v>
      </c>
      <c r="F153" s="54" t="s">
        <v>64</v>
      </c>
      <c r="G153" s="54"/>
      <c r="H153" s="54"/>
      <c r="I153" s="54"/>
      <c r="J153" s="54"/>
      <c r="K153" s="54"/>
      <c r="L153" s="54"/>
      <c r="M153" s="54"/>
      <c r="N153" s="54"/>
      <c r="O153" s="54"/>
      <c r="P153" s="60" t="s">
        <v>1182</v>
      </c>
      <c r="Q153" s="60" t="s">
        <v>1182</v>
      </c>
      <c r="R153" s="60" t="s">
        <v>1182</v>
      </c>
      <c r="S153" s="54"/>
      <c r="T153" s="54"/>
      <c r="U153" s="54"/>
      <c r="V153" s="52" t="s">
        <v>621</v>
      </c>
      <c r="W153" s="52" t="s">
        <v>1122</v>
      </c>
      <c r="X153" s="52" t="s">
        <v>639</v>
      </c>
      <c r="Y153" s="54" t="str">
        <f>"[" &amp; _xlfn.TEXTJOIN(", ", TRUE,
    IF(G153&lt;&gt;"", """" &amp; G$1 &amp; """", ""),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T153 &amp; """", ""),
    IF(U153&lt;&gt;"", """" &amp; U153 &amp; """", ""),
    IF(V153&lt;&gt;"", """" &amp; V153 &amp; """", ""),
    IF(W153&lt;&gt;"", """" &amp; W153 &amp; """", ""),
    IF(X153&lt;&gt;"", """" &amp; X153 &amp; """", "")
) &amp; "]"</f>
        <v>["IMG/VR", "PHD", "PhiSpy", "Taxonomy", "Virus Taxonomy", "ICTV Taxonomy"]</v>
      </c>
      <c r="Z153" s="54" t="s">
        <v>640</v>
      </c>
      <c r="AA153" s="54" t="s">
        <v>71</v>
      </c>
      <c r="AB153" s="54"/>
      <c r="AC153" s="54"/>
      <c r="AD153" s="54"/>
      <c r="AE153" s="54"/>
      <c r="AF153" s="54"/>
      <c r="AG153" s="54"/>
      <c r="AH153" s="54"/>
      <c r="AI153" s="54"/>
      <c r="AJ153" s="54"/>
      <c r="AK153" s="54"/>
      <c r="AL153" s="54"/>
      <c r="AM153" s="54"/>
      <c r="AN153" s="54"/>
      <c r="AO153" s="54"/>
      <c r="AP153" s="54"/>
      <c r="AQ153" s="54"/>
      <c r="AR153" s="54"/>
      <c r="AS153" s="54"/>
      <c r="AT153" s="54"/>
      <c r="AU153" s="55"/>
      <c r="AV153" s="54"/>
      <c r="AW153" s="54"/>
      <c r="AX153" s="54"/>
      <c r="AY153" s="54" t="s">
        <v>1183</v>
      </c>
      <c r="AZ153" s="54" t="s">
        <v>1183</v>
      </c>
      <c r="BA153" s="54"/>
      <c r="BB153" s="58" t="s">
        <v>80</v>
      </c>
    </row>
    <row r="154" spans="1:55" ht="25.5" customHeight="1">
      <c r="A154" s="64" t="s">
        <v>1184</v>
      </c>
      <c r="B154" s="64" t="s">
        <v>1185</v>
      </c>
      <c r="C154" s="54" t="s">
        <v>1186</v>
      </c>
      <c r="D154" s="71" t="s">
        <v>1187</v>
      </c>
      <c r="E154" s="54" t="s">
        <v>76</v>
      </c>
      <c r="F154" s="54" t="s">
        <v>64</v>
      </c>
      <c r="G154" s="54"/>
      <c r="H154" s="54"/>
      <c r="I154" s="54"/>
      <c r="J154" s="54"/>
      <c r="K154" s="54"/>
      <c r="L154" s="54"/>
      <c r="M154" s="54"/>
      <c r="N154" s="54"/>
      <c r="O154" s="54"/>
      <c r="P154" s="54"/>
      <c r="Q154" s="54" t="s">
        <v>1188</v>
      </c>
      <c r="R154" s="54"/>
      <c r="S154" s="54"/>
      <c r="T154" s="54"/>
      <c r="U154" s="54"/>
      <c r="V154" s="52" t="s">
        <v>621</v>
      </c>
      <c r="W154" s="52" t="s">
        <v>1122</v>
      </c>
      <c r="X154" s="52" t="s">
        <v>639</v>
      </c>
      <c r="Y154" s="54" t="str">
        <f>"[" &amp; _xlfn.TEXTJOIN(", ", TRUE,
    IF(G154&lt;&gt;"", """" &amp; G$1 &amp; """", ""),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T154 &amp; """", ""),
    IF(U154&lt;&gt;"", """" &amp; U154 &amp; """", ""),
    IF(V154&lt;&gt;"", """" &amp; V154 &amp; """", ""),
    IF(W154&lt;&gt;"", """" &amp; W154 &amp; """", ""),
    IF(X154&lt;&gt;"", """" &amp; X154 &amp; """", "")
) &amp; "]"</f>
        <v>["PHD", "Taxonomy", "Virus Taxonomy", "ICTV Taxonomy"]</v>
      </c>
      <c r="Z154" s="54" t="s">
        <v>640</v>
      </c>
      <c r="AA154" s="54" t="s">
        <v>71</v>
      </c>
      <c r="AB154" s="54"/>
      <c r="AC154" s="54"/>
      <c r="AD154" s="54"/>
      <c r="AE154" s="54"/>
      <c r="AF154" s="54"/>
      <c r="AG154" s="54"/>
      <c r="AH154" s="54"/>
      <c r="AI154" s="54"/>
      <c r="AJ154" s="54"/>
      <c r="AK154" s="54"/>
      <c r="AL154" s="54"/>
      <c r="AM154" s="54"/>
      <c r="AN154" s="54"/>
      <c r="AO154" s="54"/>
      <c r="AP154" s="54"/>
      <c r="AQ154" s="54"/>
      <c r="AR154" s="54"/>
      <c r="AS154" s="54"/>
      <c r="AT154" s="54"/>
      <c r="AU154" s="55"/>
      <c r="AV154" s="54"/>
      <c r="AW154" s="54"/>
      <c r="AX154" s="54"/>
      <c r="AY154" s="54" t="s">
        <v>1189</v>
      </c>
      <c r="AZ154" s="54" t="s">
        <v>1189</v>
      </c>
      <c r="BA154" s="54"/>
    </row>
    <row r="155" spans="1:55" ht="25.5" customHeight="1">
      <c r="A155" s="64" t="s">
        <v>1190</v>
      </c>
      <c r="B155" s="64" t="s">
        <v>1191</v>
      </c>
      <c r="C155" s="54" t="s">
        <v>1192</v>
      </c>
      <c r="D155" s="71" t="s">
        <v>1193</v>
      </c>
      <c r="E155" s="54" t="s">
        <v>76</v>
      </c>
      <c r="F155" s="54" t="s">
        <v>64</v>
      </c>
      <c r="G155" s="54"/>
      <c r="H155" s="54"/>
      <c r="I155" s="54"/>
      <c r="J155" s="54"/>
      <c r="K155" s="54"/>
      <c r="L155" s="54"/>
      <c r="M155" s="54"/>
      <c r="N155" s="54"/>
      <c r="O155" s="54"/>
      <c r="P155" s="60" t="s">
        <v>1194</v>
      </c>
      <c r="Q155" s="60" t="s">
        <v>1194</v>
      </c>
      <c r="R155" s="60" t="s">
        <v>1194</v>
      </c>
      <c r="S155" s="54"/>
      <c r="T155" s="54"/>
      <c r="U155" s="54"/>
      <c r="V155" s="52" t="s">
        <v>621</v>
      </c>
      <c r="W155" s="52" t="s">
        <v>1122</v>
      </c>
      <c r="X155" s="52" t="s">
        <v>639</v>
      </c>
      <c r="Y155" s="54" t="str">
        <f>"[" &amp; _xlfn.TEXTJOIN(", ", TRUE,
    IF(G155&lt;&gt;"", """" &amp; G$1 &amp; """", ""),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T155 &amp; """", ""),
    IF(U155&lt;&gt;"", """" &amp; U155 &amp; """", ""),
    IF(V155&lt;&gt;"", """" &amp; V155 &amp; """", ""),
    IF(W155&lt;&gt;"", """" &amp; W155 &amp; """", ""),
    IF(X155&lt;&gt;"", """" &amp; X155 &amp; """", "")
) &amp; "]"</f>
        <v>["IMG/VR", "PHD", "PhiSpy", "Taxonomy", "Virus Taxonomy", "ICTV Taxonomy"]</v>
      </c>
      <c r="Z155" s="54" t="s">
        <v>640</v>
      </c>
      <c r="AA155" s="54" t="s">
        <v>71</v>
      </c>
      <c r="AB155" s="54"/>
      <c r="AC155" s="54"/>
      <c r="AD155" s="54"/>
      <c r="AE155" s="54"/>
      <c r="AF155" s="54"/>
      <c r="AG155" s="54"/>
      <c r="AH155" s="54"/>
      <c r="AI155" s="54"/>
      <c r="AJ155" s="54"/>
      <c r="AK155" s="54"/>
      <c r="AL155" s="54"/>
      <c r="AM155" s="54"/>
      <c r="AN155" s="54"/>
      <c r="AO155" s="54"/>
      <c r="AP155" s="54"/>
      <c r="AQ155" s="54"/>
      <c r="AR155" s="54"/>
      <c r="AS155" s="54"/>
      <c r="AT155" s="54"/>
      <c r="AU155" s="55"/>
      <c r="AV155" s="54"/>
      <c r="AW155" s="54"/>
      <c r="AX155" s="54"/>
      <c r="AY155" s="54" t="s">
        <v>1195</v>
      </c>
      <c r="AZ155" s="54" t="s">
        <v>1195</v>
      </c>
      <c r="BA155" s="54"/>
      <c r="BB155" s="58" t="s">
        <v>80</v>
      </c>
    </row>
    <row r="156" spans="1:55" ht="25.5" customHeight="1">
      <c r="A156" s="64" t="s">
        <v>1196</v>
      </c>
      <c r="B156" s="64" t="s">
        <v>1197</v>
      </c>
      <c r="C156" s="54" t="s">
        <v>1198</v>
      </c>
      <c r="D156" s="71" t="s">
        <v>1199</v>
      </c>
      <c r="E156" s="54" t="s">
        <v>76</v>
      </c>
      <c r="F156" s="54" t="s">
        <v>64</v>
      </c>
      <c r="G156" s="54"/>
      <c r="H156" s="54"/>
      <c r="I156" s="54"/>
      <c r="J156" s="54"/>
      <c r="K156" s="54"/>
      <c r="L156" s="54"/>
      <c r="M156" s="54"/>
      <c r="N156" s="54"/>
      <c r="O156" s="54"/>
      <c r="P156" s="54"/>
      <c r="Q156" s="54" t="s">
        <v>1200</v>
      </c>
      <c r="R156" s="54"/>
      <c r="S156" s="54"/>
      <c r="T156" s="54"/>
      <c r="U156" s="54"/>
      <c r="V156" s="52" t="s">
        <v>621</v>
      </c>
      <c r="W156" s="52" t="s">
        <v>1122</v>
      </c>
      <c r="X156" s="52" t="s">
        <v>639</v>
      </c>
      <c r="Y156" s="54" t="str">
        <f>"[" &amp; _xlfn.TEXTJOIN(", ", TRUE,
    IF(G156&lt;&gt;"", """" &amp; G$1 &amp; """", ""),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T156 &amp; """", ""),
    IF(U156&lt;&gt;"", """" &amp; U156 &amp; """", ""),
    IF(V156&lt;&gt;"", """" &amp; V156 &amp; """", ""),
    IF(W156&lt;&gt;"", """" &amp; W156 &amp; """", ""),
    IF(X156&lt;&gt;"", """" &amp; X156 &amp; """", "")
) &amp; "]"</f>
        <v>["PHD", "Taxonomy", "Virus Taxonomy", "ICTV Taxonomy"]</v>
      </c>
      <c r="Z156" s="54" t="s">
        <v>640</v>
      </c>
      <c r="AA156" s="54" t="s">
        <v>71</v>
      </c>
      <c r="AB156" s="54"/>
      <c r="AC156" s="54"/>
      <c r="AD156" s="54"/>
      <c r="AE156" s="54"/>
      <c r="AF156" s="54"/>
      <c r="AG156" s="54"/>
      <c r="AH156" s="54"/>
      <c r="AI156" s="54"/>
      <c r="AJ156" s="54"/>
      <c r="AK156" s="54"/>
      <c r="AL156" s="54"/>
      <c r="AM156" s="54"/>
      <c r="AN156" s="54"/>
      <c r="AO156" s="54"/>
      <c r="AP156" s="54"/>
      <c r="AQ156" s="54"/>
      <c r="AR156" s="54"/>
      <c r="AS156" s="54"/>
      <c r="AT156" s="54"/>
      <c r="AU156" s="55"/>
      <c r="AV156" s="54"/>
      <c r="AW156" s="54"/>
      <c r="AX156" s="54"/>
      <c r="AY156" s="54" t="s">
        <v>1201</v>
      </c>
      <c r="AZ156" s="54" t="s">
        <v>1201</v>
      </c>
      <c r="BA156" s="54"/>
    </row>
    <row r="157" spans="1:55" ht="25.5" customHeight="1">
      <c r="A157" s="64" t="s">
        <v>1202</v>
      </c>
      <c r="B157" s="64" t="s">
        <v>1203</v>
      </c>
      <c r="C157" s="52" t="s">
        <v>1204</v>
      </c>
      <c r="D157" s="71" t="s">
        <v>1205</v>
      </c>
      <c r="E157" s="54" t="s">
        <v>76</v>
      </c>
      <c r="F157" s="54" t="s">
        <v>64</v>
      </c>
      <c r="G157" s="54"/>
      <c r="H157" s="54"/>
      <c r="I157" s="54"/>
      <c r="J157" s="54"/>
      <c r="K157" s="54"/>
      <c r="L157" s="54"/>
      <c r="M157" s="54"/>
      <c r="N157" s="54"/>
      <c r="O157" s="54"/>
      <c r="P157" s="60" t="s">
        <v>1206</v>
      </c>
      <c r="Q157" s="60" t="s">
        <v>1206</v>
      </c>
      <c r="R157" s="60" t="s">
        <v>1206</v>
      </c>
      <c r="S157" s="54"/>
      <c r="T157" s="53"/>
      <c r="U157" s="53"/>
      <c r="V157" s="52" t="s">
        <v>621</v>
      </c>
      <c r="W157" s="52" t="s">
        <v>1122</v>
      </c>
      <c r="X157" s="52" t="s">
        <v>639</v>
      </c>
      <c r="Y157" s="54" t="str">
        <f>"[" &amp; _xlfn.TEXTJOIN(", ", TRUE,
    IF(G157&lt;&gt;"", """" &amp; G$1 &amp; """", ""),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T157 &amp; """", ""),
    IF(U157&lt;&gt;"", """" &amp; U157 &amp; """", ""),
    IF(V157&lt;&gt;"", """" &amp; V157 &amp; """", ""),
    IF(W157&lt;&gt;"", """" &amp; W157 &amp; """", ""),
    IF(X157&lt;&gt;"", """" &amp; X157 &amp; """", "")
) &amp; "]"</f>
        <v>["IMG/VR", "PHD", "PhiSpy", "Taxonomy", "Virus Taxonomy", "ICTV Taxonomy"]</v>
      </c>
      <c r="Z157" s="54" t="s">
        <v>640</v>
      </c>
      <c r="AA157" s="52" t="s">
        <v>1207</v>
      </c>
      <c r="AB157" s="54" t="s">
        <v>641</v>
      </c>
      <c r="AC157" s="54"/>
      <c r="AD157" s="54"/>
      <c r="AE157" s="54"/>
      <c r="AF157" s="54"/>
      <c r="AG157" s="54"/>
      <c r="AH157" s="54"/>
      <c r="AI157" s="54"/>
      <c r="AJ157" s="54"/>
      <c r="AK157" s="54"/>
      <c r="AL157" s="54"/>
      <c r="AM157" s="54"/>
      <c r="AN157" s="54"/>
      <c r="AO157" s="54"/>
      <c r="AP157" s="54"/>
      <c r="AQ157" s="54"/>
      <c r="AR157" s="54"/>
      <c r="AS157" s="54"/>
      <c r="AT157" s="54"/>
      <c r="AU157" s="55"/>
      <c r="AV157" s="54"/>
      <c r="AW157" s="52" t="s">
        <v>211</v>
      </c>
      <c r="AX157" s="52" t="s">
        <v>132</v>
      </c>
      <c r="AY157" s="54" t="s">
        <v>1208</v>
      </c>
      <c r="AZ157" s="54" t="s">
        <v>1208</v>
      </c>
      <c r="BA157" s="54"/>
      <c r="BB157" s="58" t="s">
        <v>80</v>
      </c>
      <c r="BC157" s="58" t="s">
        <v>80</v>
      </c>
    </row>
    <row r="158" spans="1:55" ht="25.5" customHeight="1">
      <c r="A158" s="64" t="s">
        <v>1209</v>
      </c>
      <c r="B158" s="64" t="s">
        <v>1210</v>
      </c>
      <c r="C158" s="54" t="s">
        <v>1211</v>
      </c>
      <c r="D158" s="71" t="s">
        <v>1212</v>
      </c>
      <c r="E158" s="54" t="s">
        <v>76</v>
      </c>
      <c r="F158" s="54" t="s">
        <v>64</v>
      </c>
      <c r="G158" s="54"/>
      <c r="H158" s="54"/>
      <c r="I158" s="54"/>
      <c r="J158" s="54"/>
      <c r="K158" s="54"/>
      <c r="L158" s="54"/>
      <c r="M158" s="54"/>
      <c r="N158" s="54"/>
      <c r="O158" s="54"/>
      <c r="P158" s="54"/>
      <c r="Q158" s="54" t="s">
        <v>1213</v>
      </c>
      <c r="R158" s="54"/>
      <c r="S158" s="54"/>
      <c r="T158" s="54"/>
      <c r="U158" s="54"/>
      <c r="V158" s="52" t="s">
        <v>122</v>
      </c>
      <c r="W158" s="52" t="s">
        <v>1122</v>
      </c>
      <c r="X158" s="52" t="s">
        <v>517</v>
      </c>
      <c r="Y158" s="54" t="str">
        <f>"[" &amp; _xlfn.TEXTJOIN(", ", TRUE,
    IF(G158&lt;&gt;"", """" &amp; G$1 &amp; """", ""),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T158 &amp; """", ""),
    IF(U158&lt;&gt;"", """" &amp; U158 &amp; """", ""),
    IF(V158&lt;&gt;"", """" &amp; V158 &amp; """", ""),
    IF(W158&lt;&gt;"", """" &amp; W158 &amp; """", ""),
    IF(X158&lt;&gt;"", """" &amp; X158 &amp; """", "")
) &amp; "]"</f>
        <v>["PHD", "Sample", "Virus Taxonomy", "NCBI Taxonomy"]</v>
      </c>
      <c r="Z158" s="54" t="s">
        <v>517</v>
      </c>
      <c r="AA158" s="54" t="s">
        <v>71</v>
      </c>
      <c r="AB158" s="54"/>
      <c r="AC158" s="54"/>
      <c r="AD158" s="54"/>
      <c r="AE158" s="54"/>
      <c r="AF158" s="54"/>
      <c r="AG158" s="54"/>
      <c r="AH158" s="54"/>
      <c r="AI158" s="54"/>
      <c r="AJ158" s="54"/>
      <c r="AK158" s="54"/>
      <c r="AL158" s="54"/>
      <c r="AM158" s="54"/>
      <c r="AN158" s="54"/>
      <c r="AO158" s="54"/>
      <c r="AP158" s="54"/>
      <c r="AQ158" s="54"/>
      <c r="AR158" s="54"/>
      <c r="AS158" s="54"/>
      <c r="AT158" s="54"/>
      <c r="AU158" s="55"/>
      <c r="AV158" s="54"/>
      <c r="AW158" s="54"/>
      <c r="AX158" s="54"/>
      <c r="AY158" s="54"/>
      <c r="AZ158" s="54"/>
      <c r="BA158" s="54"/>
    </row>
    <row r="159" spans="1:55" ht="25.5" customHeight="1">
      <c r="A159" s="64" t="s">
        <v>1214</v>
      </c>
      <c r="B159" s="64" t="s">
        <v>1215</v>
      </c>
      <c r="C159" s="54" t="s">
        <v>1216</v>
      </c>
      <c r="D159" s="71" t="s">
        <v>1217</v>
      </c>
      <c r="E159" s="54" t="s">
        <v>76</v>
      </c>
      <c r="F159" s="54" t="s">
        <v>154</v>
      </c>
      <c r="G159" s="54"/>
      <c r="H159" s="54"/>
      <c r="I159" s="54"/>
      <c r="J159" s="54"/>
      <c r="K159" s="54"/>
      <c r="L159" s="54"/>
      <c r="M159" s="54"/>
      <c r="N159" s="54"/>
      <c r="O159" s="54"/>
      <c r="P159" s="54"/>
      <c r="Q159" s="54" t="s">
        <v>1215</v>
      </c>
      <c r="R159" s="54"/>
      <c r="S159" s="54"/>
      <c r="T159" s="54"/>
      <c r="U159" s="54"/>
      <c r="V159" s="52" t="s">
        <v>621</v>
      </c>
      <c r="W159" s="52" t="s">
        <v>1122</v>
      </c>
      <c r="X159" s="52" t="s">
        <v>517</v>
      </c>
      <c r="Y159" s="54" t="str">
        <f>"[" &amp; _xlfn.TEXTJOIN(", ", TRUE,
    IF(G159&lt;&gt;"", """" &amp; G$1 &amp; """", ""),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T159 &amp; """", ""),
    IF(U159&lt;&gt;"", """" &amp; U159 &amp; """", ""),
    IF(V159&lt;&gt;"", """" &amp; V159 &amp; """", ""),
    IF(W159&lt;&gt;"", """" &amp; W159 &amp; """", ""),
    IF(X159&lt;&gt;"", """" &amp; X159 &amp; """", "")
) &amp; "]"</f>
        <v>["PHD", "Taxonomy", "Virus Taxonomy", "NCBI Taxonomy"]</v>
      </c>
      <c r="Z159" s="54"/>
      <c r="AA159" s="54" t="s">
        <v>71</v>
      </c>
      <c r="AB159" s="54"/>
      <c r="AC159" s="54"/>
      <c r="AD159" s="54"/>
      <c r="AE159" s="54"/>
      <c r="AF159" s="54"/>
      <c r="AG159" s="54"/>
      <c r="AH159" s="54"/>
      <c r="AI159" s="54"/>
      <c r="AJ159" s="54"/>
      <c r="AK159" s="54"/>
      <c r="AL159" s="54"/>
      <c r="AM159" s="54"/>
      <c r="AN159" s="54"/>
      <c r="AO159" s="54"/>
      <c r="AP159" s="54"/>
      <c r="AQ159" s="54"/>
      <c r="AR159" s="54"/>
      <c r="AS159" s="54"/>
      <c r="AT159" s="54"/>
      <c r="AU159" s="55"/>
      <c r="AV159" s="54"/>
      <c r="AW159" s="54"/>
      <c r="AX159" s="54"/>
      <c r="AY159" s="54"/>
      <c r="AZ159" s="54"/>
      <c r="BA159" s="54"/>
    </row>
    <row r="160" spans="1:55" ht="25.5" customHeight="1">
      <c r="A160" s="64" t="s">
        <v>1218</v>
      </c>
      <c r="B160" s="64" t="s">
        <v>1219</v>
      </c>
      <c r="C160" s="54" t="s">
        <v>1220</v>
      </c>
      <c r="D160" s="71" t="s">
        <v>1221</v>
      </c>
      <c r="E160" s="54" t="s">
        <v>76</v>
      </c>
      <c r="F160" s="54" t="s">
        <v>64</v>
      </c>
      <c r="G160" s="54"/>
      <c r="H160" s="54"/>
      <c r="I160" s="54"/>
      <c r="J160" s="54"/>
      <c r="K160" s="54"/>
      <c r="L160" s="54"/>
      <c r="M160" s="54" t="s">
        <v>1135</v>
      </c>
      <c r="N160" s="54"/>
      <c r="O160" s="54"/>
      <c r="P160" s="54"/>
      <c r="Q160" s="54" t="s">
        <v>1222</v>
      </c>
      <c r="R160" s="54"/>
      <c r="S160" s="54"/>
      <c r="T160" s="54"/>
      <c r="U160" s="54"/>
      <c r="V160" s="52" t="s">
        <v>621</v>
      </c>
      <c r="W160" s="52" t="s">
        <v>1122</v>
      </c>
      <c r="X160" s="52" t="s">
        <v>517</v>
      </c>
      <c r="Y160" s="54" t="str">
        <f>"[" &amp; _xlfn.TEXTJOIN(", ", TRUE,
    IF(G160&lt;&gt;"", """" &amp; G$1 &amp; """", ""),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T160 &amp; """", ""),
    IF(U160&lt;&gt;"", """" &amp; U160 &amp; """", ""),
    IF(V160&lt;&gt;"", """" &amp; V160 &amp; """", ""),
    IF(W160&lt;&gt;"", """" &amp; W160 &amp; """", ""),
    IF(X160&lt;&gt;"", """" &amp; X160 &amp; """", "")
) &amp; "]"</f>
        <v>["BV-BRC", "PHD", "Taxonomy", "Virus Taxonomy", "NCBI Taxonomy"]</v>
      </c>
      <c r="Z160" s="54" t="s">
        <v>359</v>
      </c>
      <c r="AA160" s="54" t="s">
        <v>71</v>
      </c>
      <c r="AB160" s="54"/>
      <c r="AC160" s="54"/>
      <c r="AD160" s="54"/>
      <c r="AE160" s="54"/>
      <c r="AF160" s="54" t="s">
        <v>623</v>
      </c>
      <c r="AG160" s="54" t="s">
        <v>621</v>
      </c>
      <c r="AH160" s="54" t="s">
        <v>1223</v>
      </c>
      <c r="AI160" s="54" t="s">
        <v>75</v>
      </c>
      <c r="AJ160" s="54"/>
      <c r="AK160" s="65"/>
      <c r="AL160" s="54"/>
      <c r="AM160" s="54"/>
      <c r="AN160" s="54"/>
      <c r="AO160" s="54"/>
      <c r="AP160" s="54"/>
      <c r="AQ160" s="54"/>
      <c r="AR160" s="54"/>
      <c r="AS160" s="54"/>
      <c r="AT160" s="54"/>
      <c r="AU160" s="55"/>
      <c r="AV160" s="54"/>
      <c r="AW160" s="54"/>
      <c r="AX160" s="54"/>
      <c r="AY160" s="54"/>
      <c r="AZ160" s="54"/>
      <c r="BA160" s="54"/>
    </row>
    <row r="161" spans="1:55" ht="25.5" customHeight="1">
      <c r="A161" s="64" t="s">
        <v>1224</v>
      </c>
      <c r="B161" s="64" t="s">
        <v>1225</v>
      </c>
      <c r="C161" s="54" t="s">
        <v>1226</v>
      </c>
      <c r="D161" s="71" t="s">
        <v>1227</v>
      </c>
      <c r="E161" s="54" t="s">
        <v>76</v>
      </c>
      <c r="F161" s="54" t="s">
        <v>154</v>
      </c>
      <c r="G161" s="54"/>
      <c r="H161" s="54"/>
      <c r="I161" s="54"/>
      <c r="J161" s="54"/>
      <c r="K161" s="54"/>
      <c r="L161" s="54"/>
      <c r="M161" s="54"/>
      <c r="N161" s="54"/>
      <c r="O161" s="54"/>
      <c r="P161" s="54"/>
      <c r="Q161" s="54" t="s">
        <v>1225</v>
      </c>
      <c r="R161" s="54"/>
      <c r="S161" s="54"/>
      <c r="T161" s="54"/>
      <c r="U161" s="54"/>
      <c r="V161" s="52" t="s">
        <v>621</v>
      </c>
      <c r="W161" s="52" t="s">
        <v>1122</v>
      </c>
      <c r="X161" s="52" t="s">
        <v>517</v>
      </c>
      <c r="Y161" s="54" t="str">
        <f>"[" &amp; _xlfn.TEXTJOIN(", ", TRUE,
    IF(G161&lt;&gt;"", """" &amp; G$1 &amp; """", ""),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T161 &amp; """", ""),
    IF(U161&lt;&gt;"", """" &amp; U161 &amp; """", ""),
    IF(V161&lt;&gt;"", """" &amp; V161 &amp; """", ""),
    IF(W161&lt;&gt;"", """" &amp; W161 &amp; """", ""),
    IF(X161&lt;&gt;"", """" &amp; X161 &amp; """", "")
) &amp; "]"</f>
        <v>["PHD", "Taxonomy", "Virus Taxonomy", "NCBI Taxonomy"]</v>
      </c>
      <c r="Z161" s="54"/>
      <c r="AA161" s="54" t="s">
        <v>71</v>
      </c>
      <c r="AB161" s="54"/>
      <c r="AC161" s="54"/>
      <c r="AD161" s="54"/>
      <c r="AE161" s="54"/>
      <c r="AF161" s="54"/>
      <c r="AG161" s="54"/>
      <c r="AH161" s="54"/>
      <c r="AI161" s="54"/>
      <c r="AJ161" s="54"/>
      <c r="AK161" s="54"/>
      <c r="AL161" s="54"/>
      <c r="AM161" s="54"/>
      <c r="AN161" s="54"/>
      <c r="AO161" s="54"/>
      <c r="AP161" s="54"/>
      <c r="AQ161" s="54"/>
      <c r="AR161" s="54"/>
      <c r="AS161" s="54"/>
      <c r="AT161" s="54"/>
      <c r="AU161" s="55"/>
      <c r="AV161" s="54"/>
      <c r="AW161" s="54"/>
      <c r="AX161" s="54"/>
      <c r="AY161" s="54"/>
      <c r="AZ161" s="54"/>
      <c r="BA161" s="54"/>
    </row>
    <row r="162" spans="1:55" ht="25.5" customHeight="1">
      <c r="A162" s="64" t="s">
        <v>1228</v>
      </c>
      <c r="B162" s="64" t="s">
        <v>1229</v>
      </c>
      <c r="C162" s="54" t="s">
        <v>1230</v>
      </c>
      <c r="D162" s="71" t="s">
        <v>1231</v>
      </c>
      <c r="E162" s="54" t="s">
        <v>76</v>
      </c>
      <c r="F162" s="54" t="s">
        <v>64</v>
      </c>
      <c r="G162" s="54"/>
      <c r="H162" s="54"/>
      <c r="I162" s="54"/>
      <c r="J162" s="54"/>
      <c r="K162" s="54"/>
      <c r="L162" s="54"/>
      <c r="M162" s="54" t="s">
        <v>1147</v>
      </c>
      <c r="N162" s="54"/>
      <c r="O162" s="54"/>
      <c r="P162" s="54"/>
      <c r="Q162" s="54" t="s">
        <v>1232</v>
      </c>
      <c r="R162" s="54"/>
      <c r="S162" s="54"/>
      <c r="T162" s="54"/>
      <c r="U162" s="54"/>
      <c r="V162" s="52" t="s">
        <v>621</v>
      </c>
      <c r="W162" s="52" t="s">
        <v>1122</v>
      </c>
      <c r="X162" s="52" t="s">
        <v>517</v>
      </c>
      <c r="Y162" s="54" t="str">
        <f>"[" &amp; _xlfn.TEXTJOIN(", ", TRUE,
    IF(G162&lt;&gt;"", """" &amp; G$1 &amp; """", ""),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T162 &amp; """", ""),
    IF(U162&lt;&gt;"", """" &amp; U162 &amp; """", ""),
    IF(V162&lt;&gt;"", """" &amp; V162 &amp; """", ""),
    IF(W162&lt;&gt;"", """" &amp; W162 &amp; """", ""),
    IF(X162&lt;&gt;"", """" &amp; X162 &amp; """", "")
) &amp; "]"</f>
        <v>["BV-BRC", "PHD", "Taxonomy", "Virus Taxonomy", "NCBI Taxonomy"]</v>
      </c>
      <c r="Z162" s="54" t="s">
        <v>359</v>
      </c>
      <c r="AA162" s="54" t="s">
        <v>71</v>
      </c>
      <c r="AB162" s="54"/>
      <c r="AC162" s="54"/>
      <c r="AD162" s="54"/>
      <c r="AE162" s="54"/>
      <c r="AF162" s="54" t="s">
        <v>623</v>
      </c>
      <c r="AG162" s="54" t="s">
        <v>621</v>
      </c>
      <c r="AH162" s="54" t="s">
        <v>1233</v>
      </c>
      <c r="AI162" s="54" t="s">
        <v>75</v>
      </c>
      <c r="AJ162" s="54"/>
      <c r="AK162" s="65"/>
      <c r="AL162" s="54"/>
      <c r="AM162" s="54"/>
      <c r="AN162" s="54"/>
      <c r="AO162" s="54"/>
      <c r="AP162" s="54"/>
      <c r="AQ162" s="54"/>
      <c r="AR162" s="54"/>
      <c r="AS162" s="54"/>
      <c r="AT162" s="54"/>
      <c r="AU162" s="55"/>
      <c r="AV162" s="54"/>
      <c r="AW162" s="54"/>
      <c r="AX162" s="54"/>
      <c r="AY162" s="54"/>
      <c r="AZ162" s="54"/>
      <c r="BA162" s="54"/>
    </row>
    <row r="163" spans="1:55" ht="25.5" customHeight="1">
      <c r="A163" s="64" t="s">
        <v>1234</v>
      </c>
      <c r="B163" s="64" t="s">
        <v>1235</v>
      </c>
      <c r="C163" s="54" t="s">
        <v>1236</v>
      </c>
      <c r="D163" s="71" t="s">
        <v>1237</v>
      </c>
      <c r="E163" s="54" t="s">
        <v>76</v>
      </c>
      <c r="F163" s="54" t="s">
        <v>64</v>
      </c>
      <c r="G163" s="54"/>
      <c r="H163" s="54"/>
      <c r="I163" s="54"/>
      <c r="J163" s="54"/>
      <c r="K163" s="54"/>
      <c r="L163" s="54"/>
      <c r="M163" s="54"/>
      <c r="N163" s="54"/>
      <c r="O163" s="54"/>
      <c r="P163" s="54"/>
      <c r="Q163" s="54" t="s">
        <v>1238</v>
      </c>
      <c r="R163" s="54"/>
      <c r="S163" s="54"/>
      <c r="T163" s="54"/>
      <c r="U163" s="54"/>
      <c r="V163" s="52" t="s">
        <v>621</v>
      </c>
      <c r="W163" s="52" t="s">
        <v>1122</v>
      </c>
      <c r="X163" s="52" t="s">
        <v>517</v>
      </c>
      <c r="Y163" s="54" t="str">
        <f>"[" &amp; _xlfn.TEXTJOIN(", ", TRUE,
    IF(G163&lt;&gt;"", """" &amp; G$1 &amp; """", ""),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T163 &amp; """", ""),
    IF(U163&lt;&gt;"", """" &amp; U163 &amp; """", ""),
    IF(V163&lt;&gt;"", """" &amp; V163 &amp; """", ""),
    IF(W163&lt;&gt;"", """" &amp; W163 &amp; """", ""),
    IF(X163&lt;&gt;"", """" &amp; X163 &amp; """", "")
) &amp; "]"</f>
        <v>["PHD", "Taxonomy", "Virus Taxonomy", "NCBI Taxonomy"]</v>
      </c>
      <c r="Z163" s="54" t="s">
        <v>517</v>
      </c>
      <c r="AA163" s="54" t="s">
        <v>71</v>
      </c>
      <c r="AB163" s="54"/>
      <c r="AC163" s="54"/>
      <c r="AD163" s="54"/>
      <c r="AE163" s="54"/>
      <c r="AF163" s="54"/>
      <c r="AG163" s="54"/>
      <c r="AH163" s="54"/>
      <c r="AI163" s="54"/>
      <c r="AJ163" s="54"/>
      <c r="AK163" s="54"/>
      <c r="AL163" s="54"/>
      <c r="AM163" s="54"/>
      <c r="AN163" s="54"/>
      <c r="AO163" s="54"/>
      <c r="AP163" s="54"/>
      <c r="AQ163" s="54"/>
      <c r="AR163" s="54"/>
      <c r="AS163" s="54"/>
      <c r="AT163" s="54"/>
      <c r="AU163" s="55"/>
      <c r="AV163" s="54"/>
      <c r="AW163" s="54"/>
      <c r="AX163" s="54"/>
      <c r="AY163" s="54"/>
      <c r="AZ163" s="54"/>
      <c r="BA163" s="54"/>
    </row>
    <row r="164" spans="1:55" ht="25.5" customHeight="1">
      <c r="A164" s="64" t="s">
        <v>1239</v>
      </c>
      <c r="B164" s="64" t="s">
        <v>1240</v>
      </c>
      <c r="C164" s="54" t="s">
        <v>1241</v>
      </c>
      <c r="D164" s="71" t="s">
        <v>1242</v>
      </c>
      <c r="E164" s="54" t="s">
        <v>76</v>
      </c>
      <c r="F164" s="54" t="s">
        <v>64</v>
      </c>
      <c r="G164" s="54"/>
      <c r="H164" s="54"/>
      <c r="I164" s="54"/>
      <c r="J164" s="54"/>
      <c r="K164" s="54"/>
      <c r="L164" s="54"/>
      <c r="M164" s="54" t="s">
        <v>1159</v>
      </c>
      <c r="N164" s="54"/>
      <c r="O164" s="54"/>
      <c r="P164" s="54"/>
      <c r="Q164" s="54" t="s">
        <v>1243</v>
      </c>
      <c r="R164" s="54"/>
      <c r="S164" s="54"/>
      <c r="T164" s="54"/>
      <c r="U164" s="54"/>
      <c r="V164" s="52" t="s">
        <v>621</v>
      </c>
      <c r="W164" s="52" t="s">
        <v>1122</v>
      </c>
      <c r="X164" s="52" t="s">
        <v>517</v>
      </c>
      <c r="Y164" s="54" t="str">
        <f>"[" &amp; _xlfn.TEXTJOIN(", ", TRUE,
    IF(G164&lt;&gt;"", """" &amp; G$1 &amp; """", ""),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T164 &amp; """", ""),
    IF(U164&lt;&gt;"", """" &amp; U164 &amp; """", ""),
    IF(V164&lt;&gt;"", """" &amp; V164 &amp; """", ""),
    IF(W164&lt;&gt;"", """" &amp; W164 &amp; """", ""),
    IF(X164&lt;&gt;"", """" &amp; X164 &amp; """", "")
) &amp; "]"</f>
        <v>["BV-BRC", "PHD", "Taxonomy", "Virus Taxonomy", "NCBI Taxonomy"]</v>
      </c>
      <c r="Z164" s="54" t="s">
        <v>359</v>
      </c>
      <c r="AA164" s="54" t="s">
        <v>71</v>
      </c>
      <c r="AB164" s="54"/>
      <c r="AC164" s="54"/>
      <c r="AD164" s="54"/>
      <c r="AE164" s="54"/>
      <c r="AF164" s="54" t="s">
        <v>623</v>
      </c>
      <c r="AG164" s="54" t="s">
        <v>621</v>
      </c>
      <c r="AH164" s="54" t="s">
        <v>1244</v>
      </c>
      <c r="AI164" s="54" t="s">
        <v>75</v>
      </c>
      <c r="AJ164" s="54"/>
      <c r="AK164" s="65"/>
      <c r="AL164" s="54"/>
      <c r="AM164" s="54"/>
      <c r="AN164" s="54"/>
      <c r="AO164" s="54"/>
      <c r="AP164" s="54"/>
      <c r="AQ164" s="54"/>
      <c r="AR164" s="54"/>
      <c r="AS164" s="54"/>
      <c r="AT164" s="54"/>
      <c r="AU164" s="55"/>
      <c r="AV164" s="54"/>
      <c r="AW164" s="54"/>
      <c r="AX164" s="54"/>
      <c r="AY164" s="54"/>
      <c r="AZ164" s="54"/>
      <c r="BA164" s="54"/>
    </row>
    <row r="165" spans="1:55" ht="25.5" customHeight="1">
      <c r="A165" s="64" t="s">
        <v>1245</v>
      </c>
      <c r="B165" s="64" t="s">
        <v>1246</v>
      </c>
      <c r="C165" s="54" t="s">
        <v>1247</v>
      </c>
      <c r="D165" s="71" t="s">
        <v>1248</v>
      </c>
      <c r="E165" s="54" t="s">
        <v>76</v>
      </c>
      <c r="F165" s="54" t="s">
        <v>154</v>
      </c>
      <c r="G165" s="54"/>
      <c r="H165" s="54"/>
      <c r="I165" s="54"/>
      <c r="J165" s="54"/>
      <c r="K165" s="54"/>
      <c r="L165" s="54"/>
      <c r="M165" s="54"/>
      <c r="N165" s="54"/>
      <c r="O165" s="54"/>
      <c r="P165" s="54"/>
      <c r="Q165" s="54" t="s">
        <v>1246</v>
      </c>
      <c r="R165" s="54"/>
      <c r="S165" s="54"/>
      <c r="T165" s="54"/>
      <c r="U165" s="54"/>
      <c r="V165" s="52" t="s">
        <v>621</v>
      </c>
      <c r="W165" s="52" t="s">
        <v>1122</v>
      </c>
      <c r="X165" s="52" t="s">
        <v>517</v>
      </c>
      <c r="Y165" s="54" t="str">
        <f>"[" &amp; _xlfn.TEXTJOIN(", ", TRUE,
    IF(G165&lt;&gt;"", """" &amp; G$1 &amp; """", ""),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T165 &amp; """", ""),
    IF(U165&lt;&gt;"", """" &amp; U165 &amp; """", ""),
    IF(V165&lt;&gt;"", """" &amp; V165 &amp; """", ""),
    IF(W165&lt;&gt;"", """" &amp; W165 &amp; """", ""),
    IF(X165&lt;&gt;"", """" &amp; X165 &amp; """", "")
) &amp; "]"</f>
        <v>["PHD", "Taxonomy", "Virus Taxonomy", "NCBI Taxonomy"]</v>
      </c>
      <c r="Z165" s="54"/>
      <c r="AA165" s="54" t="s">
        <v>71</v>
      </c>
      <c r="AB165" s="54"/>
      <c r="AC165" s="54"/>
      <c r="AD165" s="54"/>
      <c r="AE165" s="54"/>
      <c r="AF165" s="54"/>
      <c r="AG165" s="54"/>
      <c r="AH165" s="54"/>
      <c r="AI165" s="54"/>
      <c r="AJ165" s="54"/>
      <c r="AK165" s="54"/>
      <c r="AL165" s="54"/>
      <c r="AM165" s="54"/>
      <c r="AN165" s="54"/>
      <c r="AO165" s="54"/>
      <c r="AP165" s="54"/>
      <c r="AQ165" s="54"/>
      <c r="AR165" s="54"/>
      <c r="AS165" s="54"/>
      <c r="AT165" s="54"/>
      <c r="AU165" s="55"/>
      <c r="AV165" s="54"/>
      <c r="AW165" s="54"/>
      <c r="AX165" s="54"/>
      <c r="AY165" s="54"/>
      <c r="AZ165" s="54"/>
      <c r="BA165" s="54"/>
    </row>
    <row r="166" spans="1:55" ht="25.5" customHeight="1">
      <c r="A166" s="64" t="s">
        <v>1249</v>
      </c>
      <c r="B166" s="64" t="s">
        <v>1250</v>
      </c>
      <c r="C166" s="54" t="s">
        <v>1251</v>
      </c>
      <c r="D166" s="71" t="s">
        <v>1252</v>
      </c>
      <c r="E166" s="54" t="s">
        <v>76</v>
      </c>
      <c r="F166" s="54" t="s">
        <v>64</v>
      </c>
      <c r="G166" s="54"/>
      <c r="H166" s="54"/>
      <c r="I166" s="54"/>
      <c r="J166" s="54"/>
      <c r="K166" s="54"/>
      <c r="L166" s="54"/>
      <c r="M166" s="54" t="s">
        <v>1171</v>
      </c>
      <c r="N166" s="54"/>
      <c r="O166" s="54"/>
      <c r="P166" s="54"/>
      <c r="Q166" s="54" t="s">
        <v>1253</v>
      </c>
      <c r="R166" s="54"/>
      <c r="S166" s="54"/>
      <c r="T166" s="54"/>
      <c r="U166" s="54"/>
      <c r="V166" s="52" t="s">
        <v>621</v>
      </c>
      <c r="W166" s="52" t="s">
        <v>1122</v>
      </c>
      <c r="X166" s="52" t="s">
        <v>517</v>
      </c>
      <c r="Y166" s="54" t="str">
        <f>"[" &amp; _xlfn.TEXTJOIN(", ", TRUE,
    IF(G166&lt;&gt;"", """" &amp; G$1 &amp; """", ""),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T166 &amp; """", ""),
    IF(U166&lt;&gt;"", """" &amp; U166 &amp; """", ""),
    IF(V166&lt;&gt;"", """" &amp; V166 &amp; """", ""),
    IF(W166&lt;&gt;"", """" &amp; W166 &amp; """", ""),
    IF(X166&lt;&gt;"", """" &amp; X166 &amp; """", "")
) &amp; "]"</f>
        <v>["BV-BRC", "PHD", "Taxonomy", "Virus Taxonomy", "NCBI Taxonomy"]</v>
      </c>
      <c r="Z166" s="54" t="s">
        <v>359</v>
      </c>
      <c r="AA166" s="54" t="s">
        <v>71</v>
      </c>
      <c r="AB166" s="54"/>
      <c r="AC166" s="54"/>
      <c r="AD166" s="54"/>
      <c r="AE166" s="54"/>
      <c r="AF166" s="54" t="s">
        <v>623</v>
      </c>
      <c r="AG166" s="54" t="s">
        <v>621</v>
      </c>
      <c r="AH166" s="54" t="s">
        <v>1254</v>
      </c>
      <c r="AI166" s="54" t="s">
        <v>75</v>
      </c>
      <c r="AJ166" s="54"/>
      <c r="AK166" s="65"/>
      <c r="AL166" s="54"/>
      <c r="AM166" s="54"/>
      <c r="AN166" s="54"/>
      <c r="AO166" s="54"/>
      <c r="AP166" s="54"/>
      <c r="AQ166" s="54"/>
      <c r="AR166" s="54"/>
      <c r="AS166" s="54"/>
      <c r="AT166" s="54"/>
      <c r="AU166" s="55"/>
      <c r="AV166" s="54"/>
      <c r="AW166" s="54"/>
      <c r="AX166" s="54"/>
      <c r="AY166" s="54"/>
      <c r="AZ166" s="54"/>
      <c r="BA166" s="54"/>
    </row>
    <row r="167" spans="1:55" ht="25.5" customHeight="1">
      <c r="A167" s="64" t="s">
        <v>1255</v>
      </c>
      <c r="B167" s="64" t="s">
        <v>1256</v>
      </c>
      <c r="C167" s="54" t="s">
        <v>1257</v>
      </c>
      <c r="D167" s="71" t="s">
        <v>1258</v>
      </c>
      <c r="E167" s="54" t="s">
        <v>76</v>
      </c>
      <c r="F167" s="54" t="s">
        <v>64</v>
      </c>
      <c r="G167" s="54"/>
      <c r="H167" s="54"/>
      <c r="I167" s="54"/>
      <c r="J167" s="54"/>
      <c r="K167" s="54"/>
      <c r="L167" s="54"/>
      <c r="M167" s="54"/>
      <c r="N167" s="54"/>
      <c r="O167" s="54"/>
      <c r="P167" s="54"/>
      <c r="Q167" s="54" t="s">
        <v>1259</v>
      </c>
      <c r="R167" s="54"/>
      <c r="S167" s="54"/>
      <c r="T167" s="54"/>
      <c r="U167" s="54"/>
      <c r="V167" s="52" t="s">
        <v>621</v>
      </c>
      <c r="W167" s="52" t="s">
        <v>1122</v>
      </c>
      <c r="X167" s="52" t="s">
        <v>517</v>
      </c>
      <c r="Y167" s="54" t="str">
        <f>"[" &amp; _xlfn.TEXTJOIN(", ", TRUE,
    IF(G167&lt;&gt;"", """" &amp; G$1 &amp; """", ""),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T167 &amp; """", ""),
    IF(U167&lt;&gt;"", """" &amp; U167 &amp; """", ""),
    IF(V167&lt;&gt;"", """" &amp; V167 &amp; """", ""),
    IF(W167&lt;&gt;"", """" &amp; W167 &amp; """", ""),
    IF(X167&lt;&gt;"", """" &amp; X167 &amp; """", "")
) &amp; "]"</f>
        <v>["PHD", "Taxonomy", "Virus Taxonomy", "NCBI Taxonomy"]</v>
      </c>
      <c r="Z167" s="54" t="s">
        <v>517</v>
      </c>
      <c r="AA167" s="54" t="s">
        <v>71</v>
      </c>
      <c r="AB167" s="54"/>
      <c r="AC167" s="54"/>
      <c r="AD167" s="54"/>
      <c r="AE167" s="54"/>
      <c r="AF167" s="54"/>
      <c r="AG167" s="54"/>
      <c r="AH167" s="54"/>
      <c r="AI167" s="54"/>
      <c r="AJ167" s="54"/>
      <c r="AK167" s="54"/>
      <c r="AL167" s="54"/>
      <c r="AM167" s="54"/>
      <c r="AN167" s="54"/>
      <c r="AO167" s="54"/>
      <c r="AP167" s="54"/>
      <c r="AQ167" s="54"/>
      <c r="AR167" s="54"/>
      <c r="AS167" s="54"/>
      <c r="AT167" s="54"/>
      <c r="AU167" s="55"/>
      <c r="AV167" s="54"/>
      <c r="AW167" s="54"/>
      <c r="AX167" s="54"/>
      <c r="AY167" s="54"/>
      <c r="AZ167" s="54"/>
      <c r="BA167" s="54"/>
    </row>
    <row r="168" spans="1:55" ht="25.5" customHeight="1">
      <c r="A168" s="64" t="s">
        <v>1260</v>
      </c>
      <c r="B168" s="64" t="s">
        <v>1261</v>
      </c>
      <c r="C168" s="54" t="s">
        <v>1262</v>
      </c>
      <c r="D168" s="71" t="s">
        <v>1263</v>
      </c>
      <c r="E168" s="54" t="s">
        <v>76</v>
      </c>
      <c r="F168" s="54" t="s">
        <v>64</v>
      </c>
      <c r="G168" s="54"/>
      <c r="H168" s="54"/>
      <c r="I168" s="54"/>
      <c r="J168" s="54"/>
      <c r="K168" s="54"/>
      <c r="L168" s="54" t="s">
        <v>1183</v>
      </c>
      <c r="M168" s="54" t="s">
        <v>1183</v>
      </c>
      <c r="N168" s="54"/>
      <c r="O168" s="54"/>
      <c r="P168" s="54"/>
      <c r="Q168" s="54" t="s">
        <v>1264</v>
      </c>
      <c r="R168" s="54"/>
      <c r="S168" s="54"/>
      <c r="T168" s="53"/>
      <c r="U168" s="53"/>
      <c r="V168" s="52" t="s">
        <v>621</v>
      </c>
      <c r="W168" s="52" t="s">
        <v>1122</v>
      </c>
      <c r="X168" s="52" t="s">
        <v>517</v>
      </c>
      <c r="Y168" s="54" t="str">
        <f>"[" &amp; _xlfn.TEXTJOIN(", ", TRUE,
    IF(G168&lt;&gt;"", """" &amp; G$1 &amp; """", ""),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T168 &amp; """", ""),
    IF(U168&lt;&gt;"", """" &amp; U168 &amp; """", ""),
    IF(V168&lt;&gt;"", """" &amp; V168 &amp; """", ""),
    IF(W168&lt;&gt;"", """" &amp; W168 &amp; """", ""),
    IF(X168&lt;&gt;"", """" &amp; X168 &amp; """", "")
) &amp; "]"</f>
        <v>["NCBI Virus", "BV-BRC", "PHD", "Taxonomy", "Virus Taxonomy", "NCBI Taxonomy"]</v>
      </c>
      <c r="Z168" s="54" t="s">
        <v>70</v>
      </c>
      <c r="AA168" s="52" t="s">
        <v>1207</v>
      </c>
      <c r="AB168" s="54"/>
      <c r="AC168" s="54" t="s">
        <v>1183</v>
      </c>
      <c r="AD168" s="54" t="s">
        <v>1265</v>
      </c>
      <c r="AE168" s="54"/>
      <c r="AF168" s="54"/>
      <c r="AG168" s="54" t="s">
        <v>623</v>
      </c>
      <c r="AH168" s="54" t="s">
        <v>621</v>
      </c>
      <c r="AI168" s="54" t="s">
        <v>1266</v>
      </c>
      <c r="AJ168" s="54" t="s">
        <v>75</v>
      </c>
      <c r="AK168" s="54"/>
      <c r="AL168" s="54"/>
      <c r="AM168" s="54"/>
      <c r="AN168" s="54"/>
      <c r="AO168" s="54"/>
      <c r="AP168" s="54"/>
      <c r="AQ168" s="54"/>
      <c r="AR168" s="54"/>
      <c r="AS168" s="54"/>
      <c r="AT168" s="54"/>
      <c r="AU168" s="55"/>
      <c r="AV168" s="54"/>
      <c r="AW168" s="52" t="s">
        <v>76</v>
      </c>
      <c r="AX168" s="52" t="s">
        <v>132</v>
      </c>
      <c r="AY168" s="54"/>
      <c r="AZ168" s="54"/>
      <c r="BA168" s="54"/>
      <c r="BB168" s="58" t="s">
        <v>80</v>
      </c>
      <c r="BC168" s="58" t="s">
        <v>80</v>
      </c>
    </row>
    <row r="169" spans="1:55" ht="25.5" customHeight="1">
      <c r="A169" s="64" t="s">
        <v>1267</v>
      </c>
      <c r="B169" s="64" t="s">
        <v>1268</v>
      </c>
      <c r="C169" s="54" t="s">
        <v>1269</v>
      </c>
      <c r="D169" s="71" t="s">
        <v>1270</v>
      </c>
      <c r="E169" s="54" t="s">
        <v>76</v>
      </c>
      <c r="F169" s="54" t="s">
        <v>64</v>
      </c>
      <c r="G169" s="54"/>
      <c r="H169" s="54"/>
      <c r="I169" s="54"/>
      <c r="J169" s="54"/>
      <c r="K169" s="54"/>
      <c r="L169" s="54"/>
      <c r="M169" s="54"/>
      <c r="N169" s="54"/>
      <c r="O169" s="54"/>
      <c r="P169" s="54"/>
      <c r="Q169" s="54" t="s">
        <v>1271</v>
      </c>
      <c r="R169" s="54"/>
      <c r="S169" s="54"/>
      <c r="T169" s="54"/>
      <c r="U169" s="54"/>
      <c r="V169" s="52" t="s">
        <v>621</v>
      </c>
      <c r="W169" s="52" t="s">
        <v>1122</v>
      </c>
      <c r="X169" s="52" t="s">
        <v>517</v>
      </c>
      <c r="Y169" s="54" t="str">
        <f>"[" &amp; _xlfn.TEXTJOIN(", ", TRUE,
    IF(G169&lt;&gt;"", """" &amp; G$1 &amp; """", ""),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T169 &amp; """", ""),
    IF(U169&lt;&gt;"", """" &amp; U169 &amp; """", ""),
    IF(V169&lt;&gt;"", """" &amp; V169 &amp; """", ""),
    IF(W169&lt;&gt;"", """" &amp; W169 &amp; """", ""),
    IF(X169&lt;&gt;"", """" &amp; X169 &amp; """", "")
) &amp; "]"</f>
        <v>["PHD", "Taxonomy", "Virus Taxonomy", "NCBI Taxonomy"]</v>
      </c>
      <c r="Z169" s="54" t="s">
        <v>517</v>
      </c>
      <c r="AA169" s="54" t="s">
        <v>71</v>
      </c>
      <c r="AB169" s="54"/>
      <c r="AC169" s="54"/>
      <c r="AD169" s="54"/>
      <c r="AE169" s="54"/>
      <c r="AF169" s="54"/>
      <c r="AG169" s="54"/>
      <c r="AH169" s="54"/>
      <c r="AI169" s="54"/>
      <c r="AJ169" s="54"/>
      <c r="AK169" s="54"/>
      <c r="AL169" s="54"/>
      <c r="AM169" s="54"/>
      <c r="AN169" s="54"/>
      <c r="AO169" s="54"/>
      <c r="AP169" s="54"/>
      <c r="AQ169" s="54"/>
      <c r="AR169" s="54"/>
      <c r="AS169" s="54"/>
      <c r="AT169" s="54"/>
      <c r="AU169" s="55"/>
      <c r="AV169" s="54"/>
      <c r="AW169" s="54"/>
      <c r="AX169" s="54"/>
      <c r="AY169" s="54"/>
      <c r="AZ169" s="54"/>
      <c r="BA169" s="54"/>
    </row>
    <row r="170" spans="1:55" ht="25.5" customHeight="1">
      <c r="A170" s="64" t="s">
        <v>1272</v>
      </c>
      <c r="B170" s="64" t="s">
        <v>1273</v>
      </c>
      <c r="C170" s="54" t="s">
        <v>1274</v>
      </c>
      <c r="D170" s="71" t="s">
        <v>1275</v>
      </c>
      <c r="E170" s="54" t="s">
        <v>76</v>
      </c>
      <c r="F170" s="54" t="s">
        <v>64</v>
      </c>
      <c r="G170" s="54"/>
      <c r="H170" s="54"/>
      <c r="I170" s="54"/>
      <c r="J170" s="54"/>
      <c r="K170" s="54"/>
      <c r="L170" s="54" t="s">
        <v>1195</v>
      </c>
      <c r="M170" s="54" t="s">
        <v>1195</v>
      </c>
      <c r="N170" s="54"/>
      <c r="O170" s="54"/>
      <c r="P170" s="54"/>
      <c r="Q170" s="54" t="s">
        <v>1276</v>
      </c>
      <c r="R170" s="54"/>
      <c r="S170" s="54"/>
      <c r="T170" s="53"/>
      <c r="U170" s="53"/>
      <c r="V170" s="52" t="s">
        <v>621</v>
      </c>
      <c r="W170" s="52" t="s">
        <v>1122</v>
      </c>
      <c r="X170" s="52" t="s">
        <v>517</v>
      </c>
      <c r="Y170" s="54" t="str">
        <f>"[" &amp; _xlfn.TEXTJOIN(", ", TRUE,
    IF(G170&lt;&gt;"", """" &amp; G$1 &amp; """", ""),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T170 &amp; """", ""),
    IF(U170&lt;&gt;"", """" &amp; U170 &amp; """", ""),
    IF(V170&lt;&gt;"", """" &amp; V170 &amp; """", ""),
    IF(W170&lt;&gt;"", """" &amp; W170 &amp; """", ""),
    IF(X170&lt;&gt;"", """" &amp; X170 &amp; """", "")
) &amp; "]"</f>
        <v>["NCBI Virus", "BV-BRC", "PHD", "Taxonomy", "Virus Taxonomy", "NCBI Taxonomy"]</v>
      </c>
      <c r="Z170" s="54" t="s">
        <v>70</v>
      </c>
      <c r="AA170" s="52" t="s">
        <v>1207</v>
      </c>
      <c r="AB170" s="54"/>
      <c r="AC170" s="54" t="s">
        <v>1195</v>
      </c>
      <c r="AD170" s="54" t="s">
        <v>1277</v>
      </c>
      <c r="AE170" s="54"/>
      <c r="AF170" s="54"/>
      <c r="AG170" s="54" t="s">
        <v>623</v>
      </c>
      <c r="AH170" s="54" t="s">
        <v>621</v>
      </c>
      <c r="AI170" s="54" t="s">
        <v>1278</v>
      </c>
      <c r="AJ170" s="54" t="s">
        <v>75</v>
      </c>
      <c r="AK170" s="54"/>
      <c r="AL170" s="54"/>
      <c r="AM170" s="54"/>
      <c r="AN170" s="54"/>
      <c r="AO170" s="54"/>
      <c r="AP170" s="54"/>
      <c r="AQ170" s="54"/>
      <c r="AR170" s="54"/>
      <c r="AS170" s="54"/>
      <c r="AT170" s="54"/>
      <c r="AU170" s="55"/>
      <c r="AV170" s="54"/>
      <c r="AW170" s="52" t="s">
        <v>76</v>
      </c>
      <c r="AX170" s="52" t="s">
        <v>132</v>
      </c>
      <c r="AY170" s="54"/>
      <c r="AZ170" s="54"/>
      <c r="BA170" s="54"/>
      <c r="BB170" s="58" t="s">
        <v>80</v>
      </c>
      <c r="BC170" s="58" t="s">
        <v>80</v>
      </c>
    </row>
    <row r="171" spans="1:55" ht="25.5" customHeight="1">
      <c r="A171" s="64" t="s">
        <v>1279</v>
      </c>
      <c r="B171" s="64" t="s">
        <v>1280</v>
      </c>
      <c r="C171" s="54" t="s">
        <v>1281</v>
      </c>
      <c r="D171" s="71" t="s">
        <v>1282</v>
      </c>
      <c r="E171" s="54" t="s">
        <v>76</v>
      </c>
      <c r="F171" s="54" t="s">
        <v>64</v>
      </c>
      <c r="G171" s="54"/>
      <c r="H171" s="54"/>
      <c r="I171" s="54"/>
      <c r="J171" s="54"/>
      <c r="K171" s="54"/>
      <c r="L171" s="54"/>
      <c r="M171" s="54"/>
      <c r="N171" s="54"/>
      <c r="O171" s="54"/>
      <c r="P171" s="54"/>
      <c r="Q171" s="54" t="s">
        <v>1283</v>
      </c>
      <c r="R171" s="54"/>
      <c r="S171" s="54"/>
      <c r="T171" s="54"/>
      <c r="U171" s="54"/>
      <c r="V171" s="52" t="s">
        <v>621</v>
      </c>
      <c r="W171" s="52" t="s">
        <v>1122</v>
      </c>
      <c r="X171" s="52" t="s">
        <v>517</v>
      </c>
      <c r="Y171" s="54" t="str">
        <f>"[" &amp; _xlfn.TEXTJOIN(", ", TRUE,
    IF(G171&lt;&gt;"", """" &amp; G$1 &amp; """", ""),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T171 &amp; """", ""),
    IF(U171&lt;&gt;"", """" &amp; U171 &amp; """", ""),
    IF(V171&lt;&gt;"", """" &amp; V171 &amp; """", ""),
    IF(W171&lt;&gt;"", """" &amp; W171 &amp; """", ""),
    IF(X171&lt;&gt;"", """" &amp; X171 &amp; """", "")
) &amp; "]"</f>
        <v>["PHD", "Taxonomy", "Virus Taxonomy", "NCBI Taxonomy"]</v>
      </c>
      <c r="Z171" s="54" t="s">
        <v>1284</v>
      </c>
      <c r="AA171" s="54" t="s">
        <v>71</v>
      </c>
      <c r="AB171" s="54"/>
      <c r="AC171" s="54"/>
      <c r="AD171" s="54"/>
      <c r="AE171" s="54"/>
      <c r="AF171" s="54"/>
      <c r="AG171" s="54"/>
      <c r="AH171" s="54"/>
      <c r="AI171" s="54"/>
      <c r="AJ171" s="54"/>
      <c r="AK171" s="54"/>
      <c r="AL171" s="54"/>
      <c r="AM171" s="54"/>
      <c r="AN171" s="54"/>
      <c r="AO171" s="54"/>
      <c r="AP171" s="54"/>
      <c r="AQ171" s="54"/>
      <c r="AR171" s="54"/>
      <c r="AS171" s="54"/>
      <c r="AT171" s="54"/>
      <c r="AU171" s="55"/>
      <c r="AV171" s="54"/>
      <c r="AW171" s="54"/>
      <c r="AX171" s="54"/>
      <c r="AY171" s="54"/>
      <c r="AZ171" s="54"/>
      <c r="BA171" s="54"/>
    </row>
    <row r="172" spans="1:55" ht="25.5" customHeight="1">
      <c r="A172" s="64" t="s">
        <v>1285</v>
      </c>
      <c r="B172" s="64" t="s">
        <v>1286</v>
      </c>
      <c r="C172" s="52" t="s">
        <v>1287</v>
      </c>
      <c r="D172" s="71" t="s">
        <v>1288</v>
      </c>
      <c r="E172" s="54" t="s">
        <v>76</v>
      </c>
      <c r="F172" s="54" t="s">
        <v>64</v>
      </c>
      <c r="G172" s="54" t="s">
        <v>1289</v>
      </c>
      <c r="H172" s="54"/>
      <c r="I172" s="54"/>
      <c r="J172" s="54"/>
      <c r="K172" s="54"/>
      <c r="L172" s="54" t="s">
        <v>1208</v>
      </c>
      <c r="M172" s="54" t="s">
        <v>1208</v>
      </c>
      <c r="N172" s="54"/>
      <c r="O172" s="54"/>
      <c r="P172" s="54"/>
      <c r="Q172" s="54" t="s">
        <v>1290</v>
      </c>
      <c r="R172" s="54"/>
      <c r="S172" s="54"/>
      <c r="T172" s="53"/>
      <c r="U172" s="53"/>
      <c r="V172" s="52" t="s">
        <v>621</v>
      </c>
      <c r="W172" s="52" t="s">
        <v>1122</v>
      </c>
      <c r="X172" s="52" t="s">
        <v>517</v>
      </c>
      <c r="Y172" s="54" t="str">
        <f>"[" &amp; _xlfn.TEXTJOIN(", ", TRUE,
    IF(G172&lt;&gt;"", """" &amp; G$1 &amp; """", ""),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T172 &amp; """", ""),
    IF(U172&lt;&gt;"", """" &amp; U172 &amp; """", ""),
    IF(V172&lt;&gt;"", """" &amp; V172 &amp; """", ""),
    IF(W172&lt;&gt;"", """" &amp; W172 &amp; """", ""),
    IF(X172&lt;&gt;"", """" &amp; X172 &amp; """", "")
) &amp; "]"</f>
        <v>["ENA", "NCBI Virus", "BV-BRC", "PHD", "Taxonomy", "Virus Taxonomy", "NCBI Taxonomy"]</v>
      </c>
      <c r="Z172" s="54" t="s">
        <v>70</v>
      </c>
      <c r="AA172" s="52" t="s">
        <v>1291</v>
      </c>
      <c r="AB172" s="54"/>
      <c r="AC172" s="54" t="s">
        <v>1208</v>
      </c>
      <c r="AD172" s="54" t="s">
        <v>1292</v>
      </c>
      <c r="AE172" s="54"/>
      <c r="AF172" s="54"/>
      <c r="AG172" s="54" t="s">
        <v>623</v>
      </c>
      <c r="AH172" s="54" t="s">
        <v>621</v>
      </c>
      <c r="AI172" s="54" t="s">
        <v>1293</v>
      </c>
      <c r="AJ172" s="54" t="s">
        <v>75</v>
      </c>
      <c r="AK172" s="54"/>
      <c r="AL172" s="54"/>
      <c r="AM172" s="54"/>
      <c r="AN172" s="54"/>
      <c r="AO172" s="54"/>
      <c r="AP172" s="54"/>
      <c r="AQ172" s="54"/>
      <c r="AR172" s="54"/>
      <c r="AS172" s="54" t="s">
        <v>101</v>
      </c>
      <c r="AT172" s="54" t="s">
        <v>101</v>
      </c>
      <c r="AU172" s="55"/>
      <c r="AV172" s="54"/>
      <c r="AW172" s="52" t="s">
        <v>211</v>
      </c>
      <c r="AX172" s="52" t="s">
        <v>77</v>
      </c>
      <c r="AY172" s="54"/>
      <c r="AZ172" s="54"/>
      <c r="BA172" s="54"/>
      <c r="BB172" s="58" t="s">
        <v>80</v>
      </c>
      <c r="BC172" s="58" t="s">
        <v>80</v>
      </c>
    </row>
    <row r="173" spans="1:55" ht="25.5" customHeight="1">
      <c r="A173" s="64" t="s">
        <v>1294</v>
      </c>
      <c r="B173" s="64" t="s">
        <v>1295</v>
      </c>
      <c r="C173" s="54" t="s">
        <v>1296</v>
      </c>
      <c r="D173" s="71" t="s">
        <v>1297</v>
      </c>
      <c r="E173" s="54" t="s">
        <v>76</v>
      </c>
      <c r="F173" s="54" t="s">
        <v>64</v>
      </c>
      <c r="G173" s="54"/>
      <c r="H173" s="54"/>
      <c r="I173" s="54" t="s">
        <v>630</v>
      </c>
      <c r="J173" s="54"/>
      <c r="K173" s="54"/>
      <c r="L173" s="54" t="s">
        <v>1296</v>
      </c>
      <c r="M173" s="54"/>
      <c r="N173" s="54"/>
      <c r="O173" s="54"/>
      <c r="P173" s="54"/>
      <c r="Q173" s="54"/>
      <c r="R173" s="54"/>
      <c r="S173" s="54"/>
      <c r="T173" s="53"/>
      <c r="U173" s="53"/>
      <c r="V173" s="52" t="s">
        <v>122</v>
      </c>
      <c r="W173" s="52" t="s">
        <v>233</v>
      </c>
      <c r="X173" s="52"/>
      <c r="Y173" s="54" t="str">
        <f>"[" &amp; _xlfn.TEXTJOIN(", ", TRUE,
    IF(G173&lt;&gt;"", """" &amp; G$1 &amp; """", ""),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T173 &amp; """", ""),
    IF(U173&lt;&gt;"", """" &amp; U173 &amp; """", ""),
    IF(V173&lt;&gt;"", """" &amp; V173 &amp; """", ""),
    IF(W173&lt;&gt;"", """" &amp; W173 &amp; """", ""),
    IF(X173&lt;&gt;"", """" &amp; X173 &amp; """", "")
) &amp; "]"</f>
        <v>["MIGS-VI", "NCBI Virus", "Sample", "Virus Info"]</v>
      </c>
      <c r="Z173" s="54" t="s">
        <v>6</v>
      </c>
      <c r="AA173" s="52" t="s">
        <v>1298</v>
      </c>
      <c r="AB173" s="54"/>
      <c r="AC173" s="54" t="s">
        <v>1296</v>
      </c>
      <c r="AD173" s="54" t="s">
        <v>1299</v>
      </c>
      <c r="AE173" s="54"/>
      <c r="AF173" s="54"/>
      <c r="AG173" s="54"/>
      <c r="AH173" s="54"/>
      <c r="AI173" s="54"/>
      <c r="AJ173" s="54"/>
      <c r="AK173" s="54"/>
      <c r="AL173" s="54"/>
      <c r="AM173" s="54"/>
      <c r="AN173" s="54"/>
      <c r="AO173" s="54"/>
      <c r="AP173" s="54"/>
      <c r="AQ173" s="54"/>
      <c r="AR173" s="54"/>
      <c r="AS173" s="54"/>
      <c r="AT173" s="54"/>
      <c r="AU173" s="55"/>
      <c r="AV173" s="54"/>
      <c r="AW173" s="52" t="s">
        <v>76</v>
      </c>
      <c r="AX173" s="52" t="s">
        <v>132</v>
      </c>
      <c r="AY173" s="54"/>
      <c r="AZ173" s="54"/>
      <c r="BA173" s="54"/>
      <c r="BB173" s="58" t="s">
        <v>80</v>
      </c>
    </row>
    <row r="174" spans="1:55" ht="25.5" customHeight="1">
      <c r="A174" s="64" t="s">
        <v>1300</v>
      </c>
      <c r="B174" s="64" t="s">
        <v>1301</v>
      </c>
      <c r="C174" s="52" t="s">
        <v>1302</v>
      </c>
      <c r="D174" s="71" t="s">
        <v>1303</v>
      </c>
      <c r="E174" s="54" t="s">
        <v>76</v>
      </c>
      <c r="F174" s="54" t="s">
        <v>64</v>
      </c>
      <c r="G174" s="54" t="s">
        <v>1301</v>
      </c>
      <c r="H174" s="54"/>
      <c r="I174" s="54"/>
      <c r="J174" s="54"/>
      <c r="K174" s="54"/>
      <c r="L174" s="54" t="s">
        <v>1302</v>
      </c>
      <c r="M174" s="54"/>
      <c r="N174" s="54" t="s">
        <v>1301</v>
      </c>
      <c r="O174" s="54" t="s">
        <v>1301</v>
      </c>
      <c r="P174" s="54"/>
      <c r="Q174" s="54"/>
      <c r="R174" s="54"/>
      <c r="S174" s="54"/>
      <c r="T174" s="53" t="s">
        <v>110</v>
      </c>
      <c r="U174" s="53" t="s">
        <v>111</v>
      </c>
      <c r="V174" s="52" t="s">
        <v>122</v>
      </c>
      <c r="W174" s="52" t="s">
        <v>233</v>
      </c>
      <c r="X174" s="52"/>
      <c r="Y174" s="54" t="str">
        <f>"[" &amp; _xlfn.TEXTJOIN(", ", TRUE,
    IF(G174&lt;&gt;"", """" &amp; G$1 &amp; """", ""),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T174 &amp; """", ""),
    IF(U174&lt;&gt;"", """" &amp; U174 &amp; """", ""),
    IF(V174&lt;&gt;"", """" &amp; V174 &amp; """", ""),
    IF(W174&lt;&gt;"", """" &amp; W174 &amp; """", ""),
    IF(X174&lt;&gt;"", """" &amp; X174 &amp; """", "")
) &amp; "]"</f>
        <v>["ENA", "NCBI Virus", "ENA ERC32", "ENA ERC33", "ENA Sample", "VJDB Sample", "Sample", "Virus Info"]</v>
      </c>
      <c r="Z174" s="54" t="s">
        <v>6</v>
      </c>
      <c r="AA174" s="52" t="s">
        <v>1304</v>
      </c>
      <c r="AB174" s="54"/>
      <c r="AC174" s="54" t="s">
        <v>1302</v>
      </c>
      <c r="AD174" s="54" t="s">
        <v>1305</v>
      </c>
      <c r="AE174" s="54"/>
      <c r="AF174" s="54"/>
      <c r="AG174" s="54"/>
      <c r="AH174" s="54"/>
      <c r="AI174" s="54"/>
      <c r="AJ174" s="54"/>
      <c r="AK174" s="54"/>
      <c r="AL174" s="54"/>
      <c r="AM174" s="54"/>
      <c r="AN174" s="54"/>
      <c r="AO174" s="54"/>
      <c r="AP174" s="54" t="s">
        <v>1306</v>
      </c>
      <c r="AQ174" s="54"/>
      <c r="AR174" s="54" t="s">
        <v>129</v>
      </c>
      <c r="AS174" s="54" t="s">
        <v>101</v>
      </c>
      <c r="AT174" s="54" t="s">
        <v>101</v>
      </c>
      <c r="AU174" s="55"/>
      <c r="AV174" s="54" t="s">
        <v>210</v>
      </c>
      <c r="AW174" s="52" t="s">
        <v>76</v>
      </c>
      <c r="AX174" s="52" t="s">
        <v>132</v>
      </c>
      <c r="AY174" s="54"/>
      <c r="AZ174" s="56" t="s">
        <v>1307</v>
      </c>
      <c r="BA174" s="57" t="s">
        <v>1308</v>
      </c>
      <c r="BB174" s="58" t="s">
        <v>80</v>
      </c>
      <c r="BC174" s="58" t="s">
        <v>80</v>
      </c>
    </row>
    <row r="175" spans="1:55" ht="25.5" customHeight="1">
      <c r="A175" s="64" t="s">
        <v>1309</v>
      </c>
      <c r="B175" s="64" t="s">
        <v>1310</v>
      </c>
      <c r="C175" s="52" t="s">
        <v>1311</v>
      </c>
      <c r="D175" s="71" t="s">
        <v>1312</v>
      </c>
      <c r="E175" s="54" t="s">
        <v>216</v>
      </c>
      <c r="F175" s="54" t="s">
        <v>342</v>
      </c>
      <c r="G175" s="54"/>
      <c r="H175" s="54"/>
      <c r="I175" s="54"/>
      <c r="J175" s="54"/>
      <c r="K175" s="54"/>
      <c r="L175" s="54"/>
      <c r="M175" s="54"/>
      <c r="N175" s="54"/>
      <c r="O175" s="54"/>
      <c r="P175" s="54"/>
      <c r="Q175" s="54"/>
      <c r="R175" s="54"/>
      <c r="S175" s="54"/>
      <c r="T175" s="54"/>
      <c r="U175" s="54"/>
      <c r="V175" s="52" t="s">
        <v>344</v>
      </c>
      <c r="W175" s="52" t="s">
        <v>535</v>
      </c>
      <c r="X175" s="52"/>
      <c r="Y175" s="54" t="str">
        <f>"[" &amp; _xlfn.TEXTJOIN(", ", TRUE,
    IF(G175&lt;&gt;"", """" &amp; G$1 &amp; """", ""),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T175 &amp; """", ""),
    IF(U175&lt;&gt;"", """" &amp; U175 &amp; """", ""),
    IF(V175&lt;&gt;"", """" &amp; V175 &amp; """", ""),
    IF(W175&lt;&gt;"", """" &amp; W175 &amp; """", ""),
    IF(X175&lt;&gt;"", """" &amp; X175 &amp; """", "")
) &amp; "]"</f>
        <v>["Internal", "Clinical "]</v>
      </c>
      <c r="Z175" s="54" t="s">
        <v>412</v>
      </c>
      <c r="AA175" s="54"/>
      <c r="AB175" s="54"/>
      <c r="AC175" s="54"/>
      <c r="AD175" s="54"/>
      <c r="AE175" s="54"/>
      <c r="AF175" s="54"/>
      <c r="AG175" s="54"/>
      <c r="AH175" s="54"/>
      <c r="AI175" s="54"/>
      <c r="AJ175" s="54"/>
      <c r="AK175" s="54"/>
      <c r="AL175" s="54"/>
      <c r="AM175" s="54"/>
      <c r="AN175" s="54"/>
      <c r="AO175" s="54"/>
      <c r="AP175" s="54"/>
      <c r="AQ175" s="54"/>
      <c r="AR175" s="54"/>
      <c r="AS175" s="54"/>
      <c r="AT175" s="54"/>
      <c r="AU175" s="55" t="s">
        <v>1313</v>
      </c>
      <c r="AV175" s="54" t="s">
        <v>826</v>
      </c>
      <c r="AW175" s="54"/>
      <c r="AX175" s="54"/>
      <c r="AY175" s="54"/>
      <c r="AZ175" s="54"/>
      <c r="BA175" s="54"/>
    </row>
    <row r="176" spans="1:55" ht="25.5" customHeight="1">
      <c r="A176" s="64" t="s">
        <v>1314</v>
      </c>
      <c r="B176" s="64" t="s">
        <v>1315</v>
      </c>
      <c r="C176" s="52" t="s">
        <v>1316</v>
      </c>
      <c r="D176" s="71" t="s">
        <v>1317</v>
      </c>
      <c r="E176" s="54" t="s">
        <v>63</v>
      </c>
      <c r="F176" s="54" t="s">
        <v>342</v>
      </c>
      <c r="G176" s="54"/>
      <c r="H176" s="54"/>
      <c r="I176" s="54"/>
      <c r="J176" s="54"/>
      <c r="K176" s="54"/>
      <c r="L176" s="54"/>
      <c r="M176" s="54"/>
      <c r="N176" s="54"/>
      <c r="O176" s="54"/>
      <c r="P176" s="54"/>
      <c r="Q176" s="54"/>
      <c r="R176" s="54"/>
      <c r="S176" s="54"/>
      <c r="T176" s="53"/>
      <c r="U176" s="53"/>
      <c r="V176" s="52" t="s">
        <v>204</v>
      </c>
      <c r="W176" s="52" t="s">
        <v>437</v>
      </c>
      <c r="X176" s="52"/>
      <c r="Y176" s="54" t="str">
        <f>"[" &amp; _xlfn.TEXTJOIN(", ", TRUE,
    IF(G176&lt;&gt;"", """" &amp; G$1 &amp; """", ""),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T176 &amp; """", ""),
    IF(U176&lt;&gt;"", """" &amp; U176 &amp; """", ""),
    IF(V176&lt;&gt;"", """" &amp; V176 &amp; """", ""),
    IF(W176&lt;&gt;"", """" &amp; W176 &amp; """", ""),
    IF(X176&lt;&gt;"", """" &amp; X176 &amp; """", "")
) &amp; "]"</f>
        <v>["Host", "Clinical"]</v>
      </c>
      <c r="Z176" s="54" t="s">
        <v>412</v>
      </c>
      <c r="AA176" s="52" t="s">
        <v>1318</v>
      </c>
      <c r="AB176" s="54" t="s">
        <v>414</v>
      </c>
      <c r="AC176" s="54"/>
      <c r="AD176" s="54"/>
      <c r="AE176" s="54"/>
      <c r="AF176" s="54"/>
      <c r="AG176" s="54"/>
      <c r="AH176" s="54"/>
      <c r="AI176" s="54"/>
      <c r="AJ176" s="54"/>
      <c r="AK176" s="54"/>
      <c r="AL176" s="54"/>
      <c r="AM176" s="54"/>
      <c r="AN176" s="54"/>
      <c r="AO176" s="54"/>
      <c r="AP176" s="54"/>
      <c r="AQ176" s="54"/>
      <c r="AR176" s="54"/>
      <c r="AS176" s="54"/>
      <c r="AT176" s="54"/>
      <c r="AU176" s="55" t="s">
        <v>1319</v>
      </c>
      <c r="AV176" s="54" t="s">
        <v>1320</v>
      </c>
      <c r="AW176" s="52" t="s">
        <v>148</v>
      </c>
      <c r="AX176" s="52" t="s">
        <v>149</v>
      </c>
      <c r="AY176" s="54"/>
      <c r="AZ176" s="54"/>
      <c r="BA176" s="54"/>
    </row>
    <row r="177" spans="1:55" ht="25.5" customHeight="1">
      <c r="A177" s="64" t="s">
        <v>1321</v>
      </c>
      <c r="B177" s="64" t="s">
        <v>1322</v>
      </c>
      <c r="C177" s="54" t="s">
        <v>1323</v>
      </c>
      <c r="D177" s="71" t="s">
        <v>1324</v>
      </c>
      <c r="E177" s="54" t="s">
        <v>216</v>
      </c>
      <c r="F177" s="54" t="s">
        <v>154</v>
      </c>
      <c r="G177" s="54"/>
      <c r="H177" s="54"/>
      <c r="I177" s="54"/>
      <c r="J177" s="54"/>
      <c r="K177" s="54"/>
      <c r="L177" s="54"/>
      <c r="M177" s="54"/>
      <c r="N177" s="54"/>
      <c r="O177" s="54"/>
      <c r="P177" s="54"/>
      <c r="Q177" s="54"/>
      <c r="R177" s="54"/>
      <c r="S177" s="54"/>
      <c r="T177" s="54"/>
      <c r="U177" s="54"/>
      <c r="V177" s="52" t="s">
        <v>204</v>
      </c>
      <c r="W177" s="52" t="s">
        <v>535</v>
      </c>
      <c r="X177" s="52"/>
      <c r="Y177" s="54" t="str">
        <f>"[" &amp; _xlfn.TEXTJOIN(", ", TRUE,
    IF(G177&lt;&gt;"", """" &amp; G$1 &amp; """", ""),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T177 &amp; """", ""),
    IF(U177&lt;&gt;"", """" &amp; U177 &amp; """", ""),
    IF(V177&lt;&gt;"", """" &amp; V177 &amp; """", ""),
    IF(W177&lt;&gt;"", """" &amp; W177 &amp; """", ""),
    IF(X177&lt;&gt;"", """" &amp; X177 &amp; """", "")
) &amp; "]"</f>
        <v>["Host", "Clinical "]</v>
      </c>
      <c r="Z177" s="54" t="s">
        <v>16</v>
      </c>
      <c r="AA177" s="54" t="s">
        <v>1325</v>
      </c>
      <c r="AB177" s="54"/>
      <c r="AC177" s="54"/>
      <c r="AD177" s="54"/>
      <c r="AE177" s="54"/>
      <c r="AF177" s="54"/>
      <c r="AG177" s="54"/>
      <c r="AH177" s="54"/>
      <c r="AI177" s="54"/>
      <c r="AJ177" s="54"/>
      <c r="AK177" s="54"/>
      <c r="AL177" s="54"/>
      <c r="AM177" s="54"/>
      <c r="AN177" s="54"/>
      <c r="AO177" s="54"/>
      <c r="AP177" s="54"/>
      <c r="AQ177" s="54"/>
      <c r="AR177" s="54"/>
      <c r="AS177" s="54"/>
      <c r="AT177" s="54"/>
      <c r="AU177" s="55"/>
      <c r="AV177" s="54"/>
      <c r="AW177" s="54"/>
      <c r="AX177" s="54"/>
      <c r="AY177" s="54"/>
      <c r="AZ177" s="54"/>
      <c r="BA177" s="54"/>
    </row>
    <row r="178" spans="1:55" ht="25.5" customHeight="1">
      <c r="A178" s="64" t="s">
        <v>1326</v>
      </c>
      <c r="B178" s="64" t="s">
        <v>1327</v>
      </c>
      <c r="C178" s="54" t="s">
        <v>1328</v>
      </c>
      <c r="D178" s="71" t="s">
        <v>1329</v>
      </c>
      <c r="E178" s="54" t="s">
        <v>216</v>
      </c>
      <c r="F178" s="54" t="s">
        <v>64</v>
      </c>
      <c r="G178" s="54" t="s">
        <v>1330</v>
      </c>
      <c r="H178" s="54"/>
      <c r="I178" s="54"/>
      <c r="J178" s="54"/>
      <c r="K178" s="54"/>
      <c r="L178" s="54"/>
      <c r="M178" s="54" t="s">
        <v>1311</v>
      </c>
      <c r="N178" s="54" t="s">
        <v>1330</v>
      </c>
      <c r="O178" s="54" t="s">
        <v>1330</v>
      </c>
      <c r="P178" s="54"/>
      <c r="Q178" s="54"/>
      <c r="R178" s="54"/>
      <c r="S178" s="54"/>
      <c r="T178" s="53" t="s">
        <v>110</v>
      </c>
      <c r="U178" s="53" t="s">
        <v>111</v>
      </c>
      <c r="V178" s="52" t="s">
        <v>204</v>
      </c>
      <c r="W178" s="52" t="s">
        <v>437</v>
      </c>
      <c r="X178" s="52"/>
      <c r="Y178" s="54" t="str">
        <f>"[" &amp; _xlfn.TEXTJOIN(", ", TRUE,
    IF(G178&lt;&gt;"", """" &amp; G$1 &amp; """", ""),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T178 &amp; """", ""),
    IF(U178&lt;&gt;"", """" &amp; U178 &amp; """", ""),
    IF(V178&lt;&gt;"", """" &amp; V178 &amp; """", ""),
    IF(W178&lt;&gt;"", """" &amp; W178 &amp; """", ""),
    IF(X178&lt;&gt;"", """" &amp; X178 &amp; """", "")
) &amp; "]"</f>
        <v>["ENA", "BV-BRC", "ENA ERC32", "ENA ERC33", "ENA Sample", "VJDB Sample", "Host", "Clinical"]</v>
      </c>
      <c r="Z178" s="54" t="s">
        <v>359</v>
      </c>
      <c r="AA178" s="52" t="s">
        <v>1331</v>
      </c>
      <c r="AB178" s="54"/>
      <c r="AC178" s="54"/>
      <c r="AD178" s="54"/>
      <c r="AE178" s="54"/>
      <c r="AF178" s="54"/>
      <c r="AG178" s="54" t="s">
        <v>207</v>
      </c>
      <c r="AH178" s="54"/>
      <c r="AI178" s="54" t="s">
        <v>1310</v>
      </c>
      <c r="AJ178" s="54" t="s">
        <v>75</v>
      </c>
      <c r="AK178" s="54"/>
      <c r="AL178" s="54"/>
      <c r="AM178" s="54" t="s">
        <v>1332</v>
      </c>
      <c r="AN178" s="54"/>
      <c r="AO178" s="54"/>
      <c r="AP178" s="54" t="s">
        <v>1333</v>
      </c>
      <c r="AQ178" s="54"/>
      <c r="AR178" s="54" t="s">
        <v>129</v>
      </c>
      <c r="AS178" s="54" t="s">
        <v>186</v>
      </c>
      <c r="AT178" s="54" t="s">
        <v>186</v>
      </c>
      <c r="AU178" s="55" t="s">
        <v>1334</v>
      </c>
      <c r="AV178" s="54" t="s">
        <v>210</v>
      </c>
      <c r="AW178" s="52" t="s">
        <v>76</v>
      </c>
      <c r="AX178" s="52" t="s">
        <v>77</v>
      </c>
      <c r="AY178" s="54"/>
      <c r="AZ178" s="54"/>
      <c r="BA178" s="54"/>
    </row>
    <row r="179" spans="1:55" ht="25.5" customHeight="1">
      <c r="A179" s="64" t="s">
        <v>1335</v>
      </c>
      <c r="B179" s="64" t="s">
        <v>1336</v>
      </c>
      <c r="C179" s="54" t="s">
        <v>1337</v>
      </c>
      <c r="D179" s="71" t="s">
        <v>1338</v>
      </c>
      <c r="E179" s="54" t="s">
        <v>63</v>
      </c>
      <c r="F179" s="54" t="s">
        <v>154</v>
      </c>
      <c r="G179" s="54"/>
      <c r="H179" s="54"/>
      <c r="I179" s="54"/>
      <c r="J179" s="54"/>
      <c r="K179" s="54"/>
      <c r="L179" s="54"/>
      <c r="M179" s="54"/>
      <c r="N179" s="54"/>
      <c r="O179" s="54"/>
      <c r="P179" s="54"/>
      <c r="Q179" s="54"/>
      <c r="R179" s="54"/>
      <c r="S179" s="54"/>
      <c r="T179" s="54"/>
      <c r="U179" s="54"/>
      <c r="V179" s="52" t="s">
        <v>122</v>
      </c>
      <c r="W179" s="52" t="s">
        <v>233</v>
      </c>
      <c r="X179" s="52"/>
      <c r="Y179" s="54" t="str">
        <f>"[" &amp; _xlfn.TEXTJOIN(", ", TRUE,
    IF(G179&lt;&gt;"", """" &amp; G$1 &amp; """", ""),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T179 &amp; """", ""),
    IF(U179&lt;&gt;"", """" &amp; U179 &amp; """", ""),
    IF(V179&lt;&gt;"", """" &amp; V179 &amp; """", ""),
    IF(W179&lt;&gt;"", """" &amp; W179 &amp; """", ""),
    IF(X179&lt;&gt;"", """" &amp; X179 &amp; """", "")
) &amp; "]"</f>
        <v>["Sample", "Virus Info"]</v>
      </c>
      <c r="Z179" s="54" t="s">
        <v>6</v>
      </c>
      <c r="AA179" s="54" t="s">
        <v>351</v>
      </c>
      <c r="AB179" s="54"/>
      <c r="AC179" s="54"/>
      <c r="AD179" s="54"/>
      <c r="AE179" s="54"/>
      <c r="AF179" s="54"/>
      <c r="AG179" s="54"/>
      <c r="AH179" s="54"/>
      <c r="AI179" s="54"/>
      <c r="AJ179" s="54"/>
      <c r="AK179" s="54"/>
      <c r="AL179" s="54"/>
      <c r="AM179" s="54"/>
      <c r="AN179" s="54"/>
      <c r="AO179" s="54"/>
      <c r="AP179" s="54"/>
      <c r="AQ179" s="54"/>
      <c r="AR179" s="54"/>
      <c r="AS179" s="54"/>
      <c r="AT179" s="54"/>
      <c r="AU179" s="55"/>
      <c r="AV179" s="54"/>
      <c r="AW179" s="54"/>
      <c r="AX179" s="54"/>
      <c r="AY179" s="54"/>
      <c r="AZ179" s="54"/>
      <c r="BA179" s="54"/>
      <c r="BB179" s="58" t="s">
        <v>80</v>
      </c>
    </row>
    <row r="180" spans="1:55" ht="25.5" customHeight="1">
      <c r="A180" s="64" t="s">
        <v>1339</v>
      </c>
      <c r="B180" s="64" t="s">
        <v>1340</v>
      </c>
      <c r="C180" s="52" t="s">
        <v>1341</v>
      </c>
      <c r="D180" s="71" t="s">
        <v>1342</v>
      </c>
      <c r="E180" s="54" t="s">
        <v>216</v>
      </c>
      <c r="F180" s="54" t="s">
        <v>64</v>
      </c>
      <c r="G180" s="54"/>
      <c r="H180" s="54"/>
      <c r="I180" s="54"/>
      <c r="J180" s="54"/>
      <c r="K180" s="54"/>
      <c r="L180" s="54"/>
      <c r="M180" s="54" t="s">
        <v>1343</v>
      </c>
      <c r="N180" s="54"/>
      <c r="O180" s="54"/>
      <c r="P180" s="54"/>
      <c r="Q180" s="54"/>
      <c r="R180" s="54"/>
      <c r="S180" s="54"/>
      <c r="T180" s="53"/>
      <c r="U180" s="53"/>
      <c r="V180" s="52" t="s">
        <v>621</v>
      </c>
      <c r="W180" s="52" t="s">
        <v>69</v>
      </c>
      <c r="X180" s="52" t="s">
        <v>517</v>
      </c>
      <c r="Y180" s="54" t="str">
        <f>"[" &amp; _xlfn.TEXTJOIN(", ", TRUE,
    IF(G180&lt;&gt;"", """" &amp; G$1 &amp; """", ""),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T180 &amp; """", ""),
    IF(U180&lt;&gt;"", """" &amp; U180 &amp; """", ""),
    IF(V180&lt;&gt;"", """" &amp; V180 &amp; """", ""),
    IF(W180&lt;&gt;"", """" &amp; W180 &amp; """", ""),
    IF(X180&lt;&gt;"", """" &amp; X180 &amp; """", "")
) &amp; "]"</f>
        <v>["BV-BRC", "Taxonomy", "Identifiers", "NCBI Taxonomy"]</v>
      </c>
      <c r="Z180" s="54" t="s">
        <v>359</v>
      </c>
      <c r="AA180" s="52" t="s">
        <v>71</v>
      </c>
      <c r="AB180" s="54" t="s">
        <v>1344</v>
      </c>
      <c r="AC180" s="54"/>
      <c r="AD180" s="54"/>
      <c r="AE180" s="54"/>
      <c r="AF180" s="54"/>
      <c r="AG180" s="54" t="s">
        <v>623</v>
      </c>
      <c r="AH180" s="54" t="s">
        <v>621</v>
      </c>
      <c r="AI180" s="54" t="s">
        <v>1345</v>
      </c>
      <c r="AJ180" s="54" t="s">
        <v>90</v>
      </c>
      <c r="AK180" s="54"/>
      <c r="AL180" s="54" t="s">
        <v>1346</v>
      </c>
      <c r="AM180" s="54"/>
      <c r="AN180" s="54"/>
      <c r="AO180" s="54"/>
      <c r="AP180" s="54"/>
      <c r="AQ180" s="54"/>
      <c r="AR180" s="54"/>
      <c r="AS180" s="54"/>
      <c r="AT180" s="54"/>
      <c r="AU180" s="55"/>
      <c r="AV180" s="54"/>
      <c r="AW180" s="52" t="s">
        <v>76</v>
      </c>
      <c r="AX180" s="52" t="s">
        <v>132</v>
      </c>
      <c r="AY180" s="54"/>
      <c r="AZ180" s="54"/>
      <c r="BA180" s="54"/>
    </row>
    <row r="181" spans="1:55" ht="25.5" customHeight="1">
      <c r="A181" s="64" t="s">
        <v>1347</v>
      </c>
      <c r="B181" s="64" t="s">
        <v>1348</v>
      </c>
      <c r="C181" s="54" t="s">
        <v>1349</v>
      </c>
      <c r="D181" s="71" t="s">
        <v>1350</v>
      </c>
      <c r="E181" s="54" t="s">
        <v>63</v>
      </c>
      <c r="F181" s="54" t="s">
        <v>64</v>
      </c>
      <c r="G181" s="54"/>
      <c r="H181" s="54"/>
      <c r="I181" s="54"/>
      <c r="J181" s="54"/>
      <c r="K181" s="54"/>
      <c r="L181" s="54"/>
      <c r="M181" s="54" t="s">
        <v>1351</v>
      </c>
      <c r="N181" s="54"/>
      <c r="O181" s="54"/>
      <c r="P181" s="54"/>
      <c r="Q181" s="54"/>
      <c r="R181" s="54"/>
      <c r="S181" s="54"/>
      <c r="T181" s="54"/>
      <c r="U181" s="54"/>
      <c r="V181" s="52" t="s">
        <v>621</v>
      </c>
      <c r="W181" s="52" t="s">
        <v>233</v>
      </c>
      <c r="X181" s="52" t="s">
        <v>517</v>
      </c>
      <c r="Y181" s="54" t="str">
        <f>"[" &amp; _xlfn.TEXTJOIN(", ", TRUE,
    IF(G181&lt;&gt;"", """" &amp; G$1 &amp; """", ""),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T181 &amp; """", ""),
    IF(U181&lt;&gt;"", """" &amp; U181 &amp; """", ""),
    IF(V181&lt;&gt;"", """" &amp; V181 &amp; """", ""),
    IF(W181&lt;&gt;"", """" &amp; W181 &amp; """", ""),
    IF(X181&lt;&gt;"", """" &amp; X181 &amp; """", "")
) &amp; "]"</f>
        <v>["BV-BRC", "Taxonomy", "Virus Info", "NCBI Taxonomy"]</v>
      </c>
      <c r="Z181" s="54" t="s">
        <v>359</v>
      </c>
      <c r="AA181" s="54" t="s">
        <v>71</v>
      </c>
      <c r="AB181" s="54"/>
      <c r="AC181" s="54"/>
      <c r="AD181" s="54"/>
      <c r="AE181" s="54"/>
      <c r="AF181" s="54" t="s">
        <v>623</v>
      </c>
      <c r="AG181" s="54" t="s">
        <v>621</v>
      </c>
      <c r="AH181" s="54" t="s">
        <v>1352</v>
      </c>
      <c r="AI181" s="54" t="s">
        <v>90</v>
      </c>
      <c r="AJ181" s="54"/>
      <c r="AK181" s="54"/>
      <c r="AL181" s="54"/>
      <c r="AM181" s="54"/>
      <c r="AN181" s="54"/>
      <c r="AO181" s="54"/>
      <c r="AP181" s="54"/>
      <c r="AQ181" s="54"/>
      <c r="AR181" s="54"/>
      <c r="AS181" s="54"/>
      <c r="AT181" s="54"/>
      <c r="AU181" s="55"/>
      <c r="AV181" s="54"/>
      <c r="AW181" s="54"/>
      <c r="AX181" s="54"/>
      <c r="AY181" s="54"/>
      <c r="AZ181" s="54"/>
      <c r="BA181" s="54"/>
    </row>
    <row r="182" spans="1:55" ht="25.5" customHeight="1">
      <c r="A182" s="64" t="s">
        <v>1353</v>
      </c>
      <c r="B182" s="64" t="s">
        <v>1354</v>
      </c>
      <c r="C182" s="54" t="s">
        <v>1355</v>
      </c>
      <c r="D182" s="71" t="s">
        <v>1356</v>
      </c>
      <c r="E182" s="54" t="s">
        <v>63</v>
      </c>
      <c r="F182" s="54" t="s">
        <v>64</v>
      </c>
      <c r="G182" s="54"/>
      <c r="H182" s="54"/>
      <c r="I182" s="54"/>
      <c r="J182" s="54"/>
      <c r="K182" s="54"/>
      <c r="L182" s="54"/>
      <c r="M182" s="54"/>
      <c r="N182" s="54"/>
      <c r="O182" s="54"/>
      <c r="P182" s="54"/>
      <c r="Q182" s="54"/>
      <c r="R182" s="54"/>
      <c r="S182" s="54"/>
      <c r="T182" s="54"/>
      <c r="U182" s="54"/>
      <c r="V182" s="52" t="s">
        <v>621</v>
      </c>
      <c r="W182" s="52" t="s">
        <v>233</v>
      </c>
      <c r="X182" s="52" t="s">
        <v>639</v>
      </c>
      <c r="Y182" s="54" t="str">
        <f>"[" &amp; _xlfn.TEXTJOIN(", ", TRUE,
    IF(G182&lt;&gt;"", """" &amp; G$1 &amp; """", ""),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T182 &amp; """", ""),
    IF(U182&lt;&gt;"", """" &amp; U182 &amp; """", ""),
    IF(V182&lt;&gt;"", """" &amp; V182 &amp; """", ""),
    IF(W182&lt;&gt;"", """" &amp; W182 &amp; """", ""),
    IF(X182&lt;&gt;"", """" &amp; X182 &amp; """", "")
) &amp; "]"</f>
        <v>["Taxonomy", "Virus Info", "ICTV Taxonomy"]</v>
      </c>
      <c r="Z182" s="54" t="s">
        <v>16</v>
      </c>
      <c r="AA182" s="54" t="s">
        <v>71</v>
      </c>
      <c r="AB182" s="54"/>
      <c r="AC182" s="54"/>
      <c r="AD182" s="54"/>
      <c r="AE182" s="54"/>
      <c r="AF182" s="54"/>
      <c r="AG182" s="54"/>
      <c r="AH182" s="54"/>
      <c r="AI182" s="54"/>
      <c r="AJ182" s="54"/>
      <c r="AK182" s="54"/>
      <c r="AL182" s="54"/>
      <c r="AM182" s="54"/>
      <c r="AN182" s="54"/>
      <c r="AO182" s="54"/>
      <c r="AP182" s="54"/>
      <c r="AQ182" s="54"/>
      <c r="AR182" s="54"/>
      <c r="AS182" s="54"/>
      <c r="AT182" s="54"/>
      <c r="AU182" s="55"/>
      <c r="AV182" s="54"/>
      <c r="AW182" s="54"/>
      <c r="AX182" s="54"/>
      <c r="AY182" s="54"/>
      <c r="AZ182" s="54"/>
      <c r="BA182" s="54"/>
    </row>
    <row r="183" spans="1:55" ht="25.5" customHeight="1">
      <c r="A183" s="64" t="s">
        <v>1357</v>
      </c>
      <c r="B183" s="64" t="s">
        <v>1358</v>
      </c>
      <c r="C183" s="54" t="s">
        <v>1359</v>
      </c>
      <c r="D183" s="71" t="s">
        <v>1360</v>
      </c>
      <c r="E183" s="54" t="s">
        <v>162</v>
      </c>
      <c r="F183" s="54" t="s">
        <v>64</v>
      </c>
      <c r="G183" s="54"/>
      <c r="H183" s="54"/>
      <c r="I183" s="54"/>
      <c r="J183" s="54"/>
      <c r="K183" s="54"/>
      <c r="L183" s="54"/>
      <c r="M183" s="54"/>
      <c r="N183" s="54"/>
      <c r="O183" s="54"/>
      <c r="P183" s="54"/>
      <c r="Q183" s="54"/>
      <c r="R183" s="54"/>
      <c r="S183" s="54"/>
      <c r="T183" s="54"/>
      <c r="U183" s="54"/>
      <c r="V183" s="52" t="s">
        <v>164</v>
      </c>
      <c r="W183" s="52" t="s">
        <v>165</v>
      </c>
      <c r="X183" s="52"/>
      <c r="Y183" s="54" t="str">
        <f>"[" &amp; _xlfn.TEXTJOIN(", ", TRUE,
    IF(G183&lt;&gt;"", """" &amp; G$1 &amp; """", ""),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T183 &amp; """", ""),
    IF(U183&lt;&gt;"", """" &amp; U183 &amp; """", ""),
    IF(V183&lt;&gt;"", """" &amp; V183 &amp; """", ""),
    IF(W183&lt;&gt;"", """" &amp; W183 &amp; """", ""),
    IF(X183&lt;&gt;"", """" &amp; X183 &amp; """", "")
) &amp; "]"</f>
        <v>["Source", "Flags"]</v>
      </c>
      <c r="Z183" s="54" t="s">
        <v>640</v>
      </c>
      <c r="AA183" s="54" t="s">
        <v>71</v>
      </c>
      <c r="AB183" s="54"/>
      <c r="AC183" s="54"/>
      <c r="AD183" s="54"/>
      <c r="AE183" s="54"/>
      <c r="AF183" s="54"/>
      <c r="AG183" s="54"/>
      <c r="AH183" s="54"/>
      <c r="AI183" s="54"/>
      <c r="AJ183" s="54"/>
      <c r="AK183" s="54"/>
      <c r="AL183" s="54"/>
      <c r="AM183" s="54"/>
      <c r="AN183" s="54"/>
      <c r="AO183" s="54"/>
      <c r="AP183" s="54"/>
      <c r="AQ183" s="54"/>
      <c r="AR183" s="54"/>
      <c r="AS183" s="54"/>
      <c r="AT183" s="54"/>
      <c r="AU183" s="55"/>
      <c r="AV183" s="54"/>
      <c r="AW183" s="54"/>
      <c r="AX183" s="54"/>
      <c r="AY183" s="54"/>
      <c r="AZ183" s="56" t="s">
        <v>1361</v>
      </c>
      <c r="BA183" s="57" t="s">
        <v>1362</v>
      </c>
      <c r="BB183" s="58" t="s">
        <v>80</v>
      </c>
    </row>
    <row r="184" spans="1:55" ht="25.5" customHeight="1">
      <c r="A184" s="64" t="s">
        <v>1363</v>
      </c>
      <c r="B184" s="64" t="s">
        <v>1364</v>
      </c>
      <c r="C184" s="54" t="s">
        <v>1365</v>
      </c>
      <c r="D184" s="71" t="s">
        <v>1366</v>
      </c>
      <c r="E184" s="54" t="s">
        <v>162</v>
      </c>
      <c r="F184" s="54" t="s">
        <v>154</v>
      </c>
      <c r="G184" s="54"/>
      <c r="H184" s="54"/>
      <c r="I184" s="54"/>
      <c r="J184" s="54"/>
      <c r="K184" s="54"/>
      <c r="L184" s="54"/>
      <c r="M184" s="54"/>
      <c r="N184" s="54"/>
      <c r="O184" s="54"/>
      <c r="P184" s="54"/>
      <c r="Q184" s="54"/>
      <c r="R184" s="54"/>
      <c r="S184" s="54"/>
      <c r="T184" s="54"/>
      <c r="U184" s="54"/>
      <c r="V184" s="52" t="s">
        <v>164</v>
      </c>
      <c r="W184" s="52" t="s">
        <v>165</v>
      </c>
      <c r="X184" s="52"/>
      <c r="Y184" s="54" t="str">
        <f>"[" &amp; _xlfn.TEXTJOIN(", ", TRUE,
    IF(G184&lt;&gt;"", """" &amp; G$1 &amp; """", ""),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T184 &amp; """", ""),
    IF(U184&lt;&gt;"", """" &amp; U184 &amp; """", ""),
    IF(V184&lt;&gt;"", """" &amp; V184 &amp; """", ""),
    IF(W184&lt;&gt;"", """" &amp; W184 &amp; """", ""),
    IF(X184&lt;&gt;"", """" &amp; X184 &amp; """", "")
) &amp; "]"</f>
        <v>["Source", "Flags"]</v>
      </c>
      <c r="Z184" s="54" t="s">
        <v>1367</v>
      </c>
      <c r="AA184" s="54"/>
      <c r="AB184" s="54"/>
      <c r="AC184" s="54"/>
      <c r="AD184" s="54"/>
      <c r="AE184" s="54"/>
      <c r="AF184" s="54"/>
      <c r="AG184" s="54"/>
      <c r="AH184" s="54"/>
      <c r="AI184" s="54"/>
      <c r="AJ184" s="54"/>
      <c r="AK184" s="54"/>
      <c r="AL184" s="54"/>
      <c r="AM184" s="54"/>
      <c r="AN184" s="54"/>
      <c r="AO184" s="54"/>
      <c r="AP184" s="54"/>
      <c r="AQ184" s="54"/>
      <c r="AR184" s="54"/>
      <c r="AS184" s="54"/>
      <c r="AT184" s="54"/>
      <c r="AU184" s="55"/>
      <c r="AV184" s="54"/>
      <c r="AW184" s="54"/>
      <c r="AX184" s="54"/>
      <c r="AY184" s="54"/>
      <c r="AZ184" s="54"/>
      <c r="BA184" s="54"/>
    </row>
    <row r="185" spans="1:55" ht="25.5" customHeight="1">
      <c r="A185" s="64" t="s">
        <v>1368</v>
      </c>
      <c r="B185" s="64" t="s">
        <v>1369</v>
      </c>
      <c r="C185" s="54" t="s">
        <v>1370</v>
      </c>
      <c r="D185" s="71" t="s">
        <v>1371</v>
      </c>
      <c r="E185" s="54" t="s">
        <v>76</v>
      </c>
      <c r="F185" s="54" t="s">
        <v>64</v>
      </c>
      <c r="G185" s="54"/>
      <c r="H185" s="54"/>
      <c r="I185" s="54"/>
      <c r="J185" s="54"/>
      <c r="K185" s="54"/>
      <c r="L185" s="54"/>
      <c r="M185" s="54"/>
      <c r="N185" s="54"/>
      <c r="O185" s="54"/>
      <c r="P185" s="54"/>
      <c r="Q185" s="54"/>
      <c r="R185" s="54"/>
      <c r="S185" s="54"/>
      <c r="T185" s="54"/>
      <c r="U185" s="54"/>
      <c r="V185" s="52" t="s">
        <v>204</v>
      </c>
      <c r="W185" s="52" t="s">
        <v>207</v>
      </c>
      <c r="X185" s="52"/>
      <c r="Y185" s="54" t="str">
        <f>"[" &amp; _xlfn.TEXTJOIN(", ", TRUE,
    IF(G185&lt;&gt;"", """" &amp; G$1 &amp; """", ""),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T185 &amp; """", ""),
    IF(U185&lt;&gt;"", """" &amp; U185 &amp; """", ""),
    IF(V185&lt;&gt;"", """" &amp; V185 &amp; """", ""),
    IF(W185&lt;&gt;"", """" &amp; W185 &amp; """", ""),
    IF(X185&lt;&gt;"", """" &amp; X185 &amp; """", "")
) &amp; "]"</f>
        <v>["Host", "Host Info"]</v>
      </c>
      <c r="Z185" s="54" t="s">
        <v>640</v>
      </c>
      <c r="AA185" s="54"/>
      <c r="AB185" s="54"/>
      <c r="AC185" s="54"/>
      <c r="AD185" s="54"/>
      <c r="AE185" s="54"/>
      <c r="AF185" s="54"/>
      <c r="AG185" s="54"/>
      <c r="AH185" s="54"/>
      <c r="AI185" s="54"/>
      <c r="AJ185" s="54"/>
      <c r="AK185" s="54"/>
      <c r="AL185" s="54"/>
      <c r="AM185" s="54"/>
      <c r="AN185" s="54"/>
      <c r="AO185" s="54"/>
      <c r="AP185" s="54"/>
      <c r="AQ185" s="54"/>
      <c r="AR185" s="54"/>
      <c r="AS185" s="54"/>
      <c r="AT185" s="54"/>
      <c r="AU185" s="55"/>
      <c r="AV185" s="54"/>
      <c r="AW185" s="54"/>
      <c r="AX185" s="54"/>
      <c r="AY185" s="54" t="s">
        <v>1372</v>
      </c>
      <c r="AZ185" s="56" t="s">
        <v>1373</v>
      </c>
      <c r="BA185" s="61" t="s">
        <v>1374</v>
      </c>
      <c r="BB185" s="58" t="s">
        <v>80</v>
      </c>
      <c r="BC185" s="58" t="s">
        <v>80</v>
      </c>
    </row>
    <row r="186" spans="1:55" ht="25.5" customHeight="1">
      <c r="A186" s="64" t="s">
        <v>1375</v>
      </c>
      <c r="B186" s="64" t="s">
        <v>1376</v>
      </c>
      <c r="C186" s="54" t="s">
        <v>1377</v>
      </c>
      <c r="D186" s="71" t="s">
        <v>1378</v>
      </c>
      <c r="E186" s="54" t="s">
        <v>63</v>
      </c>
      <c r="F186" s="54" t="s">
        <v>154</v>
      </c>
      <c r="G186" s="54"/>
      <c r="H186" s="54"/>
      <c r="I186" s="54"/>
      <c r="J186" s="54"/>
      <c r="K186" s="54"/>
      <c r="L186" s="54"/>
      <c r="M186" s="54"/>
      <c r="N186" s="54"/>
      <c r="O186" s="54"/>
      <c r="P186" s="54"/>
      <c r="Q186" s="54"/>
      <c r="R186" s="54"/>
      <c r="S186" s="54"/>
      <c r="T186" s="54"/>
      <c r="U186" s="54"/>
      <c r="V186" s="52" t="s">
        <v>164</v>
      </c>
      <c r="W186" s="52" t="s">
        <v>165</v>
      </c>
      <c r="X186" s="52" t="s">
        <v>639</v>
      </c>
      <c r="Y186" s="54" t="str">
        <f>"[" &amp; _xlfn.TEXTJOIN(", ", TRUE,
    IF(G186&lt;&gt;"", """" &amp; G$1 &amp; """", ""),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T186 &amp; """", ""),
    IF(U186&lt;&gt;"", """" &amp; U186 &amp; """", ""),
    IF(V186&lt;&gt;"", """" &amp; V186 &amp; """", ""),
    IF(W186&lt;&gt;"", """" &amp; W186 &amp; """", ""),
    IF(X186&lt;&gt;"", """" &amp; X186 &amp; """", "")
) &amp; "]"</f>
        <v>["Source", "Flags", "ICTV Taxonomy"]</v>
      </c>
      <c r="Z186" s="54" t="s">
        <v>640</v>
      </c>
      <c r="AA186" s="54"/>
      <c r="AB186" s="54"/>
      <c r="AC186" s="54"/>
      <c r="AD186" s="54"/>
      <c r="AE186" s="54"/>
      <c r="AF186" s="54"/>
      <c r="AG186" s="54"/>
      <c r="AH186" s="54"/>
      <c r="AI186" s="54"/>
      <c r="AJ186" s="54"/>
      <c r="AK186" s="54"/>
      <c r="AL186" s="54"/>
      <c r="AM186" s="54"/>
      <c r="AN186" s="54"/>
      <c r="AO186" s="54"/>
      <c r="AP186" s="54"/>
      <c r="AQ186" s="54"/>
      <c r="AR186" s="54"/>
      <c r="AS186" s="54"/>
      <c r="AT186" s="54"/>
      <c r="AU186" s="55"/>
      <c r="AV186" s="54"/>
      <c r="AW186" s="54"/>
      <c r="AX186" s="54"/>
      <c r="AY186" s="54" t="s">
        <v>1379</v>
      </c>
      <c r="AZ186" s="56" t="s">
        <v>1379</v>
      </c>
      <c r="BA186" s="57" t="s">
        <v>1380</v>
      </c>
    </row>
    <row r="187" spans="1:55" ht="25.5" customHeight="1">
      <c r="A187" s="64" t="s">
        <v>1381</v>
      </c>
      <c r="B187" s="64" t="s">
        <v>1382</v>
      </c>
      <c r="C187" s="54" t="s">
        <v>1383</v>
      </c>
      <c r="D187" s="71" t="s">
        <v>1384</v>
      </c>
      <c r="E187" s="54" t="s">
        <v>76</v>
      </c>
      <c r="F187" s="54" t="s">
        <v>154</v>
      </c>
      <c r="G187" s="54"/>
      <c r="H187" s="54"/>
      <c r="I187" s="54"/>
      <c r="J187" s="54"/>
      <c r="K187" s="54"/>
      <c r="L187" s="54"/>
      <c r="M187" s="54"/>
      <c r="N187" s="54"/>
      <c r="O187" s="54"/>
      <c r="P187" s="54"/>
      <c r="Q187" s="54"/>
      <c r="R187" s="54"/>
      <c r="S187" s="54"/>
      <c r="T187" s="54"/>
      <c r="U187" s="54"/>
      <c r="V187" s="52" t="s">
        <v>621</v>
      </c>
      <c r="W187" s="52" t="s">
        <v>233</v>
      </c>
      <c r="X187" s="52" t="s">
        <v>639</v>
      </c>
      <c r="Y187" s="54" t="str">
        <f>"[" &amp; _xlfn.TEXTJOIN(", ", TRUE,
    IF(G187&lt;&gt;"", """" &amp; G$1 &amp; """", ""),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T187 &amp; """", ""),
    IF(U187&lt;&gt;"", """" &amp; U187 &amp; """", ""),
    IF(V187&lt;&gt;"", """" &amp; V187 &amp; """", ""),
    IF(W187&lt;&gt;"", """" &amp; W187 &amp; """", ""),
    IF(X187&lt;&gt;"", """" &amp; X187 &amp; """", "")
) &amp; "]"</f>
        <v>["Taxonomy", "Virus Info", "ICTV Taxonomy"]</v>
      </c>
      <c r="Z187" s="54" t="s">
        <v>640</v>
      </c>
      <c r="AA187" s="54"/>
      <c r="AB187" s="54"/>
      <c r="AC187" s="54"/>
      <c r="AD187" s="54"/>
      <c r="AE187" s="54"/>
      <c r="AF187" s="54"/>
      <c r="AG187" s="54"/>
      <c r="AH187" s="54"/>
      <c r="AI187" s="54"/>
      <c r="AJ187" s="54"/>
      <c r="AK187" s="54"/>
      <c r="AL187" s="54"/>
      <c r="AM187" s="54"/>
      <c r="AN187" s="54"/>
      <c r="AO187" s="54"/>
      <c r="AP187" s="54"/>
      <c r="AQ187" s="54"/>
      <c r="AR187" s="54"/>
      <c r="AS187" s="54"/>
      <c r="AT187" s="54"/>
      <c r="AU187" s="55"/>
      <c r="AV187" s="54"/>
      <c r="AW187" s="54"/>
      <c r="AX187" s="54"/>
      <c r="AY187" s="54" t="s">
        <v>1385</v>
      </c>
      <c r="AZ187" s="54" t="s">
        <v>1385</v>
      </c>
      <c r="BA187" s="57" t="s">
        <v>1384</v>
      </c>
      <c r="BC187" s="58" t="s">
        <v>80</v>
      </c>
    </row>
    <row r="188" spans="1:55" ht="25.5" customHeight="1">
      <c r="A188" s="64" t="s">
        <v>1386</v>
      </c>
      <c r="B188" s="64" t="s">
        <v>1387</v>
      </c>
      <c r="C188" s="54" t="s">
        <v>1388</v>
      </c>
      <c r="D188" s="71" t="s">
        <v>1389</v>
      </c>
      <c r="E188" s="54" t="s">
        <v>63</v>
      </c>
      <c r="F188" s="54" t="s">
        <v>64</v>
      </c>
      <c r="G188" s="54"/>
      <c r="H188" s="54"/>
      <c r="I188" s="54"/>
      <c r="J188" s="54"/>
      <c r="K188" s="54"/>
      <c r="L188" s="54"/>
      <c r="M188" s="54" t="s">
        <v>1311</v>
      </c>
      <c r="N188" s="54"/>
      <c r="O188" s="54"/>
      <c r="P188" s="54"/>
      <c r="Q188" s="54"/>
      <c r="R188" s="54"/>
      <c r="S188" s="54"/>
      <c r="T188" s="54"/>
      <c r="U188" s="54"/>
      <c r="V188" s="52" t="s">
        <v>204</v>
      </c>
      <c r="W188" s="52" t="s">
        <v>437</v>
      </c>
      <c r="X188" s="52"/>
      <c r="Y188" s="54" t="str">
        <f>"[" &amp; _xlfn.TEXTJOIN(", ", TRUE,
    IF(G188&lt;&gt;"", """" &amp; G$1 &amp; """", ""),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T188 &amp; """", ""),
    IF(U188&lt;&gt;"", """" &amp; U188 &amp; """", ""),
    IF(V188&lt;&gt;"", """" &amp; V188 &amp; """", ""),
    IF(W188&lt;&gt;"", """" &amp; W188 &amp; """", ""),
    IF(X188&lt;&gt;"", """" &amp; X188 &amp; """", "")
) &amp; "]"</f>
        <v>["BV-BRC", "Host", "Clinical"]</v>
      </c>
      <c r="Z188" s="54" t="s">
        <v>359</v>
      </c>
      <c r="AA188" s="54" t="s">
        <v>1390</v>
      </c>
      <c r="AB188" s="54"/>
      <c r="AC188" s="54"/>
      <c r="AD188" s="54"/>
      <c r="AE188" s="54"/>
      <c r="AF188" s="54"/>
      <c r="AG188" s="54" t="s">
        <v>207</v>
      </c>
      <c r="AH188" s="54"/>
      <c r="AI188" s="54" t="s">
        <v>1310</v>
      </c>
      <c r="AJ188" s="54" t="s">
        <v>75</v>
      </c>
      <c r="AK188" s="54"/>
      <c r="AL188" s="54"/>
      <c r="AM188" s="54"/>
      <c r="AN188" s="54"/>
      <c r="AO188" s="54"/>
      <c r="AP188" s="54"/>
      <c r="AQ188" s="54"/>
      <c r="AR188" s="54"/>
      <c r="AS188" s="54"/>
      <c r="AT188" s="54"/>
      <c r="AU188" s="55"/>
      <c r="AV188" s="54"/>
      <c r="AW188" s="54"/>
      <c r="AX188" s="54"/>
      <c r="AY188" s="54"/>
      <c r="AZ188" s="54"/>
      <c r="BA188" s="54"/>
    </row>
    <row r="189" spans="1:55" ht="25.5" customHeight="1">
      <c r="A189" s="64" t="s">
        <v>1391</v>
      </c>
      <c r="B189" s="64" t="s">
        <v>1392</v>
      </c>
      <c r="C189" s="54" t="s">
        <v>1393</v>
      </c>
      <c r="D189" s="71" t="s">
        <v>1394</v>
      </c>
      <c r="E189" s="54" t="s">
        <v>63</v>
      </c>
      <c r="F189" s="54" t="s">
        <v>154</v>
      </c>
      <c r="G189" s="54"/>
      <c r="H189" s="54"/>
      <c r="I189" s="54"/>
      <c r="J189" s="54"/>
      <c r="K189" s="54"/>
      <c r="L189" s="54"/>
      <c r="M189" s="54"/>
      <c r="N189" s="54"/>
      <c r="O189" s="54"/>
      <c r="P189" s="54"/>
      <c r="Q189" s="54"/>
      <c r="R189" s="54"/>
      <c r="S189" s="54"/>
      <c r="T189" s="54"/>
      <c r="U189" s="54"/>
      <c r="V189" s="52" t="s">
        <v>344</v>
      </c>
      <c r="W189" s="52"/>
      <c r="X189" s="52" t="s">
        <v>219</v>
      </c>
      <c r="Y189" s="54" t="str">
        <f>"[" &amp; _xlfn.TEXTJOIN(", ", TRUE,
    IF(G189&lt;&gt;"", """" &amp; G$1 &amp; """", ""),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T189 &amp; """", ""),
    IF(U189&lt;&gt;"", """" &amp; U189 &amp; """", ""),
    IF(V189&lt;&gt;"", """" &amp; V189 &amp; """", ""),
    IF(W189&lt;&gt;"", """" &amp; W189 &amp; """", ""),
    IF(X189&lt;&gt;"", """" &amp; X189 &amp; """", "")
) &amp; "]"</f>
        <v>["Internal", "Workflows"]</v>
      </c>
      <c r="Z189" s="54" t="s">
        <v>16</v>
      </c>
      <c r="AA189" s="54"/>
      <c r="AB189" s="54"/>
      <c r="AC189" s="54"/>
      <c r="AD189" s="54"/>
      <c r="AE189" s="54"/>
      <c r="AF189" s="54"/>
      <c r="AG189" s="54"/>
      <c r="AH189" s="54"/>
      <c r="AI189" s="54"/>
      <c r="AJ189" s="54"/>
      <c r="AK189" s="54"/>
      <c r="AL189" s="54"/>
      <c r="AM189" s="54"/>
      <c r="AN189" s="54"/>
      <c r="AO189" s="54"/>
      <c r="AP189" s="54"/>
      <c r="AQ189" s="54"/>
      <c r="AR189" s="54"/>
      <c r="AS189" s="54"/>
      <c r="AT189" s="54"/>
      <c r="AU189" s="55"/>
      <c r="AV189" s="54"/>
      <c r="AW189" s="54"/>
      <c r="AX189" s="54"/>
      <c r="AY189" s="54"/>
      <c r="AZ189" s="54"/>
      <c r="BA189" s="54"/>
    </row>
    <row r="190" spans="1:55" ht="25.5" customHeight="1">
      <c r="A190" s="64" t="s">
        <v>1395</v>
      </c>
      <c r="B190" s="64" t="s">
        <v>1396</v>
      </c>
      <c r="C190" s="54" t="s">
        <v>1397</v>
      </c>
      <c r="D190" s="71" t="s">
        <v>1398</v>
      </c>
      <c r="E190" s="54" t="s">
        <v>162</v>
      </c>
      <c r="F190" s="54" t="s">
        <v>154</v>
      </c>
      <c r="G190" s="54"/>
      <c r="H190" s="54"/>
      <c r="I190" s="54"/>
      <c r="J190" s="54"/>
      <c r="K190" s="54"/>
      <c r="L190" s="54"/>
      <c r="M190" s="54"/>
      <c r="N190" s="54"/>
      <c r="O190" s="54"/>
      <c r="P190" s="54"/>
      <c r="Q190" s="54"/>
      <c r="R190" s="54"/>
      <c r="S190" s="54"/>
      <c r="T190" s="54"/>
      <c r="U190" s="54"/>
      <c r="V190" s="52" t="s">
        <v>344</v>
      </c>
      <c r="W190" s="52"/>
      <c r="X190" s="52" t="s">
        <v>219</v>
      </c>
      <c r="Y190" s="54" t="str">
        <f>"[" &amp; _xlfn.TEXTJOIN(", ", TRUE,
    IF(G190&lt;&gt;"", """" &amp; G$1 &amp; """", ""),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T190 &amp; """", ""),
    IF(U190&lt;&gt;"", """" &amp; U190 &amp; """", ""),
    IF(V190&lt;&gt;"", """" &amp; V190 &amp; """", ""),
    IF(W190&lt;&gt;"", """" &amp; W190 &amp; """", ""),
    IF(X190&lt;&gt;"", """" &amp; X190 &amp; """", "")
) &amp; "]"</f>
        <v>["Internal", "Workflows"]</v>
      </c>
      <c r="Z190" s="54" t="s">
        <v>16</v>
      </c>
      <c r="AA190" s="54"/>
      <c r="AB190" s="54"/>
      <c r="AC190" s="54"/>
      <c r="AD190" s="54"/>
      <c r="AE190" s="54"/>
      <c r="AF190" s="54"/>
      <c r="AG190" s="54"/>
      <c r="AH190" s="54"/>
      <c r="AI190" s="54"/>
      <c r="AJ190" s="54"/>
      <c r="AK190" s="54"/>
      <c r="AL190" s="54"/>
      <c r="AM190" s="54"/>
      <c r="AN190" s="54"/>
      <c r="AO190" s="54"/>
      <c r="AP190" s="54"/>
      <c r="AQ190" s="54"/>
      <c r="AR190" s="54"/>
      <c r="AS190" s="54"/>
      <c r="AT190" s="54"/>
      <c r="AU190" s="55"/>
      <c r="AV190" s="54"/>
      <c r="AW190" s="54"/>
      <c r="AX190" s="54"/>
      <c r="AY190" s="54"/>
      <c r="AZ190" s="54"/>
      <c r="BA190" s="54"/>
    </row>
    <row r="191" spans="1:55" ht="25.5" customHeight="1">
      <c r="A191" s="64" t="s">
        <v>1399</v>
      </c>
      <c r="B191" s="64" t="s">
        <v>1400</v>
      </c>
      <c r="C191" s="54" t="s">
        <v>1401</v>
      </c>
      <c r="D191" s="71" t="s">
        <v>1402</v>
      </c>
      <c r="E191" s="54" t="s">
        <v>1403</v>
      </c>
      <c r="F191" s="54" t="s">
        <v>154</v>
      </c>
      <c r="G191" s="54"/>
      <c r="H191" s="54"/>
      <c r="I191" s="54"/>
      <c r="J191" s="54"/>
      <c r="K191" s="54"/>
      <c r="L191" s="54"/>
      <c r="M191" s="54"/>
      <c r="N191" s="54"/>
      <c r="O191" s="54"/>
      <c r="P191" s="54"/>
      <c r="Q191" s="54"/>
      <c r="R191" s="54"/>
      <c r="S191" s="54"/>
      <c r="T191" s="54"/>
      <c r="U191" s="54"/>
      <c r="V191" s="52" t="s">
        <v>344</v>
      </c>
      <c r="W191" s="52"/>
      <c r="X191" s="52" t="s">
        <v>219</v>
      </c>
      <c r="Y191" s="54" t="str">
        <f>"[" &amp; _xlfn.TEXTJOIN(", ", TRUE,
    IF(G191&lt;&gt;"", """" &amp; G$1 &amp; """", ""),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T191 &amp; """", ""),
    IF(U191&lt;&gt;"", """" &amp; U191 &amp; """", ""),
    IF(V191&lt;&gt;"", """" &amp; V191 &amp; """", ""),
    IF(W191&lt;&gt;"", """" &amp; W191 &amp; """", ""),
    IF(X191&lt;&gt;"", """" &amp; X191 &amp; """", "")
) &amp; "]"</f>
        <v>["Internal", "Workflows"]</v>
      </c>
      <c r="Z191" s="54" t="s">
        <v>16</v>
      </c>
      <c r="AA191" s="54"/>
      <c r="AB191" s="54"/>
      <c r="AC191" s="54"/>
      <c r="AD191" s="54"/>
      <c r="AE191" s="54"/>
      <c r="AF191" s="54"/>
      <c r="AG191" s="54"/>
      <c r="AH191" s="54"/>
      <c r="AI191" s="54"/>
      <c r="AJ191" s="54"/>
      <c r="AK191" s="54"/>
      <c r="AL191" s="54"/>
      <c r="AM191" s="54"/>
      <c r="AN191" s="54"/>
      <c r="AO191" s="54"/>
      <c r="AP191" s="54"/>
      <c r="AQ191" s="54"/>
      <c r="AR191" s="54"/>
      <c r="AS191" s="54"/>
      <c r="AT191" s="54"/>
      <c r="AU191" s="55"/>
      <c r="AV191" s="54"/>
      <c r="AW191" s="54"/>
      <c r="AX191" s="54"/>
      <c r="AY191" s="54"/>
      <c r="AZ191" s="54"/>
      <c r="BA191" s="54"/>
    </row>
    <row r="192" spans="1:55" ht="25.5" customHeight="1">
      <c r="A192" s="64" t="s">
        <v>1404</v>
      </c>
      <c r="B192" s="64" t="s">
        <v>1405</v>
      </c>
      <c r="C192" s="54" t="s">
        <v>1406</v>
      </c>
      <c r="D192" s="71" t="s">
        <v>1407</v>
      </c>
      <c r="E192" s="54" t="s">
        <v>76</v>
      </c>
      <c r="F192" s="54" t="s">
        <v>342</v>
      </c>
      <c r="G192" s="54"/>
      <c r="H192" s="54"/>
      <c r="I192" s="54"/>
      <c r="J192" s="54"/>
      <c r="K192" s="54"/>
      <c r="L192" s="54"/>
      <c r="M192" s="54"/>
      <c r="N192" s="54"/>
      <c r="O192" s="54"/>
      <c r="P192" s="54"/>
      <c r="Q192" s="54"/>
      <c r="R192" s="54"/>
      <c r="S192" s="54"/>
      <c r="T192" s="54"/>
      <c r="U192" s="54" t="s">
        <v>88</v>
      </c>
      <c r="V192" s="52" t="s">
        <v>344</v>
      </c>
      <c r="W192" s="52"/>
      <c r="X192" s="52" t="s">
        <v>219</v>
      </c>
      <c r="Y192" s="54" t="str">
        <f>"[" &amp; _xlfn.TEXTJOIN(", ", TRUE,
    IF(G192&lt;&gt;"", """" &amp; G$1 &amp; """", ""),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T192 &amp; """", ""),
    IF(U192&lt;&gt;"", """" &amp; U192 &amp; """", ""),
    IF(V192&lt;&gt;"", """" &amp; V192 &amp; """", ""),
    IF(W192&lt;&gt;"", """" &amp; W192 &amp; """", ""),
    IF(X192&lt;&gt;"", """" &amp; X192 &amp; """", "")
) &amp; "]"</f>
        <v>["VJDB Analysis", "Internal", "Workflows"]</v>
      </c>
      <c r="Z192" s="54"/>
      <c r="AA192" s="54" t="s">
        <v>71</v>
      </c>
      <c r="AB192" s="54"/>
      <c r="AC192" s="54"/>
      <c r="AD192" s="54"/>
      <c r="AE192" s="54"/>
      <c r="AF192" s="54"/>
      <c r="AG192" s="54"/>
      <c r="AH192" s="54"/>
      <c r="AI192" s="54"/>
      <c r="AJ192" s="54"/>
      <c r="AK192" s="54"/>
      <c r="AL192" s="54"/>
      <c r="AM192" s="54"/>
      <c r="AN192" s="54"/>
      <c r="AO192" s="54"/>
      <c r="AP192" s="54"/>
      <c r="AQ192" s="54"/>
      <c r="AR192" s="54"/>
      <c r="AS192" s="54"/>
      <c r="AT192" s="54"/>
      <c r="AU192" s="55"/>
      <c r="AV192" s="54"/>
      <c r="AW192" s="54"/>
      <c r="AX192" s="54"/>
      <c r="AY192" s="54"/>
      <c r="AZ192" s="54"/>
      <c r="BA192" s="54"/>
    </row>
    <row r="193" spans="1:55" ht="25.5" customHeight="1">
      <c r="A193" s="64" t="s">
        <v>1408</v>
      </c>
      <c r="B193" s="64" t="s">
        <v>1409</v>
      </c>
      <c r="C193" s="54" t="s">
        <v>1410</v>
      </c>
      <c r="D193" s="73" t="s">
        <v>1411</v>
      </c>
      <c r="E193" s="54" t="s">
        <v>76</v>
      </c>
      <c r="F193" s="60" t="s">
        <v>64</v>
      </c>
      <c r="G193" s="54"/>
      <c r="H193" s="54"/>
      <c r="I193" s="54"/>
      <c r="J193" s="54"/>
      <c r="K193" s="54"/>
      <c r="L193" s="54"/>
      <c r="M193" s="54"/>
      <c r="N193" s="54"/>
      <c r="O193" s="54"/>
      <c r="P193" s="60" t="s">
        <v>1412</v>
      </c>
      <c r="Q193" s="60" t="s">
        <v>1412</v>
      </c>
      <c r="R193" s="60" t="s">
        <v>1412</v>
      </c>
      <c r="S193" s="60" t="s">
        <v>1413</v>
      </c>
      <c r="T193" s="54"/>
      <c r="U193" s="54"/>
      <c r="V193" s="52" t="s">
        <v>204</v>
      </c>
      <c r="W193" s="52" t="s">
        <v>205</v>
      </c>
      <c r="X193" s="52" t="s">
        <v>1414</v>
      </c>
      <c r="Y193" s="54" t="str">
        <f>"[" &amp; _xlfn.TEXTJOIN(", ", TRUE,
    IF(G193&lt;&gt;"", """" &amp; G$1 &amp; """", ""),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T193 &amp; """", ""),
    IF(U193&lt;&gt;"", """" &amp; U193 &amp; """", ""),
    IF(V193&lt;&gt;"", """" &amp; V193 &amp; """", ""),
    IF(W193&lt;&gt;"", """" &amp; W193 &amp; """", ""),
    IF(X193&lt;&gt;"", """" &amp; X193 &amp; """", "")
) &amp; "]"</f>
        <v>["IMG/VR", "PHD", "PhiSpy", "GTDB", "Host", "Host Taxonomy", "GTDB Taxonomy"]</v>
      </c>
      <c r="Z193" s="54" t="s">
        <v>1415</v>
      </c>
      <c r="AA193" s="54"/>
      <c r="AB193" s="54"/>
      <c r="AC193" s="54"/>
      <c r="AD193" s="54"/>
      <c r="AE193" s="54"/>
      <c r="AF193" s="54"/>
      <c r="AG193" s="54"/>
      <c r="AH193" s="54"/>
      <c r="AI193" s="54"/>
      <c r="AJ193" s="54"/>
      <c r="AK193" s="54"/>
      <c r="AL193" s="54"/>
      <c r="AM193" s="54"/>
      <c r="AN193" s="54"/>
      <c r="AO193" s="54"/>
      <c r="AP193" s="54"/>
      <c r="AQ193" s="54"/>
      <c r="AR193" s="54"/>
      <c r="AS193" s="54"/>
      <c r="AT193" s="54"/>
      <c r="AU193" s="55"/>
      <c r="AV193" s="54"/>
      <c r="AW193" s="54"/>
      <c r="AX193" s="54"/>
      <c r="AY193" s="54"/>
      <c r="AZ193" s="54"/>
      <c r="BA193" s="54"/>
    </row>
    <row r="194" spans="1:55" ht="25.5" customHeight="1">
      <c r="A194" s="64" t="s">
        <v>1416</v>
      </c>
      <c r="B194" s="64" t="s">
        <v>1417</v>
      </c>
      <c r="C194" s="54" t="s">
        <v>1418</v>
      </c>
      <c r="D194" s="71" t="s">
        <v>1419</v>
      </c>
      <c r="E194" s="54" t="s">
        <v>63</v>
      </c>
      <c r="F194" s="54" t="s">
        <v>154</v>
      </c>
      <c r="G194" s="54"/>
      <c r="H194" s="54"/>
      <c r="I194" s="54"/>
      <c r="J194" s="54"/>
      <c r="K194" s="54"/>
      <c r="L194" s="54"/>
      <c r="M194" s="54"/>
      <c r="N194" s="54"/>
      <c r="O194" s="54"/>
      <c r="P194" s="54"/>
      <c r="Q194" s="54"/>
      <c r="R194" s="54"/>
      <c r="S194" s="54"/>
      <c r="T194" s="54"/>
      <c r="U194" s="54"/>
      <c r="V194" s="52" t="s">
        <v>344</v>
      </c>
      <c r="W194" s="52"/>
      <c r="X194" s="52" t="s">
        <v>219</v>
      </c>
      <c r="Y194" s="54" t="str">
        <f>"[" &amp; _xlfn.TEXTJOIN(", ", TRUE,
    IF(G194&lt;&gt;"", """" &amp; G$1 &amp; """", ""),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T194 &amp; """", ""),
    IF(U194&lt;&gt;"", """" &amp; U194 &amp; """", ""),
    IF(V194&lt;&gt;"", """" &amp; V194 &amp; """", ""),
    IF(W194&lt;&gt;"", """" &amp; W194 &amp; """", ""),
    IF(X194&lt;&gt;"", """" &amp; X194 &amp; """", "")
) &amp; "]"</f>
        <v>["Internal", "Workflows"]</v>
      </c>
      <c r="Z194" s="54" t="s">
        <v>1420</v>
      </c>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row>
    <row r="195" spans="1:55" ht="25.5" customHeight="1">
      <c r="A195" s="64" t="s">
        <v>1421</v>
      </c>
      <c r="B195" s="64" t="s">
        <v>1422</v>
      </c>
      <c r="C195" s="54" t="s">
        <v>1423</v>
      </c>
      <c r="D195" s="71" t="s">
        <v>1424</v>
      </c>
      <c r="E195" s="54" t="s">
        <v>63</v>
      </c>
      <c r="F195" s="54" t="s">
        <v>154</v>
      </c>
      <c r="G195" s="54"/>
      <c r="H195" s="54"/>
      <c r="I195" s="54"/>
      <c r="J195" s="54"/>
      <c r="K195" s="54"/>
      <c r="L195" s="54"/>
      <c r="M195" s="54"/>
      <c r="N195" s="54"/>
      <c r="O195" s="54"/>
      <c r="P195" s="54"/>
      <c r="Q195" s="54"/>
      <c r="R195" s="54"/>
      <c r="S195" s="54"/>
      <c r="T195" s="54"/>
      <c r="U195" s="54"/>
      <c r="V195" s="52" t="s">
        <v>344</v>
      </c>
      <c r="W195" s="52"/>
      <c r="X195" s="52" t="s">
        <v>219</v>
      </c>
      <c r="Y195" s="54" t="str">
        <f>"[" &amp; _xlfn.TEXTJOIN(", ", TRUE,
    IF(G195&lt;&gt;"", """" &amp; G$1 &amp; """", ""),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T195 &amp; """", ""),
    IF(U195&lt;&gt;"", """" &amp; U195 &amp; """", ""),
    IF(V195&lt;&gt;"", """" &amp; V195 &amp; """", ""),
    IF(W195&lt;&gt;"", """" &amp; W195 &amp; """", ""),
    IF(X195&lt;&gt;"", """" &amp; X195 &amp; """", "")
) &amp; "]"</f>
        <v>["Internal", "Workflows"]</v>
      </c>
      <c r="Z195" s="54" t="s">
        <v>16</v>
      </c>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row>
    <row r="196" spans="1:55" ht="25.5" customHeight="1">
      <c r="A196" s="64" t="s">
        <v>1425</v>
      </c>
      <c r="B196" s="64" t="s">
        <v>1426</v>
      </c>
      <c r="C196" s="54" t="s">
        <v>1427</v>
      </c>
      <c r="D196" s="71" t="s">
        <v>1428</v>
      </c>
      <c r="E196" s="54" t="s">
        <v>162</v>
      </c>
      <c r="F196" s="54" t="s">
        <v>64</v>
      </c>
      <c r="G196" s="54"/>
      <c r="H196" s="54"/>
      <c r="I196" s="54"/>
      <c r="J196" s="54"/>
      <c r="K196" s="54"/>
      <c r="L196" s="54"/>
      <c r="M196" s="54"/>
      <c r="N196" s="54"/>
      <c r="O196" s="54"/>
      <c r="P196" s="54"/>
      <c r="Q196" s="54"/>
      <c r="R196" s="54"/>
      <c r="S196" s="54"/>
      <c r="T196" s="54"/>
      <c r="U196" s="54"/>
      <c r="V196" s="52" t="s">
        <v>587</v>
      </c>
      <c r="W196" s="52" t="s">
        <v>165</v>
      </c>
      <c r="X196" s="52"/>
      <c r="Y196" s="54" t="str">
        <f>"[" &amp; _xlfn.TEXTJOIN(", ", TRUE,
    IF(G196&lt;&gt;"", """" &amp; G$1 &amp; """", ""),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T196 &amp; """", ""),
    IF(U196&lt;&gt;"", """" &amp; U196 &amp; """", ""),
    IF(V196&lt;&gt;"", """" &amp; V196 &amp; """", ""),
    IF(W196&lt;&gt;"", """" &amp; W196 &amp; """", ""),
    IF(X196&lt;&gt;"", """" &amp; X196 &amp; """", "")
) &amp; "]"</f>
        <v>["Analysis", "Flags"]</v>
      </c>
      <c r="Z196" s="54" t="s">
        <v>16</v>
      </c>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8" t="s">
        <v>80</v>
      </c>
    </row>
    <row r="197" spans="1:55" ht="25.5" customHeight="1">
      <c r="A197" s="64" t="s">
        <v>1429</v>
      </c>
      <c r="B197" s="64" t="s">
        <v>1430</v>
      </c>
      <c r="C197" s="54" t="s">
        <v>1431</v>
      </c>
      <c r="D197" s="71" t="s">
        <v>1432</v>
      </c>
      <c r="E197" s="54" t="s">
        <v>63</v>
      </c>
      <c r="F197" s="54" t="s">
        <v>64</v>
      </c>
      <c r="G197" s="54"/>
      <c r="H197" s="54"/>
      <c r="I197" s="54"/>
      <c r="J197" s="54"/>
      <c r="K197" s="54"/>
      <c r="L197" s="54"/>
      <c r="M197" s="54"/>
      <c r="N197" s="54"/>
      <c r="O197" s="54"/>
      <c r="P197" s="54"/>
      <c r="Q197" s="54"/>
      <c r="R197" s="54"/>
      <c r="S197" s="54"/>
      <c r="T197" s="54"/>
      <c r="U197" s="54"/>
      <c r="V197" s="52" t="s">
        <v>344</v>
      </c>
      <c r="W197" s="52" t="s">
        <v>587</v>
      </c>
      <c r="X197" s="52" t="s">
        <v>219</v>
      </c>
      <c r="Y197" s="54" t="str">
        <f>"[" &amp; _xlfn.TEXTJOIN(", ", TRUE,
    IF(G197&lt;&gt;"", """" &amp; G$1 &amp; """", ""),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T197 &amp; """", ""),
    IF(U197&lt;&gt;"", """" &amp; U197 &amp; """", ""),
    IF(V197&lt;&gt;"", """" &amp; V197 &amp; """", ""),
    IF(W197&lt;&gt;"", """" &amp; W197 &amp; """", ""),
    IF(X197&lt;&gt;"", """" &amp; X197 &amp; """", "")
) &amp; "]"</f>
        <v>["Internal", "Analysis", "Workflows"]</v>
      </c>
      <c r="Z197" s="54" t="s">
        <v>16</v>
      </c>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row>
    <row r="198" spans="1:55" ht="25.5" customHeight="1">
      <c r="A198" s="64" t="s">
        <v>1433</v>
      </c>
      <c r="B198" s="64" t="s">
        <v>1434</v>
      </c>
      <c r="C198" s="54" t="s">
        <v>1435</v>
      </c>
      <c r="D198" s="71" t="s">
        <v>1436</v>
      </c>
      <c r="E198" s="54" t="s">
        <v>162</v>
      </c>
      <c r="F198" s="54" t="s">
        <v>64</v>
      </c>
      <c r="G198" s="54"/>
      <c r="H198" s="54"/>
      <c r="I198" s="54"/>
      <c r="J198" s="54"/>
      <c r="K198" s="54"/>
      <c r="L198" s="54"/>
      <c r="M198" s="54"/>
      <c r="N198" s="54"/>
      <c r="O198" s="54"/>
      <c r="P198" s="54"/>
      <c r="Q198" s="54"/>
      <c r="R198" s="54"/>
      <c r="S198" s="54"/>
      <c r="T198" s="54"/>
      <c r="U198" s="54"/>
      <c r="V198" s="52" t="s">
        <v>587</v>
      </c>
      <c r="W198" s="52" t="s">
        <v>165</v>
      </c>
      <c r="X198" s="52"/>
      <c r="Y198" s="54" t="str">
        <f>"["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["Analysis", "Flags"]</v>
      </c>
      <c r="Z198" s="54" t="s">
        <v>16</v>
      </c>
      <c r="AA198" s="54"/>
      <c r="AB198" s="54"/>
      <c r="AC198" s="54"/>
      <c r="AD198" s="54"/>
      <c r="AE198" s="54"/>
      <c r="AF198" s="54"/>
      <c r="AG198" s="54"/>
      <c r="AH198" s="54"/>
      <c r="AI198" s="54"/>
      <c r="AJ198" s="54"/>
      <c r="AK198" s="54"/>
      <c r="AL198" s="54"/>
      <c r="AM198" s="54"/>
      <c r="AN198" s="54"/>
      <c r="AO198" s="54"/>
      <c r="AP198" s="54"/>
      <c r="AQ198" s="54"/>
      <c r="AR198" s="54"/>
      <c r="AS198" s="54"/>
      <c r="AT198" s="54"/>
      <c r="AU198" s="55"/>
      <c r="AV198" s="54"/>
      <c r="AW198" s="54"/>
      <c r="AX198" s="54"/>
      <c r="AY198" s="54"/>
      <c r="AZ198" s="54"/>
      <c r="BA198" s="54"/>
      <c r="BB198" s="58" t="s">
        <v>80</v>
      </c>
    </row>
    <row r="199" spans="1:55" ht="25.5" customHeight="1">
      <c r="A199" s="64" t="s">
        <v>1437</v>
      </c>
      <c r="B199" s="64" t="s">
        <v>1438</v>
      </c>
      <c r="C199" s="54" t="s">
        <v>1439</v>
      </c>
      <c r="D199" s="71" t="s">
        <v>1440</v>
      </c>
      <c r="E199" s="54" t="s">
        <v>63</v>
      </c>
      <c r="F199" s="54" t="s">
        <v>64</v>
      </c>
      <c r="G199" s="54"/>
      <c r="H199" s="54"/>
      <c r="I199" s="54"/>
      <c r="J199" s="54"/>
      <c r="K199" s="54"/>
      <c r="L199" s="54"/>
      <c r="M199" s="54"/>
      <c r="N199" s="54"/>
      <c r="O199" s="54"/>
      <c r="P199" s="54"/>
      <c r="Q199" s="54"/>
      <c r="R199" s="54"/>
      <c r="S199" s="54"/>
      <c r="T199" s="54"/>
      <c r="U199" s="54"/>
      <c r="V199" s="52" t="s">
        <v>587</v>
      </c>
      <c r="W199" s="52"/>
      <c r="X199" s="52"/>
      <c r="Y199" s="54" t="str">
        <f>"[" &amp; _xlfn.TEXTJOIN(", ", TRUE,
    IF(G199&lt;&gt;"", """" &amp; G$1 &amp; """", ""),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T199 &amp; """", ""),
    IF(U199&lt;&gt;"", """" &amp; U199 &amp; """", ""),
    IF(V199&lt;&gt;"", """" &amp; V199 &amp; """", ""),
    IF(W199&lt;&gt;"", """" &amp; W199 &amp; """", ""),
    IF(X199&lt;&gt;"", """" &amp; X199 &amp; """", "")
) &amp; "]"</f>
        <v>["Analysis"]</v>
      </c>
      <c r="Z199" s="54" t="s">
        <v>16</v>
      </c>
      <c r="AA199" s="54"/>
      <c r="AB199" s="54"/>
      <c r="AC199" s="54"/>
      <c r="AD199" s="54"/>
      <c r="AE199" s="54"/>
      <c r="AF199" s="54"/>
      <c r="AG199" s="54"/>
      <c r="AH199" s="54"/>
      <c r="AI199" s="54"/>
      <c r="AJ199" s="54"/>
      <c r="AK199" s="54"/>
      <c r="AL199" s="54"/>
      <c r="AM199" s="54"/>
      <c r="AN199" s="54"/>
      <c r="AO199" s="54"/>
      <c r="AP199" s="54"/>
      <c r="AQ199" s="54"/>
      <c r="AR199" s="54"/>
      <c r="AS199" s="54"/>
      <c r="AT199" s="54"/>
      <c r="AU199" s="55"/>
      <c r="AV199" s="54"/>
      <c r="AW199" s="54"/>
      <c r="AX199" s="54"/>
      <c r="AY199" s="54"/>
      <c r="AZ199" s="54"/>
      <c r="BA199" s="54"/>
    </row>
    <row r="200" spans="1:55" ht="25.5" customHeight="1">
      <c r="A200" s="64" t="s">
        <v>1441</v>
      </c>
      <c r="B200" s="64" t="s">
        <v>1442</v>
      </c>
      <c r="C200" s="54" t="s">
        <v>1443</v>
      </c>
      <c r="D200" s="71" t="s">
        <v>1444</v>
      </c>
      <c r="E200" s="54" t="s">
        <v>76</v>
      </c>
      <c r="F200" s="54" t="s">
        <v>64</v>
      </c>
      <c r="G200" s="54"/>
      <c r="H200" s="54"/>
      <c r="I200" s="54"/>
      <c r="J200" s="54"/>
      <c r="K200" s="54"/>
      <c r="L200" s="54"/>
      <c r="M200" s="54"/>
      <c r="N200" s="54"/>
      <c r="O200" s="54"/>
      <c r="P200" s="54"/>
      <c r="Q200" s="54"/>
      <c r="R200" s="54"/>
      <c r="S200" s="54"/>
      <c r="T200" s="54"/>
      <c r="U200" s="54"/>
      <c r="V200" s="52" t="s">
        <v>587</v>
      </c>
      <c r="W200" s="52"/>
      <c r="X200" s="52" t="s">
        <v>219</v>
      </c>
      <c r="Y200" s="54" t="str">
        <f>"[" &amp; _xlfn.TEXTJOIN(", ", TRUE,
    IF(G200&lt;&gt;"", """" &amp; G$1 &amp; """", ""),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T200 &amp; """", ""),
    IF(U200&lt;&gt;"", """" &amp; U200 &amp; """", ""),
    IF(V200&lt;&gt;"", """" &amp; V200 &amp; """", ""),
    IF(W200&lt;&gt;"", """" &amp; W200 &amp; """", ""),
    IF(X200&lt;&gt;"", """" &amp; X200 &amp; """", "")
) &amp; "]"</f>
        <v>["Analysis", "Workflows"]</v>
      </c>
      <c r="Z200" s="54" t="s">
        <v>1415</v>
      </c>
      <c r="AA200" s="54"/>
      <c r="AB200" s="54"/>
      <c r="AC200" s="54"/>
      <c r="AD200" s="54"/>
      <c r="AE200" s="54"/>
      <c r="AF200" s="54"/>
      <c r="AG200" s="54"/>
      <c r="AH200" s="54"/>
      <c r="AI200" s="54"/>
      <c r="AJ200" s="54"/>
      <c r="AK200" s="54"/>
      <c r="AL200" s="54"/>
      <c r="AM200" s="54"/>
      <c r="AN200" s="54"/>
      <c r="AO200" s="54"/>
      <c r="AP200" s="54"/>
      <c r="AQ200" s="54"/>
      <c r="AR200" s="54"/>
      <c r="AS200" s="54"/>
      <c r="AT200" s="54"/>
      <c r="AU200" s="55"/>
      <c r="AV200" s="54"/>
      <c r="AW200" s="54"/>
      <c r="AX200" s="54"/>
      <c r="AY200" s="54"/>
      <c r="AZ200" s="54"/>
      <c r="BA200" s="54"/>
    </row>
    <row r="201" spans="1:55" ht="25.5" customHeight="1">
      <c r="A201" s="64" t="s">
        <v>1445</v>
      </c>
      <c r="B201" s="64" t="s">
        <v>1446</v>
      </c>
      <c r="C201" s="54" t="s">
        <v>1447</v>
      </c>
      <c r="D201" s="71" t="s">
        <v>1448</v>
      </c>
      <c r="E201" s="54" t="s">
        <v>63</v>
      </c>
      <c r="F201" s="54" t="s">
        <v>64</v>
      </c>
      <c r="G201" s="54"/>
      <c r="H201" s="54"/>
      <c r="I201" s="54"/>
      <c r="J201" s="54"/>
      <c r="K201" s="54"/>
      <c r="L201" s="54"/>
      <c r="M201" s="54"/>
      <c r="N201" s="54"/>
      <c r="O201" s="54"/>
      <c r="P201" s="60" t="s">
        <v>1449</v>
      </c>
      <c r="Q201" s="60"/>
      <c r="R201" s="60" t="s">
        <v>1449</v>
      </c>
      <c r="S201" s="54"/>
      <c r="T201" s="54"/>
      <c r="U201" s="54"/>
      <c r="V201" s="52" t="s">
        <v>204</v>
      </c>
      <c r="W201" s="52" t="s">
        <v>69</v>
      </c>
      <c r="X201" s="52"/>
      <c r="Y201" s="54" t="str">
        <f>"[" &amp; _xlfn.TEXTJOIN(", ", TRUE,
    IF(G201&lt;&gt;"", """" &amp; G$1 &amp; """", ""),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T201 &amp; """", ""),
    IF(U201&lt;&gt;"", """" &amp; U201 &amp; """", ""),
    IF(V201&lt;&gt;"", """" &amp; V201 &amp; """", ""),
    IF(W201&lt;&gt;"", """" &amp; W201 &amp; """", ""),
    IF(X201&lt;&gt;"", """" &amp; X201 &amp; """", "")
) &amp; "]"</f>
        <v>["IMG/VR", "PhiSpy", "Host", "Identifiers"]</v>
      </c>
      <c r="Z201" s="54" t="s">
        <v>16</v>
      </c>
      <c r="AA201" s="54"/>
      <c r="AB201" s="54"/>
      <c r="AC201" s="54"/>
      <c r="AD201" s="54"/>
      <c r="AE201" s="54"/>
      <c r="AF201" s="54"/>
      <c r="AG201" s="54"/>
      <c r="AH201" s="54"/>
      <c r="AI201" s="54"/>
      <c r="AJ201" s="54"/>
      <c r="AK201" s="54"/>
      <c r="AL201" s="54"/>
      <c r="AM201" s="54"/>
      <c r="AN201" s="54"/>
      <c r="AO201" s="54"/>
      <c r="AP201" s="54"/>
      <c r="AQ201" s="54"/>
      <c r="AR201" s="54"/>
      <c r="AS201" s="54"/>
      <c r="AT201" s="54"/>
      <c r="AU201" s="55"/>
      <c r="AV201" s="54"/>
      <c r="AW201" s="54"/>
      <c r="AX201" s="54"/>
      <c r="AY201" s="54"/>
      <c r="AZ201" s="54"/>
      <c r="BA201" s="54"/>
      <c r="BC201" s="58" t="s">
        <v>80</v>
      </c>
    </row>
    <row r="202" spans="1:55" ht="25.5" customHeight="1">
      <c r="A202" s="64" t="s">
        <v>1450</v>
      </c>
      <c r="B202" s="64" t="s">
        <v>1451</v>
      </c>
      <c r="C202" s="54" t="s">
        <v>1452</v>
      </c>
      <c r="D202" s="71" t="s">
        <v>1453</v>
      </c>
      <c r="E202" s="54" t="s">
        <v>76</v>
      </c>
      <c r="F202" s="54" t="s">
        <v>154</v>
      </c>
      <c r="G202" s="54"/>
      <c r="H202" s="54"/>
      <c r="I202" s="54"/>
      <c r="J202" s="54"/>
      <c r="K202" s="54"/>
      <c r="L202" s="54"/>
      <c r="M202" s="54"/>
      <c r="N202" s="54"/>
      <c r="O202" s="54"/>
      <c r="P202" s="60" t="s">
        <v>1451</v>
      </c>
      <c r="Q202" s="60"/>
      <c r="R202" s="60" t="s">
        <v>1451</v>
      </c>
      <c r="S202" s="54"/>
      <c r="T202" s="53"/>
      <c r="U202" s="53"/>
      <c r="V202" s="52" t="s">
        <v>204</v>
      </c>
      <c r="W202" s="52"/>
      <c r="X202" s="52" t="s">
        <v>219</v>
      </c>
      <c r="Y202" s="54" t="str">
        <f>"[" &amp; _xlfn.TEXTJOIN(", ", TRUE,
    IF(G202&lt;&gt;"", """" &amp; G$1 &amp; """", ""),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T202 &amp; """", ""),
    IF(U202&lt;&gt;"", """" &amp; U202 &amp; """", ""),
    IF(V202&lt;&gt;"", """" &amp; V202 &amp; """", ""),
    IF(W202&lt;&gt;"", """" &amp; W202 &amp; """", ""),
    IF(X202&lt;&gt;"", """" &amp; X202 &amp; """", "")
) &amp; "]"</f>
        <v>["IMG/VR", "PhiSpy", "Host", "Workflows"]</v>
      </c>
      <c r="Z202" s="54" t="s">
        <v>1415</v>
      </c>
      <c r="AA202" s="54"/>
      <c r="AB202" s="54"/>
      <c r="AC202" s="54"/>
      <c r="AD202" s="54"/>
      <c r="AE202" s="54"/>
      <c r="AF202" s="54"/>
      <c r="AG202" s="54"/>
      <c r="AH202" s="54"/>
      <c r="AI202" s="54"/>
      <c r="AJ202" s="54"/>
      <c r="AK202" s="54"/>
      <c r="AL202" s="54"/>
      <c r="AM202" s="54"/>
      <c r="AN202" s="54"/>
      <c r="AO202" s="54"/>
      <c r="AP202" s="54"/>
      <c r="AQ202" s="54"/>
      <c r="AR202" s="54"/>
      <c r="AS202" s="54"/>
      <c r="AT202" s="54"/>
      <c r="AU202" s="55"/>
      <c r="AV202" s="54" t="s">
        <v>210</v>
      </c>
      <c r="AW202" s="52"/>
      <c r="AX202" s="52"/>
      <c r="AY202" s="54"/>
      <c r="AZ202" s="54"/>
      <c r="BA202" s="54"/>
    </row>
    <row r="203" spans="1:55" ht="25.5" customHeight="1">
      <c r="A203" s="64" t="s">
        <v>1454</v>
      </c>
      <c r="B203" s="64" t="s">
        <v>1455</v>
      </c>
      <c r="C203" s="54" t="s">
        <v>1456</v>
      </c>
      <c r="D203" s="71" t="s">
        <v>1457</v>
      </c>
      <c r="E203" s="54" t="s">
        <v>63</v>
      </c>
      <c r="F203" s="54" t="s">
        <v>64</v>
      </c>
      <c r="G203" s="54"/>
      <c r="H203" s="54"/>
      <c r="I203" s="54"/>
      <c r="J203" s="54"/>
      <c r="K203" s="54"/>
      <c r="L203" s="54"/>
      <c r="M203" s="54"/>
      <c r="N203" s="54"/>
      <c r="O203" s="54"/>
      <c r="P203" s="60" t="s">
        <v>1458</v>
      </c>
      <c r="Q203" s="60"/>
      <c r="R203" s="60" t="s">
        <v>1458</v>
      </c>
      <c r="S203" s="54"/>
      <c r="T203" s="53"/>
      <c r="U203" s="54"/>
      <c r="V203" s="52" t="s">
        <v>204</v>
      </c>
      <c r="W203" s="52" t="s">
        <v>69</v>
      </c>
      <c r="X203" s="52"/>
      <c r="Y203" s="54" t="str">
        <f>"[" &amp; _xlfn.TEXTJOIN(", ", TRUE,
    IF(G203&lt;&gt;"", """" &amp; G$1 &amp; """", ""),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T203 &amp; """", ""),
    IF(U203&lt;&gt;"", """" &amp; U203 &amp; """", ""),
    IF(V203&lt;&gt;"", """" &amp; V203 &amp; """", ""),
    IF(W203&lt;&gt;"", """" &amp; W203 &amp; """", ""),
    IF(X203&lt;&gt;"", """" &amp; X203 &amp; """", "")
) &amp; "]"</f>
        <v>["IMG/VR", "PhiSpy", "Host", "Identifiers"]</v>
      </c>
      <c r="Z203" s="54" t="s">
        <v>1415</v>
      </c>
      <c r="AA203" s="54"/>
      <c r="AB203" s="54"/>
      <c r="AC203" s="54"/>
      <c r="AD203" s="54"/>
      <c r="AE203" s="54"/>
      <c r="AF203" s="54"/>
      <c r="AG203" s="54"/>
      <c r="AH203" s="54"/>
      <c r="AI203" s="54"/>
      <c r="AJ203" s="54"/>
      <c r="AK203" s="54"/>
      <c r="AL203" s="54"/>
      <c r="AM203" s="54"/>
      <c r="AN203" s="54"/>
      <c r="AO203" s="54"/>
      <c r="AP203" s="54"/>
      <c r="AQ203" s="54"/>
      <c r="AR203" s="54"/>
      <c r="AS203" s="54"/>
      <c r="AT203" s="54"/>
      <c r="AU203" s="55"/>
      <c r="AV203" s="54"/>
      <c r="AW203" s="52"/>
      <c r="AX203" s="52"/>
      <c r="AY203" s="54"/>
      <c r="AZ203" s="54"/>
      <c r="BA203" s="54"/>
    </row>
    <row r="204" spans="1:55" ht="25.5" customHeight="1">
      <c r="A204" s="64" t="s">
        <v>1459</v>
      </c>
      <c r="B204" s="64" t="s">
        <v>1460</v>
      </c>
      <c r="C204" s="54" t="s">
        <v>1461</v>
      </c>
      <c r="D204" s="71" t="s">
        <v>1462</v>
      </c>
      <c r="E204" s="54" t="s">
        <v>63</v>
      </c>
      <c r="F204" s="54" t="s">
        <v>64</v>
      </c>
      <c r="G204" s="54"/>
      <c r="H204" s="54"/>
      <c r="I204" s="54"/>
      <c r="J204" s="54"/>
      <c r="K204" s="54"/>
      <c r="L204" s="54"/>
      <c r="M204" s="54"/>
      <c r="N204" s="54"/>
      <c r="O204" s="54"/>
      <c r="P204" s="60" t="s">
        <v>1463</v>
      </c>
      <c r="Q204" s="60"/>
      <c r="R204" s="60" t="s">
        <v>1463</v>
      </c>
      <c r="S204" s="54"/>
      <c r="T204" s="53"/>
      <c r="U204" s="53"/>
      <c r="V204" s="52" t="s">
        <v>204</v>
      </c>
      <c r="W204" s="52" t="s">
        <v>69</v>
      </c>
      <c r="X204" s="52"/>
      <c r="Y204" s="54" t="str">
        <f>"[" &amp; _xlfn.TEXTJOIN(", ", TRUE,
    IF(G204&lt;&gt;"", """" &amp; G$1 &amp; """", ""),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T204 &amp; """", ""),
    IF(U204&lt;&gt;"", """" &amp; U204 &amp; """", ""),
    IF(V204&lt;&gt;"", """" &amp; V204 &amp; """", ""),
    IF(W204&lt;&gt;"", """" &amp; W204 &amp; """", ""),
    IF(X204&lt;&gt;"", """" &amp; X204 &amp; """", "")
) &amp; "]"</f>
        <v>["IMG/VR", "PhiSpy", "Host", "Identifiers"]</v>
      </c>
      <c r="Z204" s="54" t="s">
        <v>1415</v>
      </c>
      <c r="AA204" s="54"/>
      <c r="AB204" s="54"/>
      <c r="AC204" s="54"/>
      <c r="AD204" s="54"/>
      <c r="AE204" s="54"/>
      <c r="AF204" s="54"/>
      <c r="AG204" s="54"/>
      <c r="AH204" s="54"/>
      <c r="AI204" s="54"/>
      <c r="AJ204" s="54"/>
      <c r="AK204" s="54"/>
      <c r="AL204" s="54"/>
      <c r="AM204" s="54"/>
      <c r="AN204" s="54"/>
      <c r="AO204" s="54"/>
      <c r="AP204" s="54"/>
      <c r="AQ204" s="54"/>
      <c r="AR204" s="54"/>
      <c r="AS204" s="54"/>
      <c r="AT204" s="54"/>
      <c r="AU204" s="55"/>
      <c r="AV204" s="54"/>
      <c r="AW204" s="52"/>
      <c r="AX204" s="52"/>
      <c r="AY204" s="54"/>
      <c r="AZ204" s="54"/>
      <c r="BA204" s="54"/>
    </row>
    <row r="205" spans="1:55" ht="25.5" customHeight="1">
      <c r="A205" s="64" t="s">
        <v>1464</v>
      </c>
      <c r="B205" s="64" t="s">
        <v>1465</v>
      </c>
      <c r="C205" s="54" t="s">
        <v>1466</v>
      </c>
      <c r="D205" s="71" t="s">
        <v>1467</v>
      </c>
      <c r="E205" s="54" t="s">
        <v>76</v>
      </c>
      <c r="F205" s="54" t="s">
        <v>64</v>
      </c>
      <c r="G205" s="54"/>
      <c r="H205" s="54"/>
      <c r="I205" s="54"/>
      <c r="J205" s="54"/>
      <c r="K205" s="54"/>
      <c r="L205" s="54"/>
      <c r="M205" s="54"/>
      <c r="N205" s="54"/>
      <c r="O205" s="54"/>
      <c r="P205" s="60" t="s">
        <v>1468</v>
      </c>
      <c r="Q205" s="60"/>
      <c r="R205" s="60" t="s">
        <v>1468</v>
      </c>
      <c r="S205" s="54"/>
      <c r="T205" s="53"/>
      <c r="U205" s="53"/>
      <c r="V205" s="52" t="s">
        <v>204</v>
      </c>
      <c r="W205" s="52" t="s">
        <v>123</v>
      </c>
      <c r="X205" s="52"/>
      <c r="Y205" s="54" t="str">
        <f>"[" &amp; _xlfn.TEXTJOIN(", ", TRUE,
    IF(G205&lt;&gt;"", """" &amp; G$1 &amp; """", ""),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T205 &amp; """", ""),
    IF(U205&lt;&gt;"", """" &amp; U205 &amp; """", ""),
    IF(V205&lt;&gt;"", """" &amp; V205 &amp; """", ""),
    IF(W205&lt;&gt;"", """" &amp; W205 &amp; """", ""),
    IF(X205&lt;&gt;"", """" &amp; X205 &amp; """", "")
) &amp; "]"</f>
        <v>["IMG/VR", "PhiSpy", "Host", "Collection"]</v>
      </c>
      <c r="Z205" s="54" t="s">
        <v>1415</v>
      </c>
      <c r="AA205" s="54"/>
      <c r="AB205" s="54"/>
      <c r="AC205" s="54"/>
      <c r="AD205" s="54"/>
      <c r="AE205" s="54"/>
      <c r="AF205" s="54"/>
      <c r="AG205" s="54"/>
      <c r="AH205" s="54"/>
      <c r="AI205" s="54"/>
      <c r="AJ205" s="54"/>
      <c r="AK205" s="54"/>
      <c r="AL205" s="54"/>
      <c r="AM205" s="54"/>
      <c r="AN205" s="54"/>
      <c r="AO205" s="54"/>
      <c r="AP205" s="54"/>
      <c r="AQ205" s="54"/>
      <c r="AR205" s="54"/>
      <c r="AS205" s="54"/>
      <c r="AT205" s="54"/>
      <c r="AU205" s="55" t="s">
        <v>146</v>
      </c>
      <c r="AV205" s="54" t="s">
        <v>147</v>
      </c>
      <c r="AW205" s="52"/>
      <c r="AX205" s="52"/>
      <c r="AY205" s="54"/>
      <c r="AZ205" s="54"/>
      <c r="BA205" s="54"/>
    </row>
    <row r="206" spans="1:55" ht="25.5" customHeight="1">
      <c r="A206" s="64" t="s">
        <v>1469</v>
      </c>
      <c r="B206" s="64" t="s">
        <v>1470</v>
      </c>
      <c r="C206" s="54" t="s">
        <v>1471</v>
      </c>
      <c r="D206" s="71" t="s">
        <v>1472</v>
      </c>
      <c r="E206" s="54" t="s">
        <v>117</v>
      </c>
      <c r="F206" s="54" t="s">
        <v>64</v>
      </c>
      <c r="G206" s="54"/>
      <c r="H206" s="54"/>
      <c r="I206" s="54"/>
      <c r="J206" s="54"/>
      <c r="K206" s="54"/>
      <c r="L206" s="54"/>
      <c r="M206" s="54"/>
      <c r="N206" s="54"/>
      <c r="O206" s="54"/>
      <c r="P206" s="60" t="s">
        <v>1470</v>
      </c>
      <c r="Q206" s="60"/>
      <c r="R206" s="60" t="s">
        <v>1470</v>
      </c>
      <c r="S206" s="54"/>
      <c r="T206" s="53"/>
      <c r="U206" s="53"/>
      <c r="V206" s="52" t="s">
        <v>204</v>
      </c>
      <c r="W206" s="52" t="s">
        <v>123</v>
      </c>
      <c r="X206" s="52"/>
      <c r="Y206" s="54" t="str">
        <f>"[" &amp; _xlfn.TEXTJOIN(", ", TRUE,
    IF(G206&lt;&gt;"", """" &amp; G$1 &amp; """", ""),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T206 &amp; """", ""),
    IF(U206&lt;&gt;"", """" &amp; U206 &amp; """", ""),
    IF(V206&lt;&gt;"", """" &amp; V206 &amp; """", ""),
    IF(W206&lt;&gt;"", """" &amp; W206 &amp; """", ""),
    IF(X206&lt;&gt;"", """" &amp; X206 &amp; """", "")
) &amp; "]"</f>
        <v>["IMG/VR", "PhiSpy", "Host", "Collection"]</v>
      </c>
      <c r="Z206" s="54" t="s">
        <v>1415</v>
      </c>
      <c r="AA206" s="54"/>
      <c r="AB206" s="54"/>
      <c r="AC206" s="54"/>
      <c r="AD206" s="54"/>
      <c r="AE206" s="54"/>
      <c r="AF206" s="54"/>
      <c r="AG206" s="54"/>
      <c r="AH206" s="54"/>
      <c r="AI206" s="54"/>
      <c r="AJ206" s="54"/>
      <c r="AK206" s="54"/>
      <c r="AL206" s="54"/>
      <c r="AM206" s="54"/>
      <c r="AN206" s="54"/>
      <c r="AO206" s="54"/>
      <c r="AP206" s="54"/>
      <c r="AQ206" s="54"/>
      <c r="AR206" s="54"/>
      <c r="AS206" s="54"/>
      <c r="AT206" s="54"/>
      <c r="AU206" s="55" t="s">
        <v>1473</v>
      </c>
      <c r="AV206" s="54" t="s">
        <v>131</v>
      </c>
      <c r="AW206" s="52"/>
      <c r="AX206" s="52"/>
      <c r="AY206" s="54"/>
      <c r="AZ206" s="54"/>
      <c r="BA206" s="54"/>
    </row>
    <row r="207" spans="1:55" ht="25.5" customHeight="1">
      <c r="A207" s="64" t="s">
        <v>1474</v>
      </c>
      <c r="B207" s="64" t="s">
        <v>1475</v>
      </c>
      <c r="C207" s="54" t="s">
        <v>1476</v>
      </c>
      <c r="D207" s="74" t="s">
        <v>1477</v>
      </c>
      <c r="E207" s="54" t="s">
        <v>63</v>
      </c>
      <c r="F207" s="54" t="s">
        <v>64</v>
      </c>
      <c r="G207" s="54"/>
      <c r="H207" s="54"/>
      <c r="I207" s="54"/>
      <c r="J207" s="54"/>
      <c r="K207" s="54"/>
      <c r="L207" s="54"/>
      <c r="M207" s="54"/>
      <c r="N207" s="54"/>
      <c r="O207" s="54"/>
      <c r="P207" s="54" t="s">
        <v>1478</v>
      </c>
      <c r="Q207" s="54"/>
      <c r="R207" s="54"/>
      <c r="S207" s="54"/>
      <c r="T207" s="54"/>
      <c r="U207" s="54"/>
      <c r="V207" s="52" t="s">
        <v>204</v>
      </c>
      <c r="W207" s="52" t="s">
        <v>69</v>
      </c>
      <c r="X207" s="52"/>
      <c r="Y207" s="54" t="str">
        <f>"[" &amp; _xlfn.TEXTJOIN(", ", TRUE,
    IF(G207&lt;&gt;"", """" &amp; G$1 &amp; """", ""),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T207 &amp; """", ""),
    IF(U207&lt;&gt;"", """" &amp; U207 &amp; """", ""),
    IF(V207&lt;&gt;"", """" &amp; V207 &amp; """", ""),
    IF(W207&lt;&gt;"", """" &amp; W207 &amp; """", ""),
    IF(X207&lt;&gt;"", """" &amp; X207 &amp; """", "")
) &amp; "]"</f>
        <v>["IMG/VR", "Host", "Identifiers"]</v>
      </c>
      <c r="Z207" s="54" t="s">
        <v>1415</v>
      </c>
      <c r="AA207" s="54"/>
      <c r="AB207" s="54"/>
      <c r="AC207" s="54"/>
      <c r="AD207" s="54"/>
      <c r="AE207" s="54"/>
      <c r="AF207" s="54"/>
      <c r="AG207" s="54"/>
      <c r="AH207" s="54"/>
      <c r="AI207" s="54"/>
      <c r="AJ207" s="54"/>
      <c r="AK207" s="54"/>
      <c r="AL207" s="54"/>
      <c r="AM207" s="54"/>
      <c r="AN207" s="54"/>
      <c r="AO207" s="54"/>
      <c r="AP207" s="54"/>
      <c r="AQ207" s="54"/>
      <c r="AR207" s="54"/>
      <c r="AS207" s="54"/>
      <c r="AT207" s="54"/>
      <c r="AU207" s="55"/>
      <c r="AV207" s="54"/>
      <c r="AW207" s="54"/>
      <c r="AX207" s="54"/>
      <c r="AY207" s="54"/>
      <c r="AZ207" s="54"/>
      <c r="BA207" s="54"/>
    </row>
    <row r="208" spans="1:55" ht="25.5" customHeight="1">
      <c r="A208" s="51" t="s">
        <v>1479</v>
      </c>
      <c r="B208" s="51" t="s">
        <v>1480</v>
      </c>
      <c r="C208" s="52" t="s">
        <v>1481</v>
      </c>
      <c r="D208" s="72" t="s">
        <v>1482</v>
      </c>
      <c r="E208" s="54" t="s">
        <v>63</v>
      </c>
      <c r="F208" s="52" t="s">
        <v>154</v>
      </c>
      <c r="G208" s="52"/>
      <c r="H208" s="52"/>
      <c r="I208" s="52"/>
      <c r="J208" s="52"/>
      <c r="K208" s="52"/>
      <c r="L208" s="52"/>
      <c r="M208" s="52"/>
      <c r="N208" s="52"/>
      <c r="O208" s="52"/>
      <c r="P208" s="60" t="s">
        <v>1480</v>
      </c>
      <c r="Q208" s="60" t="s">
        <v>1480</v>
      </c>
      <c r="R208" s="60" t="s">
        <v>1480</v>
      </c>
      <c r="S208" s="52"/>
      <c r="T208" s="52"/>
      <c r="U208" s="52"/>
      <c r="V208" s="52" t="s">
        <v>344</v>
      </c>
      <c r="W208" s="52" t="s">
        <v>233</v>
      </c>
      <c r="X208" s="52"/>
      <c r="Y208" s="54" t="str">
        <f>"[" &amp; _xlfn.TEXTJOIN(", ", TRUE,
    IF(G208&lt;&gt;"", """" &amp; G$1 &amp; """", ""),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T208 &amp; """", ""),
    IF(U208&lt;&gt;"", """" &amp; U208 &amp; """", ""),
    IF(V208&lt;&gt;"", """" &amp; V208 &amp; """", ""),
    IF(W208&lt;&gt;"", """" &amp; W208 &amp; """", ""),
    IF(X208&lt;&gt;"", """" &amp; X208 &amp; """", "")
) &amp; "]"</f>
        <v>["IMG/VR", "PHD", "PhiSpy", "Internal", "Virus Info"]</v>
      </c>
      <c r="Z208" s="52" t="s">
        <v>16</v>
      </c>
      <c r="AA208" s="52" t="s">
        <v>1483</v>
      </c>
      <c r="AB208" s="52"/>
      <c r="AC208" s="52"/>
      <c r="AD208" s="52"/>
      <c r="AE208" s="52"/>
      <c r="AF208" s="52"/>
      <c r="AG208" s="52"/>
      <c r="AH208" s="52"/>
      <c r="AI208" s="52"/>
      <c r="AJ208" s="52"/>
      <c r="AK208" s="52"/>
      <c r="AL208" s="52"/>
      <c r="AM208" s="52"/>
      <c r="AN208" s="52"/>
      <c r="AO208" s="52"/>
      <c r="AP208" s="52"/>
      <c r="AQ208" s="52"/>
      <c r="AR208" s="52"/>
      <c r="AS208" s="52"/>
      <c r="AT208" s="52"/>
      <c r="AU208" s="63"/>
      <c r="AV208" s="52"/>
      <c r="AW208" s="52"/>
      <c r="AX208" s="52"/>
      <c r="AY208" s="52"/>
      <c r="AZ208" s="52"/>
      <c r="BA208" s="52"/>
      <c r="BB208" s="59"/>
      <c r="BC208" s="59"/>
    </row>
    <row r="209" spans="1:53" ht="25.5" customHeight="1">
      <c r="A209" s="64" t="s">
        <v>1484</v>
      </c>
      <c r="B209" s="64" t="s">
        <v>1485</v>
      </c>
      <c r="C209" s="54" t="s">
        <v>1486</v>
      </c>
      <c r="D209" s="71" t="s">
        <v>1487</v>
      </c>
      <c r="E209" s="54" t="s">
        <v>254</v>
      </c>
      <c r="F209" s="54" t="s">
        <v>64</v>
      </c>
      <c r="G209" s="54"/>
      <c r="H209" s="54"/>
      <c r="I209" s="54"/>
      <c r="J209" s="54"/>
      <c r="K209" s="54"/>
      <c r="L209" s="54"/>
      <c r="M209" s="54"/>
      <c r="N209" s="54"/>
      <c r="O209" s="54"/>
      <c r="P209" s="60" t="s">
        <v>1488</v>
      </c>
      <c r="Q209" s="60"/>
      <c r="R209" s="60" t="s">
        <v>1488</v>
      </c>
      <c r="S209" s="54"/>
      <c r="T209" s="54"/>
      <c r="U209" s="54"/>
      <c r="V209" s="52" t="s">
        <v>204</v>
      </c>
      <c r="W209" s="52"/>
      <c r="X209" s="52" t="s">
        <v>219</v>
      </c>
      <c r="Y209" s="54" t="str">
        <f>"[" &amp; _xlfn.TEXTJOIN(", ", TRUE,
    IF(G209&lt;&gt;"", """" &amp; G$1 &amp; """", ""),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T209 &amp; """", ""),
    IF(U209&lt;&gt;"", """" &amp; U209 &amp; """", ""),
    IF(V209&lt;&gt;"", """" &amp; V209 &amp; """", ""),
    IF(W209&lt;&gt;"", """" &amp; W209 &amp; """", ""),
    IF(X209&lt;&gt;"", """" &amp; X209 &amp; """", "")
) &amp; "]"</f>
        <v>["IMG/VR", "PhiSpy", "Host", "Workflows"]</v>
      </c>
      <c r="Z209" s="54" t="s">
        <v>1415</v>
      </c>
      <c r="AA209" s="54"/>
      <c r="AB209" s="54"/>
      <c r="AC209" s="54"/>
      <c r="AD209" s="54"/>
      <c r="AE209" s="54"/>
      <c r="AF209" s="54"/>
      <c r="AG209" s="54"/>
      <c r="AH209" s="54"/>
      <c r="AI209" s="54"/>
      <c r="AJ209" s="54"/>
      <c r="AK209" s="54"/>
      <c r="AL209" s="54"/>
      <c r="AM209" s="54"/>
      <c r="AN209" s="54"/>
      <c r="AO209" s="54"/>
      <c r="AP209" s="54"/>
      <c r="AQ209" s="54"/>
      <c r="AR209" s="54"/>
      <c r="AS209" s="54"/>
      <c r="AT209" s="54"/>
      <c r="AU209" s="55" t="s">
        <v>658</v>
      </c>
      <c r="AV209" s="54" t="s">
        <v>659</v>
      </c>
      <c r="AW209" s="52"/>
      <c r="AX209" s="52"/>
      <c r="AY209" s="54"/>
      <c r="AZ209" s="54"/>
      <c r="BA209" s="54"/>
    </row>
    <row r="210" spans="1:53" ht="25.5" customHeight="1">
      <c r="A210" s="64" t="s">
        <v>1489</v>
      </c>
      <c r="B210" s="64" t="s">
        <v>1490</v>
      </c>
      <c r="C210" s="54" t="s">
        <v>1491</v>
      </c>
      <c r="D210" s="71" t="s">
        <v>1492</v>
      </c>
      <c r="E210" s="54" t="s">
        <v>76</v>
      </c>
      <c r="F210" s="54" t="s">
        <v>64</v>
      </c>
      <c r="G210" s="54"/>
      <c r="H210" s="54"/>
      <c r="I210" s="54"/>
      <c r="J210" s="54"/>
      <c r="K210" s="54"/>
      <c r="L210" s="54"/>
      <c r="M210" s="54"/>
      <c r="N210" s="54"/>
      <c r="O210" s="54"/>
      <c r="P210" s="60" t="s">
        <v>1490</v>
      </c>
      <c r="Q210" s="60"/>
      <c r="R210" s="60" t="s">
        <v>1490</v>
      </c>
      <c r="S210" s="54"/>
      <c r="T210" s="54"/>
      <c r="U210" s="54"/>
      <c r="V210" s="54" t="s">
        <v>219</v>
      </c>
      <c r="W210" s="54"/>
      <c r="X210" s="54" t="s">
        <v>204</v>
      </c>
      <c r="Y210" s="54" t="str">
        <f>"[" &amp; _xlfn.TEXTJOIN(", ", TRUE,
    IF(G210&lt;&gt;"", """" &amp; G$1 &amp; """", ""),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T210 &amp; """", ""),
    IF(U210&lt;&gt;"", """" &amp; U210 &amp; """", ""),
    IF(V210&lt;&gt;"", """" &amp; V210 &amp; """", ""),
    IF(W210&lt;&gt;"", """" &amp; W210 &amp; """", ""),
    IF(X210&lt;&gt;"", """" &amp; X210 &amp; """", "")
) &amp; "]"</f>
        <v>["IMG/VR", "PhiSpy", "Workflows", "Host"]</v>
      </c>
      <c r="Z210" s="54" t="s">
        <v>1415</v>
      </c>
      <c r="AA210" s="54"/>
      <c r="AB210" s="54"/>
      <c r="AC210" s="54"/>
      <c r="AD210" s="54"/>
      <c r="AE210" s="54"/>
      <c r="AF210" s="54"/>
      <c r="AG210" s="54"/>
      <c r="AH210" s="54"/>
      <c r="AI210" s="54"/>
      <c r="AJ210" s="54"/>
      <c r="AK210" s="54"/>
      <c r="AL210" s="54"/>
      <c r="AM210" s="54"/>
      <c r="AN210" s="54"/>
      <c r="AO210" s="54"/>
      <c r="AP210" s="54"/>
      <c r="AQ210" s="54"/>
      <c r="AR210" s="54"/>
      <c r="AS210" s="54"/>
      <c r="AT210" s="54"/>
      <c r="AU210" s="55" t="s">
        <v>799</v>
      </c>
      <c r="AV210" s="54" t="s">
        <v>393</v>
      </c>
      <c r="AW210" s="54"/>
      <c r="AX210" s="54"/>
      <c r="AY210" s="54"/>
      <c r="AZ210" s="54"/>
      <c r="BA210" s="54"/>
    </row>
    <row r="211" spans="1:53" ht="25.5" customHeight="1">
      <c r="A211" s="64" t="s">
        <v>1493</v>
      </c>
      <c r="B211" s="64" t="s">
        <v>1494</v>
      </c>
      <c r="C211" s="54" t="s">
        <v>1495</v>
      </c>
      <c r="D211" s="71" t="s">
        <v>1496</v>
      </c>
      <c r="E211" s="54" t="s">
        <v>63</v>
      </c>
      <c r="F211" s="54" t="s">
        <v>154</v>
      </c>
      <c r="G211" s="54"/>
      <c r="H211" s="54"/>
      <c r="I211" s="54"/>
      <c r="J211" s="54"/>
      <c r="K211" s="54"/>
      <c r="L211" s="54"/>
      <c r="M211" s="54"/>
      <c r="N211" s="54"/>
      <c r="O211" s="54"/>
      <c r="P211" s="54"/>
      <c r="Q211" s="54"/>
      <c r="R211" s="54"/>
      <c r="S211" s="54"/>
      <c r="T211" s="54"/>
      <c r="U211" s="54"/>
      <c r="V211" s="54" t="s">
        <v>344</v>
      </c>
      <c r="W211" s="52"/>
      <c r="X211" s="54" t="s">
        <v>219</v>
      </c>
      <c r="Y211" s="54" t="str">
        <f>"[" &amp; _xlfn.TEXTJOIN(", ", TRUE,
    IF(G211&lt;&gt;"", """" &amp; G$1 &amp; """", ""),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T211 &amp; """", ""),
    IF(U211&lt;&gt;"", """" &amp; U211 &amp; """", ""),
    IF(V211&lt;&gt;"", """" &amp; V211 &amp; """", ""),
    IF(W211&lt;&gt;"", """" &amp; W211 &amp; """", ""),
    IF(X211&lt;&gt;"", """" &amp; X211 &amp; """", "")
) &amp; "]"</f>
        <v>["Internal", "Workflows"]</v>
      </c>
      <c r="Z211" s="54" t="s">
        <v>16</v>
      </c>
      <c r="AA211" s="54"/>
      <c r="AB211" s="54"/>
      <c r="AC211" s="54"/>
      <c r="AD211" s="54"/>
      <c r="AE211" s="54"/>
      <c r="AF211" s="54"/>
      <c r="AG211" s="54"/>
      <c r="AH211" s="54"/>
      <c r="AI211" s="54"/>
      <c r="AJ211" s="54"/>
      <c r="AK211" s="54"/>
      <c r="AL211" s="54"/>
      <c r="AM211" s="54"/>
      <c r="AN211" s="54"/>
      <c r="AO211" s="54"/>
      <c r="AP211" s="54"/>
      <c r="AQ211" s="54"/>
      <c r="AR211" s="54"/>
      <c r="AS211" s="54"/>
      <c r="AT211" s="54"/>
      <c r="AU211" s="55"/>
      <c r="AV211" s="54"/>
      <c r="AW211" s="54"/>
      <c r="AX211" s="54"/>
      <c r="AY211" s="54"/>
      <c r="AZ211" s="54"/>
      <c r="BA211" s="54"/>
    </row>
    <row r="212" spans="1:53" ht="25.5" customHeight="1">
      <c r="A212" s="64" t="s">
        <v>1497</v>
      </c>
      <c r="B212" s="64" t="s">
        <v>1498</v>
      </c>
      <c r="C212" s="54" t="s">
        <v>1499</v>
      </c>
      <c r="D212" s="71" t="s">
        <v>1500</v>
      </c>
      <c r="E212" s="54" t="s">
        <v>63</v>
      </c>
      <c r="F212" s="54" t="s">
        <v>154</v>
      </c>
      <c r="G212" s="54"/>
      <c r="H212" s="54"/>
      <c r="I212" s="54"/>
      <c r="J212" s="54"/>
      <c r="K212" s="54"/>
      <c r="L212" s="54"/>
      <c r="M212" s="54"/>
      <c r="N212" s="54"/>
      <c r="O212" s="54"/>
      <c r="P212" s="54"/>
      <c r="Q212" s="54"/>
      <c r="R212" s="54"/>
      <c r="S212" s="54"/>
      <c r="T212" s="54"/>
      <c r="U212" s="54"/>
      <c r="V212" s="54" t="s">
        <v>344</v>
      </c>
      <c r="W212" s="52"/>
      <c r="X212" s="54" t="s">
        <v>219</v>
      </c>
      <c r="Y212" s="54" t="str">
        <f>"[" &amp; _xlfn.TEXTJOIN(", ", TRUE,
    IF(G212&lt;&gt;"", """" &amp; G$1 &amp; """", ""),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T212 &amp; """", ""),
    IF(U212&lt;&gt;"", """" &amp; U212 &amp; """", ""),
    IF(V212&lt;&gt;"", """" &amp; V212 &amp; """", ""),
    IF(W212&lt;&gt;"", """" &amp; W212 &amp; """", ""),
    IF(X212&lt;&gt;"", """" &amp; X212 &amp; """", "")
) &amp; "]"</f>
        <v>["Internal", "Workflows"]</v>
      </c>
      <c r="Z212" s="54" t="s">
        <v>16</v>
      </c>
      <c r="AA212" s="54"/>
      <c r="AB212" s="54"/>
      <c r="AC212" s="54"/>
      <c r="AD212" s="54"/>
      <c r="AE212" s="54"/>
      <c r="AF212" s="54"/>
      <c r="AG212" s="54"/>
      <c r="AH212" s="54"/>
      <c r="AI212" s="54"/>
      <c r="AJ212" s="54"/>
      <c r="AK212" s="54"/>
      <c r="AL212" s="54"/>
      <c r="AM212" s="54"/>
      <c r="AN212" s="54"/>
      <c r="AO212" s="54"/>
      <c r="AP212" s="54"/>
      <c r="AQ212" s="54"/>
      <c r="AR212" s="54"/>
      <c r="AS212" s="54"/>
      <c r="AT212" s="54"/>
      <c r="AU212" s="55"/>
      <c r="AV212" s="54"/>
      <c r="AW212" s="54"/>
      <c r="AX212" s="54"/>
      <c r="AY212" s="54"/>
      <c r="AZ212" s="54"/>
      <c r="BA212" s="54"/>
    </row>
    <row r="213" spans="1:53" ht="25.5" customHeight="1">
      <c r="A213" s="64" t="s">
        <v>1501</v>
      </c>
      <c r="B213" s="64" t="s">
        <v>1502</v>
      </c>
      <c r="C213" s="54" t="s">
        <v>1503</v>
      </c>
      <c r="D213" s="71" t="s">
        <v>1504</v>
      </c>
      <c r="E213" s="54" t="s">
        <v>63</v>
      </c>
      <c r="F213" s="54" t="s">
        <v>154</v>
      </c>
      <c r="G213" s="54"/>
      <c r="H213" s="54"/>
      <c r="I213" s="54"/>
      <c r="J213" s="54"/>
      <c r="K213" s="54"/>
      <c r="L213" s="54"/>
      <c r="M213" s="54"/>
      <c r="N213" s="54"/>
      <c r="O213" s="54"/>
      <c r="P213" s="54"/>
      <c r="Q213" s="54"/>
      <c r="R213" s="54"/>
      <c r="S213" s="54"/>
      <c r="T213" s="54"/>
      <c r="U213" s="54"/>
      <c r="V213" s="54" t="s">
        <v>344</v>
      </c>
      <c r="W213" s="52"/>
      <c r="X213" s="54" t="s">
        <v>219</v>
      </c>
      <c r="Y213" s="54" t="str">
        <f>"[" &amp; _xlfn.TEXTJOIN(", ", TRUE,
    IF(G213&lt;&gt;"", """" &amp; G$1 &amp; """", ""),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T213 &amp; """", ""),
    IF(U213&lt;&gt;"", """" &amp; U213 &amp; """", ""),
    IF(V213&lt;&gt;"", """" &amp; V213 &amp; """", ""),
    IF(W213&lt;&gt;"", """" &amp; W213 &amp; """", ""),
    IF(X213&lt;&gt;"", """" &amp; X213 &amp; """", "")
) &amp; "]"</f>
        <v>["Internal", "Workflows"]</v>
      </c>
      <c r="Z213" s="54" t="s">
        <v>16</v>
      </c>
      <c r="AA213" s="54"/>
      <c r="AB213" s="54"/>
      <c r="AC213" s="54"/>
      <c r="AD213" s="54"/>
      <c r="AE213" s="54"/>
      <c r="AF213" s="54"/>
      <c r="AG213" s="54"/>
      <c r="AH213" s="54"/>
      <c r="AI213" s="54"/>
      <c r="AJ213" s="54"/>
      <c r="AK213" s="54"/>
      <c r="AL213" s="54"/>
      <c r="AM213" s="54"/>
      <c r="AN213" s="54"/>
      <c r="AO213" s="54"/>
      <c r="AP213" s="54"/>
      <c r="AQ213" s="54"/>
      <c r="AR213" s="54"/>
      <c r="AS213" s="54"/>
      <c r="AT213" s="54"/>
      <c r="AU213" s="55"/>
      <c r="AV213" s="54"/>
      <c r="AW213" s="54"/>
      <c r="AX213" s="54"/>
      <c r="AY213" s="54"/>
      <c r="AZ213" s="54"/>
      <c r="BA213" s="54"/>
    </row>
    <row r="214" spans="1:53" ht="25.5" customHeight="1">
      <c r="A214" s="64" t="s">
        <v>1505</v>
      </c>
      <c r="B214" s="64" t="s">
        <v>1506</v>
      </c>
      <c r="C214" s="54" t="s">
        <v>1507</v>
      </c>
      <c r="D214" s="71" t="s">
        <v>1508</v>
      </c>
      <c r="E214" s="54" t="s">
        <v>76</v>
      </c>
      <c r="F214" s="54" t="s">
        <v>154</v>
      </c>
      <c r="G214" s="54"/>
      <c r="H214" s="54"/>
      <c r="I214" s="54"/>
      <c r="J214" s="54"/>
      <c r="K214" s="54"/>
      <c r="L214" s="54"/>
      <c r="M214" s="54"/>
      <c r="N214" s="54"/>
      <c r="O214" s="54"/>
      <c r="P214" s="54"/>
      <c r="Q214" s="54"/>
      <c r="R214" s="54"/>
      <c r="S214" s="54"/>
      <c r="T214" s="54"/>
      <c r="U214" s="54"/>
      <c r="V214" s="54" t="s">
        <v>344</v>
      </c>
      <c r="W214" s="52"/>
      <c r="X214" s="54" t="s">
        <v>219</v>
      </c>
      <c r="Y214" s="54" t="str">
        <f>"[" &amp; _xlfn.TEXTJOIN(", ", TRUE,
    IF(G214&lt;&gt;"", """" &amp; G$1 &amp; """", ""),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T214 &amp; """", ""),
    IF(U214&lt;&gt;"", """" &amp; U214 &amp; """", ""),
    IF(V214&lt;&gt;"", """" &amp; V214 &amp; """", ""),
    IF(W214&lt;&gt;"", """" &amp; W214 &amp; """", ""),
    IF(X214&lt;&gt;"", """" &amp; X214 &amp; """", "")
) &amp; "]"</f>
        <v>["Internal", "Workflows"]</v>
      </c>
      <c r="Z214" s="54" t="s">
        <v>640</v>
      </c>
      <c r="AA214" s="54"/>
      <c r="AB214" s="54"/>
      <c r="AC214" s="54"/>
      <c r="AD214" s="54"/>
      <c r="AE214" s="54"/>
      <c r="AF214" s="54"/>
      <c r="AG214" s="54"/>
      <c r="AH214" s="54"/>
      <c r="AI214" s="54"/>
      <c r="AJ214" s="54"/>
      <c r="AK214" s="54"/>
      <c r="AL214" s="54"/>
      <c r="AM214" s="54"/>
      <c r="AN214" s="54"/>
      <c r="AO214" s="54"/>
      <c r="AP214" s="54"/>
      <c r="AQ214" s="54"/>
      <c r="AR214" s="54"/>
      <c r="AS214" s="54"/>
      <c r="AT214" s="54"/>
      <c r="AU214" s="55"/>
      <c r="AV214" s="54"/>
      <c r="AW214" s="54"/>
      <c r="AX214" s="54"/>
      <c r="AY214" s="54"/>
      <c r="AZ214" s="54"/>
      <c r="BA214" s="54"/>
    </row>
    <row r="215" spans="1:53" ht="25.5" customHeight="1">
      <c r="A215" s="64" t="s">
        <v>1509</v>
      </c>
      <c r="B215" s="64" t="s">
        <v>1510</v>
      </c>
      <c r="C215" s="54" t="s">
        <v>1511</v>
      </c>
      <c r="D215" s="71" t="s">
        <v>1512</v>
      </c>
      <c r="E215" s="54" t="s">
        <v>63</v>
      </c>
      <c r="F215" s="54" t="s">
        <v>154</v>
      </c>
      <c r="G215" s="54"/>
      <c r="H215" s="54"/>
      <c r="I215" s="54"/>
      <c r="J215" s="54"/>
      <c r="K215" s="54"/>
      <c r="L215" s="54"/>
      <c r="M215" s="54"/>
      <c r="N215" s="54"/>
      <c r="O215" s="54"/>
      <c r="P215" s="54"/>
      <c r="Q215" s="54"/>
      <c r="R215" s="54"/>
      <c r="S215" s="54"/>
      <c r="T215" s="54"/>
      <c r="U215" s="54"/>
      <c r="V215" s="54" t="s">
        <v>344</v>
      </c>
      <c r="W215" s="54"/>
      <c r="X215" s="54" t="s">
        <v>219</v>
      </c>
      <c r="Y215" s="54" t="str">
        <f>"[" &amp; _xlfn.TEXTJOIN(", ", TRUE,
    IF(G215&lt;&gt;"", """" &amp; G$1 &amp; """", ""),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T215 &amp; """", ""),
    IF(U215&lt;&gt;"", """" &amp; U215 &amp; """", ""),
    IF(V215&lt;&gt;"", """" &amp; V215 &amp; """", ""),
    IF(W215&lt;&gt;"", """" &amp; W215 &amp; """", ""),
    IF(X215&lt;&gt;"", """" &amp; X215 &amp; """", "")
) &amp; "]"</f>
        <v>["Internal", "Workflows"]</v>
      </c>
      <c r="Z215" s="54" t="s">
        <v>640</v>
      </c>
      <c r="AA215" s="54"/>
      <c r="AB215" s="54"/>
      <c r="AC215" s="54"/>
      <c r="AD215" s="54"/>
      <c r="AE215" s="54"/>
      <c r="AF215" s="54"/>
      <c r="AG215" s="54"/>
      <c r="AH215" s="54"/>
      <c r="AI215" s="54"/>
      <c r="AJ215" s="54"/>
      <c r="AK215" s="54"/>
      <c r="AL215" s="54"/>
      <c r="AM215" s="54"/>
      <c r="AN215" s="54"/>
      <c r="AO215" s="54"/>
      <c r="AP215" s="54"/>
      <c r="AQ215" s="54"/>
      <c r="AR215" s="54"/>
      <c r="AS215" s="54"/>
      <c r="AT215" s="54"/>
      <c r="AU215" s="55"/>
      <c r="AV215" s="54"/>
      <c r="AW215" s="54"/>
      <c r="AX215" s="54"/>
      <c r="AY215" s="54"/>
      <c r="AZ215" s="54"/>
      <c r="BA215" s="54"/>
    </row>
    <row r="216" spans="1:53" ht="25.5" customHeight="1">
      <c r="A216" s="64" t="s">
        <v>1513</v>
      </c>
      <c r="B216" s="64" t="s">
        <v>1514</v>
      </c>
      <c r="C216" s="54" t="s">
        <v>1515</v>
      </c>
      <c r="D216" s="75" t="s">
        <v>1515</v>
      </c>
      <c r="E216" s="54" t="s">
        <v>63</v>
      </c>
      <c r="F216" s="60" t="s">
        <v>154</v>
      </c>
      <c r="G216" s="54"/>
      <c r="H216" s="54"/>
      <c r="I216" s="54"/>
      <c r="J216" s="54"/>
      <c r="K216" s="54"/>
      <c r="L216" s="54"/>
      <c r="M216" s="54"/>
      <c r="N216" s="54"/>
      <c r="O216" s="54"/>
      <c r="P216" s="54" t="s">
        <v>1514</v>
      </c>
      <c r="Q216" s="54"/>
      <c r="R216" s="54"/>
      <c r="S216" s="54"/>
      <c r="T216" s="54"/>
      <c r="U216" s="54"/>
      <c r="V216" s="54" t="s">
        <v>204</v>
      </c>
      <c r="W216" s="54" t="s">
        <v>1516</v>
      </c>
      <c r="X216" s="54"/>
      <c r="Y216" s="54" t="str">
        <f>"[" &amp; _xlfn.TEXTJOIN(", ", TRUE,
    IF(G216&lt;&gt;"", """" &amp; G$1 &amp; """", ""),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T216 &amp; """", ""),
    IF(U216&lt;&gt;"", """" &amp; U216 &amp; """", ""),
    IF(V216&lt;&gt;"", """" &amp; V216 &amp; """", ""),
    IF(W216&lt;&gt;"", """" &amp; W216 &amp; """", ""),
    IF(X216&lt;&gt;"", """" &amp; X216 &amp; """", "")
) &amp; "]"</f>
        <v>["IMG/VR", "Host", "Identifier"]</v>
      </c>
      <c r="Z216" s="54" t="s">
        <v>1415</v>
      </c>
      <c r="AA216" s="54"/>
      <c r="AB216" s="54"/>
      <c r="AC216" s="54"/>
      <c r="AD216" s="54"/>
      <c r="AE216" s="54"/>
      <c r="AF216" s="54"/>
      <c r="AG216" s="54"/>
      <c r="AH216" s="54"/>
      <c r="AI216" s="54"/>
      <c r="AJ216" s="54"/>
      <c r="AK216" s="54"/>
      <c r="AL216" s="54"/>
      <c r="AM216" s="54"/>
      <c r="AN216" s="54"/>
      <c r="AO216" s="54"/>
      <c r="AP216" s="54"/>
      <c r="AQ216" s="54"/>
      <c r="AR216" s="54"/>
      <c r="AS216" s="54"/>
      <c r="AT216" s="54"/>
      <c r="AU216" s="55"/>
      <c r="AV216" s="54"/>
      <c r="AW216" s="54"/>
      <c r="AX216" s="54"/>
      <c r="AY216" s="54"/>
      <c r="AZ216" s="54"/>
      <c r="BA216" s="54"/>
    </row>
    <row r="217" spans="1:53" ht="25.5" customHeight="1">
      <c r="A217" s="64" t="s">
        <v>1517</v>
      </c>
      <c r="B217" s="64" t="s">
        <v>1518</v>
      </c>
      <c r="C217" s="54" t="s">
        <v>1519</v>
      </c>
      <c r="D217" s="75" t="s">
        <v>1520</v>
      </c>
      <c r="E217" s="54" t="s">
        <v>162</v>
      </c>
      <c r="F217" s="60" t="s">
        <v>64</v>
      </c>
      <c r="G217" s="54"/>
      <c r="H217" s="54"/>
      <c r="I217" s="54"/>
      <c r="J217" s="54"/>
      <c r="K217" s="54"/>
      <c r="L217" s="54"/>
      <c r="M217" s="54"/>
      <c r="N217" s="54"/>
      <c r="O217" s="54"/>
      <c r="P217" s="54"/>
      <c r="Q217" s="54"/>
      <c r="R217" s="54"/>
      <c r="S217" s="54"/>
      <c r="T217" s="54"/>
      <c r="U217" s="54"/>
      <c r="V217" s="54" t="s">
        <v>587</v>
      </c>
      <c r="W217" s="54" t="s">
        <v>165</v>
      </c>
      <c r="X217" s="54" t="s">
        <v>219</v>
      </c>
      <c r="Y217" s="54" t="str">
        <f>"[" &amp; _xlfn.TEXTJOIN(", ", TRUE,
    IF(G217&lt;&gt;"", """" &amp; G$1 &amp; """", ""),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T217 &amp; """", ""),
    IF(U217&lt;&gt;"", """" &amp; U217 &amp; """", ""),
    IF(V217&lt;&gt;"", """" &amp; V217 &amp; """", ""),
    IF(W217&lt;&gt;"", """" &amp; W217 &amp; """", ""),
    IF(X217&lt;&gt;"", """" &amp; X217 &amp; """", "")
) &amp; "]"</f>
        <v>["Analysis", "Flags", "Workflows"]</v>
      </c>
      <c r="Z217" s="54" t="s">
        <v>16</v>
      </c>
      <c r="AA217" s="54"/>
      <c r="AB217" s="54"/>
      <c r="AC217" s="54"/>
      <c r="AD217" s="54"/>
      <c r="AE217" s="54"/>
      <c r="AF217" s="54"/>
      <c r="AG217" s="54"/>
      <c r="AH217" s="54"/>
      <c r="AI217" s="54"/>
      <c r="AJ217" s="54"/>
      <c r="AK217" s="54"/>
      <c r="AL217" s="54"/>
      <c r="AM217" s="54"/>
      <c r="AN217" s="54"/>
      <c r="AO217" s="54"/>
      <c r="AP217" s="54"/>
      <c r="AQ217" s="54"/>
      <c r="AR217" s="54"/>
      <c r="AS217" s="54"/>
      <c r="AT217" s="54"/>
      <c r="AU217" s="55" t="s">
        <v>1521</v>
      </c>
      <c r="AV217" s="54" t="s">
        <v>1522</v>
      </c>
      <c r="AW217" s="54"/>
      <c r="AX217" s="54"/>
      <c r="AY217" s="54"/>
      <c r="AZ217" s="54"/>
      <c r="BA217" s="54"/>
    </row>
    <row r="218" spans="1:53" ht="25.5" customHeight="1">
      <c r="A218" s="64" t="s">
        <v>1523</v>
      </c>
      <c r="B218" s="64" t="s">
        <v>1524</v>
      </c>
      <c r="C218" s="54" t="s">
        <v>1525</v>
      </c>
      <c r="D218" s="71" t="s">
        <v>1526</v>
      </c>
      <c r="E218" s="54" t="s">
        <v>76</v>
      </c>
      <c r="F218" s="54" t="s">
        <v>64</v>
      </c>
      <c r="G218" s="54"/>
      <c r="H218" s="54"/>
      <c r="I218" s="54"/>
      <c r="J218" s="54"/>
      <c r="K218" s="54"/>
      <c r="L218" s="54"/>
      <c r="M218" s="54"/>
      <c r="N218" s="54"/>
      <c r="O218" s="54"/>
      <c r="P218" s="60" t="s">
        <v>1449</v>
      </c>
      <c r="Q218" s="60"/>
      <c r="R218" s="60" t="s">
        <v>1449</v>
      </c>
      <c r="S218" s="54"/>
      <c r="T218" s="54"/>
      <c r="U218" s="54"/>
      <c r="V218" s="54" t="s">
        <v>219</v>
      </c>
      <c r="W218" s="54"/>
      <c r="X218" s="54" t="s">
        <v>204</v>
      </c>
      <c r="Y218" s="54" t="str">
        <f>"[" &amp; _xlfn.TEXTJOIN(", ", TRUE,
    IF(G218&lt;&gt;"", """" &amp; G$1 &amp; """", ""),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T218 &amp; """", ""),
    IF(U218&lt;&gt;"", """" &amp; U218 &amp; """", ""),
    IF(V218&lt;&gt;"", """" &amp; V218 &amp; """", ""),
    IF(W218&lt;&gt;"", """" &amp; W218 &amp; """", ""),
    IF(X218&lt;&gt;"", """" &amp; X218 &amp; """", "")
) &amp; "]"</f>
        <v>["IMG/VR", "PhiSpy", "Workflows", "Host"]</v>
      </c>
      <c r="Z218" s="54" t="s">
        <v>16</v>
      </c>
      <c r="AA218" s="54"/>
      <c r="AB218" s="54"/>
      <c r="AC218" s="54"/>
      <c r="AD218" s="54"/>
      <c r="AE218" s="54"/>
      <c r="AF218" s="54"/>
      <c r="AG218" s="54"/>
      <c r="AH218" s="54"/>
      <c r="AI218" s="54"/>
      <c r="AJ218" s="54"/>
      <c r="AK218" s="54"/>
      <c r="AL218" s="54"/>
      <c r="AM218" s="54"/>
      <c r="AN218" s="54"/>
      <c r="AO218" s="54"/>
      <c r="AP218" s="54"/>
      <c r="AQ218" s="54"/>
      <c r="AR218" s="54"/>
      <c r="AS218" s="54"/>
      <c r="AT218" s="54"/>
      <c r="AU218" s="55"/>
      <c r="AV218" s="54"/>
      <c r="AW218" s="54"/>
      <c r="AX218" s="54"/>
      <c r="AY218" s="54"/>
      <c r="AZ218" s="54"/>
      <c r="BA218" s="54"/>
    </row>
    <row r="219" spans="1:53" ht="25.5" customHeight="1">
      <c r="A219" s="64" t="s">
        <v>1527</v>
      </c>
      <c r="B219" s="64" t="s">
        <v>1528</v>
      </c>
      <c r="C219" s="54" t="s">
        <v>1529</v>
      </c>
      <c r="D219" s="71" t="s">
        <v>1530</v>
      </c>
      <c r="E219" s="54" t="s">
        <v>254</v>
      </c>
      <c r="F219" s="54" t="s">
        <v>154</v>
      </c>
      <c r="G219" s="54"/>
      <c r="H219" s="54"/>
      <c r="I219" s="54"/>
      <c r="J219" s="54"/>
      <c r="K219" s="54"/>
      <c r="L219" s="54"/>
      <c r="M219" s="54"/>
      <c r="N219" s="54"/>
      <c r="O219" s="54"/>
      <c r="P219" s="60" t="s">
        <v>1449</v>
      </c>
      <c r="Q219" s="60"/>
      <c r="R219" s="60" t="s">
        <v>1449</v>
      </c>
      <c r="S219" s="54"/>
      <c r="T219" s="54"/>
      <c r="U219" s="54"/>
      <c r="V219" s="54" t="s">
        <v>204</v>
      </c>
      <c r="W219" s="54"/>
      <c r="X219" s="54" t="s">
        <v>219</v>
      </c>
      <c r="Y219" s="54" t="str">
        <f>"[" &amp; _xlfn.TEXTJOIN(", ", TRUE,
    IF(G219&lt;&gt;"", """" &amp; G$1 &amp; """", ""),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T219 &amp; """", ""),
    IF(U219&lt;&gt;"", """" &amp; U219 &amp; """", ""),
    IF(V219&lt;&gt;"", """" &amp; V219 &amp; """", ""),
    IF(W219&lt;&gt;"", """" &amp; W219 &amp; """", ""),
    IF(X219&lt;&gt;"", """" &amp; X219 &amp; """", "")
) &amp; "]"</f>
        <v>["IMG/VR", "PhiSpy", "Host", "Workflows"]</v>
      </c>
      <c r="Z219" s="54" t="s">
        <v>16</v>
      </c>
      <c r="AA219" s="54"/>
      <c r="AB219" s="54"/>
      <c r="AC219" s="54"/>
      <c r="AD219" s="54"/>
      <c r="AE219" s="54"/>
      <c r="AF219" s="54"/>
      <c r="AG219" s="54"/>
      <c r="AH219" s="54"/>
      <c r="AI219" s="54"/>
      <c r="AJ219" s="54"/>
      <c r="AK219" s="54"/>
      <c r="AL219" s="54"/>
      <c r="AM219" s="54"/>
      <c r="AN219" s="54"/>
      <c r="AO219" s="54"/>
      <c r="AP219" s="54"/>
      <c r="AQ219" s="54"/>
      <c r="AR219" s="54"/>
      <c r="AS219" s="54"/>
      <c r="AT219" s="54"/>
      <c r="AU219" s="55"/>
      <c r="AV219" s="54"/>
      <c r="AW219" s="54"/>
      <c r="AX219" s="54"/>
      <c r="AY219" s="54"/>
      <c r="AZ219" s="54"/>
      <c r="BA219" s="54"/>
    </row>
    <row r="220" spans="1:53" ht="25.5" customHeight="1">
      <c r="A220" s="64" t="s">
        <v>1531</v>
      </c>
      <c r="B220" s="64" t="s">
        <v>1532</v>
      </c>
      <c r="C220" s="54" t="s">
        <v>1533</v>
      </c>
      <c r="D220" s="71" t="s">
        <v>1534</v>
      </c>
      <c r="E220" s="54" t="s">
        <v>76</v>
      </c>
      <c r="F220" s="54" t="s">
        <v>64</v>
      </c>
      <c r="G220" s="54"/>
      <c r="H220" s="54"/>
      <c r="I220" s="54"/>
      <c r="J220" s="54"/>
      <c r="K220" s="54"/>
      <c r="L220" s="54"/>
      <c r="M220" s="54"/>
      <c r="N220" s="54"/>
      <c r="O220" s="54"/>
      <c r="P220" s="54"/>
      <c r="Q220" s="54"/>
      <c r="R220" s="54"/>
      <c r="S220" s="54"/>
      <c r="T220" s="54"/>
      <c r="U220" s="54"/>
      <c r="V220" s="54" t="s">
        <v>122</v>
      </c>
      <c r="W220" s="54" t="s">
        <v>621</v>
      </c>
      <c r="X220" s="54" t="s">
        <v>517</v>
      </c>
      <c r="Y220" s="54" t="str">
        <f>"[" &amp; _xlfn.TEXTJOIN(", ", TRUE,
    IF(G220&lt;&gt;"", """" &amp; G$1 &amp; """", ""),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T220 &amp; """", ""),
    IF(U220&lt;&gt;"", """" &amp; U220 &amp; """", ""),
    IF(V220&lt;&gt;"", """" &amp; V220 &amp; """", ""),
    IF(W220&lt;&gt;"", """" &amp; W220 &amp; """", ""),
    IF(X220&lt;&gt;"", """" &amp; X220 &amp; """", "")
) &amp; "]"</f>
        <v>["Sample", "Taxonomy", "NCBI Taxonomy"]</v>
      </c>
      <c r="Z220" s="54" t="s">
        <v>517</v>
      </c>
      <c r="AA220" s="54"/>
      <c r="AB220" s="54"/>
      <c r="AC220" s="54"/>
      <c r="AD220" s="54"/>
      <c r="AE220" s="54"/>
      <c r="AF220" s="54"/>
      <c r="AG220" s="54"/>
      <c r="AH220" s="54"/>
      <c r="AI220" s="54"/>
      <c r="AJ220" s="54"/>
      <c r="AK220" s="54"/>
      <c r="AL220" s="54"/>
      <c r="AM220" s="54"/>
      <c r="AN220" s="54"/>
      <c r="AO220" s="54"/>
      <c r="AP220" s="54"/>
      <c r="AQ220" s="54"/>
      <c r="AR220" s="54"/>
      <c r="AS220" s="54"/>
      <c r="AT220" s="54"/>
      <c r="AU220" s="55"/>
      <c r="AV220" s="54"/>
      <c r="AW220" s="54"/>
      <c r="AX220" s="54"/>
      <c r="AY220" s="54"/>
      <c r="AZ220" s="54"/>
      <c r="BA220" s="54"/>
    </row>
    <row r="221" spans="1:53" ht="25.5" customHeight="1">
      <c r="A221" s="64" t="s">
        <v>1535</v>
      </c>
      <c r="B221" s="64" t="s">
        <v>1536</v>
      </c>
      <c r="C221" s="54" t="s">
        <v>1537</v>
      </c>
      <c r="D221" s="71" t="s">
        <v>1538</v>
      </c>
      <c r="E221" s="54" t="s">
        <v>76</v>
      </c>
      <c r="F221" s="54" t="s">
        <v>64</v>
      </c>
      <c r="G221" s="54"/>
      <c r="H221" s="54"/>
      <c r="I221" s="54"/>
      <c r="J221" s="54"/>
      <c r="K221" s="54"/>
      <c r="L221" s="54"/>
      <c r="M221" s="54"/>
      <c r="N221" s="54"/>
      <c r="O221" s="54"/>
      <c r="P221" s="54"/>
      <c r="Q221" s="54"/>
      <c r="R221" s="54"/>
      <c r="S221" s="54"/>
      <c r="T221" s="54"/>
      <c r="U221" s="54"/>
      <c r="V221" s="54" t="s">
        <v>122</v>
      </c>
      <c r="W221" s="54" t="s">
        <v>621</v>
      </c>
      <c r="X221" s="54" t="s">
        <v>517</v>
      </c>
      <c r="Y221" s="54" t="str">
        <f>"[" &amp; _xlfn.TEXTJOIN(", ", TRUE,
    IF(G221&lt;&gt;"", """" &amp; G$1 &amp; """", ""),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T221 &amp; """", ""),
    IF(U221&lt;&gt;"", """" &amp; U221 &amp; """", ""),
    IF(V221&lt;&gt;"", """" &amp; V221 &amp; """", ""),
    IF(W221&lt;&gt;"", """" &amp; W221 &amp; """", ""),
    IF(X221&lt;&gt;"", """" &amp; X221 &amp; """", "")
) &amp; "]"</f>
        <v>["Sample", "Taxonomy", "NCBI Taxonomy"]</v>
      </c>
      <c r="Z221" s="54" t="s">
        <v>517</v>
      </c>
      <c r="AA221" s="54"/>
      <c r="AB221" s="54"/>
      <c r="AC221" s="54"/>
      <c r="AD221" s="54"/>
      <c r="AE221" s="54"/>
      <c r="AF221" s="54"/>
      <c r="AG221" s="54"/>
      <c r="AH221" s="54"/>
      <c r="AI221" s="54"/>
      <c r="AJ221" s="54"/>
      <c r="AK221" s="54"/>
      <c r="AL221" s="54"/>
      <c r="AM221" s="54"/>
      <c r="AN221" s="54"/>
      <c r="AO221" s="54"/>
      <c r="AP221" s="54"/>
      <c r="AQ221" s="54"/>
      <c r="AR221" s="54"/>
      <c r="AS221" s="54"/>
      <c r="AT221" s="54"/>
      <c r="AU221" s="55"/>
      <c r="AV221" s="54"/>
      <c r="AW221" s="54"/>
      <c r="AX221" s="54"/>
      <c r="AY221" s="54"/>
      <c r="AZ221" s="54"/>
      <c r="BA221" s="54"/>
    </row>
    <row r="222" spans="1:53" ht="25.5" customHeight="1">
      <c r="A222" s="64" t="s">
        <v>1539</v>
      </c>
      <c r="B222" s="64" t="s">
        <v>1540</v>
      </c>
      <c r="C222" s="54" t="s">
        <v>1541</v>
      </c>
      <c r="D222" s="71" t="s">
        <v>1542</v>
      </c>
      <c r="E222" s="54" t="s">
        <v>76</v>
      </c>
      <c r="F222" s="54" t="s">
        <v>64</v>
      </c>
      <c r="G222" s="54"/>
      <c r="H222" s="54"/>
      <c r="I222" s="54"/>
      <c r="J222" s="54"/>
      <c r="K222" s="54"/>
      <c r="L222" s="54"/>
      <c r="M222" s="54"/>
      <c r="N222" s="54"/>
      <c r="O222" s="54"/>
      <c r="P222" s="54"/>
      <c r="Q222" s="54"/>
      <c r="R222" s="54"/>
      <c r="S222" s="54"/>
      <c r="T222" s="54"/>
      <c r="U222" s="54"/>
      <c r="V222" s="54" t="s">
        <v>122</v>
      </c>
      <c r="W222" s="54" t="s">
        <v>621</v>
      </c>
      <c r="X222" s="54" t="s">
        <v>517</v>
      </c>
      <c r="Y222" s="54" t="str">
        <f>"[" &amp; _xlfn.TEXTJOIN(", ", TRUE,
    IF(G222&lt;&gt;"", """" &amp; G$1 &amp; """", ""),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T222 &amp; """", ""),
    IF(U222&lt;&gt;"", """" &amp; U222 &amp; """", ""),
    IF(V222&lt;&gt;"", """" &amp; V222 &amp; """", ""),
    IF(W222&lt;&gt;"", """" &amp; W222 &amp; """", ""),
    IF(X222&lt;&gt;"", """" &amp; X222 &amp; """", "")
) &amp; "]"</f>
        <v>["Sample", "Taxonomy", "NCBI Taxonomy"]</v>
      </c>
      <c r="Z222" s="54" t="s">
        <v>517</v>
      </c>
      <c r="AA222" s="54"/>
      <c r="AB222" s="54"/>
      <c r="AC222" s="54"/>
      <c r="AD222" s="54"/>
      <c r="AE222" s="54"/>
      <c r="AF222" s="54"/>
      <c r="AG222" s="54"/>
      <c r="AH222" s="54"/>
      <c r="AI222" s="54"/>
      <c r="AJ222" s="54"/>
      <c r="AK222" s="54"/>
      <c r="AL222" s="54"/>
      <c r="AM222" s="54"/>
      <c r="AN222" s="54"/>
      <c r="AO222" s="54"/>
      <c r="AP222" s="54"/>
      <c r="AQ222" s="54"/>
      <c r="AR222" s="54"/>
      <c r="AS222" s="54"/>
      <c r="AT222" s="54"/>
      <c r="AU222" s="55"/>
      <c r="AV222" s="54"/>
      <c r="AW222" s="54"/>
      <c r="AX222" s="54"/>
      <c r="AY222" s="54"/>
      <c r="AZ222" s="54"/>
      <c r="BA222" s="54"/>
    </row>
    <row r="223" spans="1:53" ht="25.5" customHeight="1">
      <c r="A223" s="64" t="s">
        <v>1543</v>
      </c>
      <c r="B223" s="64" t="s">
        <v>1544</v>
      </c>
      <c r="C223" s="54" t="s">
        <v>1545</v>
      </c>
      <c r="D223" s="71" t="s">
        <v>1546</v>
      </c>
      <c r="E223" s="54" t="s">
        <v>76</v>
      </c>
      <c r="F223" s="54" t="s">
        <v>64</v>
      </c>
      <c r="G223" s="54"/>
      <c r="H223" s="54"/>
      <c r="I223" s="54"/>
      <c r="J223" s="54"/>
      <c r="K223" s="54"/>
      <c r="L223" s="54"/>
      <c r="M223" s="54"/>
      <c r="N223" s="54"/>
      <c r="O223" s="54"/>
      <c r="P223" s="54"/>
      <c r="Q223" s="54"/>
      <c r="R223" s="54"/>
      <c r="S223" s="54"/>
      <c r="T223" s="54"/>
      <c r="U223" s="54"/>
      <c r="V223" s="54" t="s">
        <v>122</v>
      </c>
      <c r="W223" s="54" t="s">
        <v>621</v>
      </c>
      <c r="X223" s="54" t="s">
        <v>517</v>
      </c>
      <c r="Y223" s="54" t="str">
        <f>"[" &amp; _xlfn.TEXTJOIN(", ", TRUE,
    IF(G223&lt;&gt;"", """" &amp; G$1 &amp; """", ""),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T223 &amp; """", ""),
    IF(U223&lt;&gt;"", """" &amp; U223 &amp; """", ""),
    IF(V223&lt;&gt;"", """" &amp; V223 &amp; """", ""),
    IF(W223&lt;&gt;"", """" &amp; W223 &amp; """", ""),
    IF(X223&lt;&gt;"", """" &amp; X223 &amp; """", "")
) &amp; "]"</f>
        <v>["Sample", "Taxonomy", "NCBI Taxonomy"]</v>
      </c>
      <c r="Z223" s="54" t="s">
        <v>517</v>
      </c>
      <c r="AA223" s="54"/>
      <c r="AB223" s="54"/>
      <c r="AC223" s="54"/>
      <c r="AD223" s="54"/>
      <c r="AE223" s="54"/>
      <c r="AF223" s="54"/>
      <c r="AG223" s="54"/>
      <c r="AH223" s="54"/>
      <c r="AI223" s="54"/>
      <c r="AJ223" s="54"/>
      <c r="AK223" s="54"/>
      <c r="AL223" s="54"/>
      <c r="AM223" s="54"/>
      <c r="AN223" s="54"/>
      <c r="AO223" s="54"/>
      <c r="AP223" s="54"/>
      <c r="AQ223" s="54"/>
      <c r="AR223" s="54"/>
      <c r="AS223" s="54"/>
      <c r="AT223" s="54"/>
      <c r="AU223" s="55"/>
      <c r="AV223" s="54"/>
      <c r="AW223" s="54"/>
      <c r="AX223" s="54"/>
      <c r="AY223" s="54"/>
      <c r="AZ223" s="54"/>
      <c r="BA223" s="54"/>
    </row>
    <row r="224" spans="1:53" ht="25.5" customHeight="1">
      <c r="A224" s="64" t="s">
        <v>1547</v>
      </c>
      <c r="B224" s="64" t="s">
        <v>1548</v>
      </c>
      <c r="C224" s="54" t="s">
        <v>1549</v>
      </c>
      <c r="D224" s="71" t="s">
        <v>1550</v>
      </c>
      <c r="E224" s="54" t="s">
        <v>216</v>
      </c>
      <c r="F224" s="54" t="s">
        <v>64</v>
      </c>
      <c r="G224" s="54"/>
      <c r="H224" s="54"/>
      <c r="I224" s="54"/>
      <c r="J224" s="54"/>
      <c r="K224" s="54"/>
      <c r="L224" s="54"/>
      <c r="M224" s="54"/>
      <c r="N224" s="54"/>
      <c r="O224" s="54"/>
      <c r="P224" s="54"/>
      <c r="Q224" s="54"/>
      <c r="R224" s="54"/>
      <c r="S224" s="54"/>
      <c r="T224" s="54"/>
      <c r="U224" s="54"/>
      <c r="V224" s="54" t="s">
        <v>587</v>
      </c>
      <c r="W224" s="54"/>
      <c r="X224" s="54" t="s">
        <v>219</v>
      </c>
      <c r="Y224" s="54" t="str">
        <f>"[" &amp; _xlfn.TEXTJOIN(", ", TRUE,
    IF(G224&lt;&gt;"", """" &amp; G$1 &amp; """", ""),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T224 &amp; """", ""),
    IF(U224&lt;&gt;"", """" &amp; U224 &amp; """", ""),
    IF(V224&lt;&gt;"", """" &amp; V224 &amp; """", ""),
    IF(W224&lt;&gt;"", """" &amp; W224 &amp; """", ""),
    IF(X224&lt;&gt;"", """" &amp; X224 &amp; """", "")
) &amp; "]"</f>
        <v>["Analysis", "Workflows"]</v>
      </c>
      <c r="Z224" s="54" t="s">
        <v>16</v>
      </c>
      <c r="AA224" s="54"/>
      <c r="AB224" s="54"/>
      <c r="AC224" s="54"/>
      <c r="AD224" s="54"/>
      <c r="AE224" s="54"/>
      <c r="AF224" s="54"/>
      <c r="AG224" s="54"/>
      <c r="AH224" s="54"/>
      <c r="AI224" s="54"/>
      <c r="AJ224" s="54"/>
      <c r="AK224" s="54"/>
      <c r="AL224" s="54"/>
      <c r="AM224" s="54"/>
      <c r="AN224" s="54"/>
      <c r="AO224" s="54"/>
      <c r="AP224" s="54"/>
      <c r="AQ224" s="54"/>
      <c r="AR224" s="54"/>
      <c r="AS224" s="54"/>
      <c r="AT224" s="54"/>
      <c r="AU224" s="55"/>
      <c r="AV224" s="54"/>
      <c r="AW224" s="54"/>
      <c r="AX224" s="54"/>
      <c r="AY224" s="54"/>
      <c r="AZ224" s="54"/>
      <c r="BA224" s="54"/>
    </row>
    <row r="225" spans="1:53" ht="25.5" customHeight="1">
      <c r="A225" s="64" t="s">
        <v>1551</v>
      </c>
      <c r="B225" s="64" t="s">
        <v>1552</v>
      </c>
      <c r="C225" s="66" t="s">
        <v>1553</v>
      </c>
      <c r="D225" s="71" t="s">
        <v>1554</v>
      </c>
      <c r="E225" s="54" t="s">
        <v>63</v>
      </c>
      <c r="F225" s="54" t="s">
        <v>64</v>
      </c>
      <c r="G225" s="54"/>
      <c r="H225" s="54"/>
      <c r="I225" s="54"/>
      <c r="J225" s="54"/>
      <c r="K225" s="54"/>
      <c r="L225" s="54"/>
      <c r="M225" s="54"/>
      <c r="N225" s="54"/>
      <c r="O225" s="54"/>
      <c r="P225" s="54"/>
      <c r="Q225" s="54"/>
      <c r="R225" s="54"/>
      <c r="S225" s="54"/>
      <c r="T225" s="54"/>
      <c r="U225" s="54"/>
      <c r="V225" s="54" t="s">
        <v>587</v>
      </c>
      <c r="W225" s="54"/>
      <c r="X225" s="54" t="s">
        <v>219</v>
      </c>
      <c r="Y225" s="54" t="str">
        <f>"[" &amp; _xlfn.TEXTJOIN(", ", TRUE,
    IF(G225&lt;&gt;"", """" &amp; G$1 &amp; """", ""),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T225 &amp; """", ""),
    IF(U225&lt;&gt;"", """" &amp; U225 &amp; """", ""),
    IF(V225&lt;&gt;"", """" &amp; V225 &amp; """", ""),
    IF(W225&lt;&gt;"", """" &amp; W225 &amp; """", ""),
    IF(X225&lt;&gt;"", """" &amp; X225 &amp; """", "")
) &amp; "]"</f>
        <v>["Analysis", "Workflows"]</v>
      </c>
      <c r="Z225" s="54" t="s">
        <v>16</v>
      </c>
      <c r="AA225" s="54"/>
      <c r="AB225" s="54"/>
      <c r="AC225" s="54"/>
      <c r="AD225" s="54"/>
      <c r="AE225" s="54"/>
      <c r="AF225" s="54"/>
      <c r="AG225" s="54"/>
      <c r="AH225" s="54"/>
      <c r="AI225" s="54"/>
      <c r="AJ225" s="54"/>
      <c r="AK225" s="54"/>
      <c r="AL225" s="54"/>
      <c r="AM225" s="54"/>
      <c r="AN225" s="54"/>
      <c r="AO225" s="54"/>
      <c r="AP225" s="54"/>
      <c r="AQ225" s="54"/>
      <c r="AR225" s="54"/>
      <c r="AS225" s="54"/>
      <c r="AT225" s="54"/>
      <c r="AU225" s="55"/>
      <c r="AV225" s="54"/>
      <c r="AW225" s="54"/>
      <c r="AX225" s="54"/>
      <c r="AY225" s="54"/>
      <c r="AZ225" s="54"/>
      <c r="BA225" s="54"/>
    </row>
    <row r="226" spans="1:53" ht="25.5" customHeight="1">
      <c r="A226" s="64" t="s">
        <v>1555</v>
      </c>
      <c r="B226" s="64" t="s">
        <v>1556</v>
      </c>
      <c r="C226" s="54" t="s">
        <v>1557</v>
      </c>
      <c r="D226" s="71" t="s">
        <v>1558</v>
      </c>
      <c r="E226" s="54" t="s">
        <v>216</v>
      </c>
      <c r="F226" s="54" t="s">
        <v>64</v>
      </c>
      <c r="G226" s="54"/>
      <c r="H226" s="54"/>
      <c r="I226" s="54"/>
      <c r="J226" s="54"/>
      <c r="K226" s="54"/>
      <c r="L226" s="54"/>
      <c r="M226" s="54"/>
      <c r="N226" s="54"/>
      <c r="O226" s="54"/>
      <c r="P226" s="54"/>
      <c r="Q226" s="54"/>
      <c r="R226" s="54"/>
      <c r="S226" s="54"/>
      <c r="T226" s="54"/>
      <c r="U226" s="54"/>
      <c r="V226" s="54" t="s">
        <v>587</v>
      </c>
      <c r="W226" s="54"/>
      <c r="X226" s="54" t="s">
        <v>219</v>
      </c>
      <c r="Y226" s="54" t="str">
        <f>"[" &amp; _xlfn.TEXTJOIN(", ", TRUE,
    IF(G226&lt;&gt;"", """" &amp; G$1 &amp; """", ""),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T226 &amp; """", ""),
    IF(U226&lt;&gt;"", """" &amp; U226 &amp; """", ""),
    IF(V226&lt;&gt;"", """" &amp; V226 &amp; """", ""),
    IF(W226&lt;&gt;"", """" &amp; W226 &amp; """", ""),
    IF(X226&lt;&gt;"", """" &amp; X226 &amp; """", "")
) &amp; "]"</f>
        <v>["Analysis", "Workflows"]</v>
      </c>
      <c r="Z226" s="54" t="s">
        <v>16</v>
      </c>
      <c r="AA226" s="54"/>
      <c r="AB226" s="54"/>
      <c r="AC226" s="54"/>
      <c r="AD226" s="54"/>
      <c r="AE226" s="54"/>
      <c r="AF226" s="54"/>
      <c r="AG226" s="54"/>
      <c r="AH226" s="54"/>
      <c r="AI226" s="54"/>
      <c r="AJ226" s="54"/>
      <c r="AK226" s="54"/>
      <c r="AL226" s="54"/>
      <c r="AM226" s="54"/>
      <c r="AN226" s="54"/>
      <c r="AO226" s="54"/>
      <c r="AP226" s="54"/>
      <c r="AQ226" s="54"/>
      <c r="AR226" s="54"/>
      <c r="AS226" s="54"/>
      <c r="AT226" s="54"/>
      <c r="AU226" s="55"/>
      <c r="AV226" s="54"/>
      <c r="AW226" s="54"/>
      <c r="AX226" s="54"/>
      <c r="AY226" s="54"/>
      <c r="AZ226" s="54"/>
      <c r="BA226" s="54"/>
    </row>
    <row r="227" spans="1:53" ht="25.5" customHeight="1">
      <c r="A227" s="64" t="s">
        <v>1559</v>
      </c>
      <c r="B227" s="64" t="s">
        <v>1560</v>
      </c>
      <c r="C227" s="54" t="s">
        <v>1561</v>
      </c>
      <c r="D227" s="71" t="s">
        <v>1562</v>
      </c>
      <c r="E227" s="54" t="s">
        <v>216</v>
      </c>
      <c r="F227" s="54" t="s">
        <v>64</v>
      </c>
      <c r="G227" s="54"/>
      <c r="H227" s="54"/>
      <c r="I227" s="54"/>
      <c r="J227" s="54"/>
      <c r="K227" s="54"/>
      <c r="L227" s="54"/>
      <c r="M227" s="54"/>
      <c r="N227" s="54"/>
      <c r="O227" s="54"/>
      <c r="P227" s="54"/>
      <c r="Q227" s="54"/>
      <c r="R227" s="54"/>
      <c r="S227" s="54"/>
      <c r="T227" s="54"/>
      <c r="U227" s="54"/>
      <c r="V227" s="54" t="s">
        <v>587</v>
      </c>
      <c r="W227" s="54"/>
      <c r="X227" s="54" t="s">
        <v>219</v>
      </c>
      <c r="Y227" s="54" t="str">
        <f>"[" &amp; _xlfn.TEXTJOIN(", ", TRUE,
    IF(G227&lt;&gt;"", """" &amp; G$1 &amp; """", ""),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T227 &amp; """", ""),
    IF(U227&lt;&gt;"", """" &amp; U227 &amp; """", ""),
    IF(V227&lt;&gt;"", """" &amp; V227 &amp; """", ""),
    IF(W227&lt;&gt;"", """" &amp; W227 &amp; """", ""),
    IF(X227&lt;&gt;"", """" &amp; X227 &amp; """", "")
) &amp; "]"</f>
        <v>["Analysis", "Workflows"]</v>
      </c>
      <c r="Z227" s="54" t="s">
        <v>16</v>
      </c>
      <c r="AA227" s="54"/>
      <c r="AB227" s="54"/>
      <c r="AC227" s="54"/>
      <c r="AD227" s="54"/>
      <c r="AE227" s="54"/>
      <c r="AF227" s="54"/>
      <c r="AG227" s="54"/>
      <c r="AH227" s="54"/>
      <c r="AI227" s="54"/>
      <c r="AJ227" s="54"/>
      <c r="AK227" s="54"/>
      <c r="AL227" s="54"/>
      <c r="AM227" s="54"/>
      <c r="AN227" s="54"/>
      <c r="AO227" s="54"/>
      <c r="AP227" s="54"/>
      <c r="AQ227" s="54"/>
      <c r="AR227" s="54"/>
      <c r="AS227" s="54"/>
      <c r="AT227" s="54"/>
      <c r="AU227" s="55"/>
      <c r="AV227" s="54"/>
      <c r="AW227" s="54"/>
      <c r="AX227" s="54"/>
      <c r="AY227" s="54"/>
      <c r="AZ227" s="54"/>
      <c r="BA227" s="54"/>
    </row>
    <row r="228" spans="1:53" ht="25.5" customHeight="1">
      <c r="A228" s="64" t="s">
        <v>1563</v>
      </c>
      <c r="B228" s="64" t="s">
        <v>1564</v>
      </c>
      <c r="C228" s="54" t="s">
        <v>1565</v>
      </c>
      <c r="D228" s="71" t="s">
        <v>1566</v>
      </c>
      <c r="E228" s="54" t="s">
        <v>216</v>
      </c>
      <c r="F228" s="54" t="s">
        <v>64</v>
      </c>
      <c r="G228" s="54"/>
      <c r="H228" s="54"/>
      <c r="I228" s="54"/>
      <c r="J228" s="54"/>
      <c r="K228" s="54"/>
      <c r="L228" s="54"/>
      <c r="M228" s="54"/>
      <c r="N228" s="54"/>
      <c r="O228" s="54"/>
      <c r="P228" s="54"/>
      <c r="Q228" s="54"/>
      <c r="R228" s="54"/>
      <c r="S228" s="54"/>
      <c r="T228" s="54"/>
      <c r="U228" s="54"/>
      <c r="V228" s="54" t="s">
        <v>587</v>
      </c>
      <c r="W228" s="54"/>
      <c r="X228" s="54" t="s">
        <v>219</v>
      </c>
      <c r="Y228" s="54" t="str">
        <f>"[" &amp; _xlfn.TEXTJOIN(", ", TRUE,
    IF(G228&lt;&gt;"", """" &amp; G$1 &amp; """", ""),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T228 &amp; """", ""),
    IF(U228&lt;&gt;"", """" &amp; U228 &amp; """", ""),
    IF(V228&lt;&gt;"", """" &amp; V228 &amp; """", ""),
    IF(W228&lt;&gt;"", """" &amp; W228 &amp; """", ""),
    IF(X228&lt;&gt;"", """" &amp; X228 &amp; """", "")
) &amp; "]"</f>
        <v>["Analysis", "Workflows"]</v>
      </c>
      <c r="Z228" s="54" t="s">
        <v>16</v>
      </c>
      <c r="AA228" s="54"/>
      <c r="AB228" s="54"/>
      <c r="AC228" s="54"/>
      <c r="AD228" s="54"/>
      <c r="AE228" s="54"/>
      <c r="AF228" s="54"/>
      <c r="AG228" s="54"/>
      <c r="AH228" s="54"/>
      <c r="AI228" s="54"/>
      <c r="AJ228" s="54"/>
      <c r="AK228" s="54"/>
      <c r="AL228" s="54"/>
      <c r="AM228" s="54"/>
      <c r="AN228" s="54"/>
      <c r="AO228" s="54"/>
      <c r="AP228" s="54"/>
      <c r="AQ228" s="54"/>
      <c r="AR228" s="54"/>
      <c r="AS228" s="54"/>
      <c r="AT228" s="54"/>
      <c r="AU228" s="55"/>
      <c r="AV228" s="54"/>
      <c r="AW228" s="54"/>
      <c r="AX228" s="54"/>
      <c r="AY228" s="54"/>
      <c r="AZ228" s="54"/>
      <c r="BA228" s="54"/>
    </row>
    <row r="229" spans="1:53" ht="25.5" customHeight="1">
      <c r="A229" s="64" t="s">
        <v>1567</v>
      </c>
      <c r="B229" s="64" t="s">
        <v>1568</v>
      </c>
      <c r="C229" s="54" t="s">
        <v>1569</v>
      </c>
      <c r="D229" s="71" t="s">
        <v>1570</v>
      </c>
      <c r="E229" s="54" t="s">
        <v>216</v>
      </c>
      <c r="F229" s="54" t="s">
        <v>64</v>
      </c>
      <c r="G229" s="54"/>
      <c r="H229" s="54"/>
      <c r="I229" s="54"/>
      <c r="J229" s="54"/>
      <c r="K229" s="54"/>
      <c r="L229" s="54"/>
      <c r="M229" s="54"/>
      <c r="N229" s="54"/>
      <c r="O229" s="54"/>
      <c r="P229" s="54"/>
      <c r="Q229" s="54"/>
      <c r="R229" s="54"/>
      <c r="S229" s="54"/>
      <c r="T229" s="54"/>
      <c r="U229" s="54"/>
      <c r="V229" s="54" t="s">
        <v>587</v>
      </c>
      <c r="W229" s="54"/>
      <c r="X229" s="54" t="s">
        <v>219</v>
      </c>
      <c r="Y229" s="54" t="str">
        <f>"[" &amp; _xlfn.TEXTJOIN(", ", TRUE,
    IF(G229&lt;&gt;"", """" &amp; G$1 &amp; """", ""),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T229 &amp; """", ""),
    IF(U229&lt;&gt;"", """" &amp; U229 &amp; """", ""),
    IF(V229&lt;&gt;"", """" &amp; V229 &amp; """", ""),
    IF(W229&lt;&gt;"", """" &amp; W229 &amp; """", ""),
    IF(X229&lt;&gt;"", """" &amp; X229 &amp; """", "")
) &amp; "]"</f>
        <v>["Analysis", "Workflows"]</v>
      </c>
      <c r="Z229" s="54" t="s">
        <v>16</v>
      </c>
      <c r="AA229" s="54"/>
      <c r="AB229" s="54"/>
      <c r="AC229" s="54"/>
      <c r="AD229" s="54"/>
      <c r="AE229" s="54"/>
      <c r="AF229" s="54"/>
      <c r="AG229" s="54"/>
      <c r="AH229" s="54"/>
      <c r="AI229" s="54"/>
      <c r="AJ229" s="54"/>
      <c r="AK229" s="54"/>
      <c r="AL229" s="54"/>
      <c r="AM229" s="54"/>
      <c r="AN229" s="54"/>
      <c r="AO229" s="54"/>
      <c r="AP229" s="54"/>
      <c r="AQ229" s="54"/>
      <c r="AR229" s="54"/>
      <c r="AS229" s="54"/>
      <c r="AT229" s="54"/>
      <c r="AU229" s="55"/>
      <c r="AV229" s="54"/>
      <c r="AW229" s="54"/>
      <c r="AX229" s="54"/>
      <c r="AY229" s="54"/>
      <c r="AZ229" s="54"/>
      <c r="BA229" s="54"/>
    </row>
    <row r="230" spans="1:53" ht="25.5" customHeight="1">
      <c r="A230" s="64" t="s">
        <v>1571</v>
      </c>
      <c r="B230" s="64" t="s">
        <v>1572</v>
      </c>
      <c r="C230" s="54" t="s">
        <v>1573</v>
      </c>
      <c r="D230" s="71" t="s">
        <v>1574</v>
      </c>
      <c r="E230" s="54" t="s">
        <v>63</v>
      </c>
      <c r="F230" s="54" t="s">
        <v>64</v>
      </c>
      <c r="G230" s="54"/>
      <c r="H230" s="54"/>
      <c r="I230" s="54"/>
      <c r="J230" s="54"/>
      <c r="K230" s="54"/>
      <c r="L230" s="54"/>
      <c r="M230" s="54"/>
      <c r="N230" s="54"/>
      <c r="O230" s="54"/>
      <c r="P230" s="54"/>
      <c r="Q230" s="54"/>
      <c r="R230" s="54"/>
      <c r="S230" s="54"/>
      <c r="T230" s="54"/>
      <c r="U230" s="54"/>
      <c r="V230" s="54" t="s">
        <v>587</v>
      </c>
      <c r="W230" s="54"/>
      <c r="X230" s="54" t="s">
        <v>219</v>
      </c>
      <c r="Y230" s="54" t="str">
        <f>"[" &amp; _xlfn.TEXTJOIN(", ", TRUE,
    IF(G230&lt;&gt;"", """" &amp; G$1 &amp; """", ""),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T230 &amp; """", ""),
    IF(U230&lt;&gt;"", """" &amp; U230 &amp; """", ""),
    IF(V230&lt;&gt;"", """" &amp; V230 &amp; """", ""),
    IF(W230&lt;&gt;"", """" &amp; W230 &amp; """", ""),
    IF(X230&lt;&gt;"", """" &amp; X230 &amp; """", "")
) &amp; "]"</f>
        <v>["Analysis", "Workflows"]</v>
      </c>
      <c r="Z230" s="54" t="s">
        <v>16</v>
      </c>
      <c r="AA230" s="54"/>
      <c r="AB230" s="54"/>
      <c r="AC230" s="54"/>
      <c r="AD230" s="54"/>
      <c r="AE230" s="54"/>
      <c r="AF230" s="54"/>
      <c r="AG230" s="54"/>
      <c r="AH230" s="54"/>
      <c r="AI230" s="54"/>
      <c r="AJ230" s="54"/>
      <c r="AK230" s="54"/>
      <c r="AL230" s="54"/>
      <c r="AM230" s="54"/>
      <c r="AN230" s="54"/>
      <c r="AO230" s="54"/>
      <c r="AP230" s="54"/>
      <c r="AQ230" s="54"/>
      <c r="AR230" s="54"/>
      <c r="AS230" s="54"/>
      <c r="AT230" s="54"/>
      <c r="AU230" s="55"/>
      <c r="AV230" s="54"/>
      <c r="AW230" s="54"/>
      <c r="AX230" s="54"/>
      <c r="AY230" s="54"/>
      <c r="AZ230" s="54"/>
      <c r="BA230" s="54"/>
    </row>
    <row r="231" spans="1:53" ht="25.5" customHeight="1">
      <c r="A231" s="64" t="s">
        <v>1575</v>
      </c>
      <c r="B231" s="64" t="s">
        <v>1576</v>
      </c>
      <c r="C231" s="54" t="s">
        <v>1577</v>
      </c>
      <c r="D231" s="71" t="s">
        <v>1578</v>
      </c>
      <c r="E231" s="54" t="s">
        <v>63</v>
      </c>
      <c r="F231" s="54" t="s">
        <v>64</v>
      </c>
      <c r="G231" s="54"/>
      <c r="H231" s="54"/>
      <c r="I231" s="54"/>
      <c r="J231" s="54"/>
      <c r="K231" s="54"/>
      <c r="L231" s="54"/>
      <c r="M231" s="54"/>
      <c r="N231" s="54"/>
      <c r="O231" s="54"/>
      <c r="P231" s="54"/>
      <c r="Q231" s="54"/>
      <c r="R231" s="54"/>
      <c r="S231" s="54"/>
      <c r="T231" s="54"/>
      <c r="U231" s="54"/>
      <c r="V231" s="54" t="s">
        <v>587</v>
      </c>
      <c r="W231" s="54"/>
      <c r="X231" s="54" t="s">
        <v>219</v>
      </c>
      <c r="Y231" s="54" t="str">
        <f>"[" &amp; _xlfn.TEXTJOIN(", ", TRUE,
    IF(G231&lt;&gt;"", """" &amp; G$1 &amp; """", ""),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T231 &amp; """", ""),
    IF(U231&lt;&gt;"", """" &amp; U231 &amp; """", ""),
    IF(V231&lt;&gt;"", """" &amp; V231 &amp; """", ""),
    IF(W231&lt;&gt;"", """" &amp; W231 &amp; """", ""),
    IF(X231&lt;&gt;"", """" &amp; X231 &amp; """", "")
) &amp; "]"</f>
        <v>["Analysis", "Workflows"]</v>
      </c>
      <c r="Z231" s="54" t="s">
        <v>16</v>
      </c>
      <c r="AA231" s="54"/>
      <c r="AB231" s="54"/>
      <c r="AC231" s="54"/>
      <c r="AD231" s="54"/>
      <c r="AE231" s="54"/>
      <c r="AF231" s="54"/>
      <c r="AG231" s="54"/>
      <c r="AH231" s="54"/>
      <c r="AI231" s="54"/>
      <c r="AJ231" s="54"/>
      <c r="AK231" s="54"/>
      <c r="AL231" s="54"/>
      <c r="AM231" s="54"/>
      <c r="AN231" s="54"/>
      <c r="AO231" s="54"/>
      <c r="AP231" s="54"/>
      <c r="AQ231" s="54"/>
      <c r="AR231" s="54"/>
      <c r="AS231" s="54"/>
      <c r="AT231" s="54"/>
      <c r="AU231" s="55"/>
      <c r="AV231" s="54"/>
      <c r="AW231" s="54"/>
      <c r="AX231" s="54"/>
      <c r="AY231" s="54"/>
      <c r="AZ231" s="54"/>
      <c r="BA231" s="54"/>
    </row>
    <row r="232" spans="1:53" ht="25.5" customHeight="1">
      <c r="A232" s="64" t="s">
        <v>1579</v>
      </c>
      <c r="B232" s="64" t="s">
        <v>1580</v>
      </c>
      <c r="C232" s="54" t="s">
        <v>1581</v>
      </c>
      <c r="D232" s="71" t="s">
        <v>1582</v>
      </c>
      <c r="E232" s="54" t="s">
        <v>254</v>
      </c>
      <c r="F232" s="54" t="s">
        <v>64</v>
      </c>
      <c r="G232" s="54"/>
      <c r="H232" s="54"/>
      <c r="I232" s="54"/>
      <c r="J232" s="54"/>
      <c r="K232" s="54"/>
      <c r="L232" s="54"/>
      <c r="M232" s="54"/>
      <c r="N232" s="54"/>
      <c r="O232" s="54"/>
      <c r="P232" s="54"/>
      <c r="Q232" s="54"/>
      <c r="R232" s="54"/>
      <c r="S232" s="54"/>
      <c r="T232" s="54"/>
      <c r="U232" s="54"/>
      <c r="V232" s="54" t="s">
        <v>587</v>
      </c>
      <c r="W232" s="54"/>
      <c r="X232" s="54" t="s">
        <v>219</v>
      </c>
      <c r="Y232" s="54" t="str">
        <f>"[" &amp; _xlfn.TEXTJOIN(", ", TRUE,
    IF(G232&lt;&gt;"", """" &amp; G$1 &amp; """", ""),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T232 &amp; """", ""),
    IF(U232&lt;&gt;"", """" &amp; U232 &amp; """", ""),
    IF(V232&lt;&gt;"", """" &amp; V232 &amp; """", ""),
    IF(W232&lt;&gt;"", """" &amp; W232 &amp; """", ""),
    IF(X232&lt;&gt;"", """" &amp; X232 &amp; """", "")
) &amp; "]"</f>
        <v>["Analysis", "Workflows"]</v>
      </c>
      <c r="Z232" s="54" t="s">
        <v>16</v>
      </c>
      <c r="AA232" s="54"/>
      <c r="AB232" s="54"/>
      <c r="AC232" s="54"/>
      <c r="AD232" s="54"/>
      <c r="AE232" s="54"/>
      <c r="AF232" s="54"/>
      <c r="AG232" s="54"/>
      <c r="AH232" s="54"/>
      <c r="AI232" s="54"/>
      <c r="AJ232" s="54"/>
      <c r="AK232" s="54"/>
      <c r="AL232" s="54"/>
      <c r="AM232" s="54"/>
      <c r="AN232" s="54"/>
      <c r="AO232" s="54"/>
      <c r="AP232" s="54"/>
      <c r="AQ232" s="54"/>
      <c r="AR232" s="54"/>
      <c r="AS232" s="54"/>
      <c r="AT232" s="54"/>
      <c r="AU232" s="55"/>
      <c r="AV232" s="54"/>
      <c r="AW232" s="54"/>
      <c r="AX232" s="54"/>
      <c r="AY232" s="54"/>
      <c r="AZ232" s="54"/>
      <c r="BA232" s="54"/>
    </row>
    <row r="233" spans="1:53" ht="25.5" customHeight="1">
      <c r="A233" s="64" t="s">
        <v>1583</v>
      </c>
      <c r="B233" s="64" t="s">
        <v>1584</v>
      </c>
      <c r="C233" s="54" t="s">
        <v>1585</v>
      </c>
      <c r="D233" s="71" t="s">
        <v>1586</v>
      </c>
      <c r="E233" s="54" t="s">
        <v>76</v>
      </c>
      <c r="F233" s="54" t="s">
        <v>64</v>
      </c>
      <c r="G233" s="54"/>
      <c r="H233" s="54"/>
      <c r="I233" s="54"/>
      <c r="J233" s="54"/>
      <c r="K233" s="54"/>
      <c r="L233" s="54"/>
      <c r="M233" s="54"/>
      <c r="N233" s="54"/>
      <c r="O233" s="54"/>
      <c r="P233" s="54"/>
      <c r="Q233" s="54"/>
      <c r="R233" s="54"/>
      <c r="S233" s="54"/>
      <c r="T233" s="54"/>
      <c r="U233" s="54"/>
      <c r="V233" s="54" t="s">
        <v>587</v>
      </c>
      <c r="W233" s="54"/>
      <c r="X233" s="54" t="s">
        <v>219</v>
      </c>
      <c r="Y233" s="54" t="str">
        <f>"[" &amp; _xlfn.TEXTJOIN(", ", TRUE,
    IF(G233&lt;&gt;"", """" &amp; G$1 &amp; """", ""),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T233 &amp; """", ""),
    IF(U233&lt;&gt;"", """" &amp; U233 &amp; """", ""),
    IF(V233&lt;&gt;"", """" &amp; V233 &amp; """", ""),
    IF(W233&lt;&gt;"", """" &amp; W233 &amp; """", ""),
    IF(X233&lt;&gt;"", """" &amp; X233 &amp; """", "")
) &amp; "]"</f>
        <v>["Analysis", "Workflows"]</v>
      </c>
      <c r="Z233" s="54" t="s">
        <v>16</v>
      </c>
      <c r="AA233" s="54"/>
      <c r="AB233" s="54"/>
      <c r="AC233" s="54"/>
      <c r="AD233" s="54"/>
      <c r="AE233" s="54"/>
      <c r="AF233" s="54"/>
      <c r="AG233" s="54"/>
      <c r="AH233" s="54"/>
      <c r="AI233" s="54"/>
      <c r="AJ233" s="54"/>
      <c r="AK233" s="54"/>
      <c r="AL233" s="54"/>
      <c r="AM233" s="54"/>
      <c r="AN233" s="54"/>
      <c r="AO233" s="54"/>
      <c r="AP233" s="54"/>
      <c r="AQ233" s="54"/>
      <c r="AR233" s="54"/>
      <c r="AS233" s="54"/>
      <c r="AT233" s="54"/>
      <c r="AU233" s="55"/>
      <c r="AV233" s="54"/>
      <c r="AW233" s="54"/>
      <c r="AX233" s="54"/>
      <c r="AY233" s="54"/>
      <c r="AZ233" s="54"/>
      <c r="BA233" s="54"/>
    </row>
    <row r="234" spans="1:53" ht="25.5" customHeight="1">
      <c r="A234" s="64" t="s">
        <v>1587</v>
      </c>
      <c r="B234" s="64" t="s">
        <v>1588</v>
      </c>
      <c r="C234" s="54" t="s">
        <v>1589</v>
      </c>
      <c r="D234" s="71" t="s">
        <v>1590</v>
      </c>
      <c r="E234" s="54" t="s">
        <v>254</v>
      </c>
      <c r="F234" s="54" t="s">
        <v>64</v>
      </c>
      <c r="G234" s="54"/>
      <c r="H234" s="54"/>
      <c r="I234" s="54"/>
      <c r="J234" s="54"/>
      <c r="K234" s="54"/>
      <c r="L234" s="54"/>
      <c r="M234" s="54"/>
      <c r="N234" s="54"/>
      <c r="O234" s="54"/>
      <c r="P234" s="54"/>
      <c r="Q234" s="54"/>
      <c r="R234" s="54"/>
      <c r="S234" s="54"/>
      <c r="T234" s="54"/>
      <c r="U234" s="54"/>
      <c r="V234" s="54" t="s">
        <v>587</v>
      </c>
      <c r="W234" s="54"/>
      <c r="X234" s="54" t="s">
        <v>219</v>
      </c>
      <c r="Y234" s="54" t="str">
        <f>"[" &amp; _xlfn.TEXTJOIN(", ", TRUE,
    IF(G234&lt;&gt;"", """" &amp; G$1 &amp; """", ""),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T234 &amp; """", ""),
    IF(U234&lt;&gt;"", """" &amp; U234 &amp; """", ""),
    IF(V234&lt;&gt;"", """" &amp; V234 &amp; """", ""),
    IF(W234&lt;&gt;"", """" &amp; W234 &amp; """", ""),
    IF(X234&lt;&gt;"", """" &amp; X234 &amp; """", "")
) &amp; "]"</f>
        <v>["Analysis", "Workflows"]</v>
      </c>
      <c r="Z234" s="54" t="s">
        <v>16</v>
      </c>
      <c r="AA234" s="54"/>
      <c r="AB234" s="54"/>
      <c r="AC234" s="54"/>
      <c r="AD234" s="54"/>
      <c r="AE234" s="54"/>
      <c r="AF234" s="54"/>
      <c r="AG234" s="54"/>
      <c r="AH234" s="54"/>
      <c r="AI234" s="54"/>
      <c r="AJ234" s="54"/>
      <c r="AK234" s="54"/>
      <c r="AL234" s="54"/>
      <c r="AM234" s="54"/>
      <c r="AN234" s="54"/>
      <c r="AO234" s="54"/>
      <c r="AP234" s="54"/>
      <c r="AQ234" s="54"/>
      <c r="AR234" s="54"/>
      <c r="AS234" s="54"/>
      <c r="AT234" s="54"/>
      <c r="AU234" s="55"/>
      <c r="AV234" s="54"/>
      <c r="AW234" s="54"/>
      <c r="AX234" s="54"/>
      <c r="AY234" s="54"/>
      <c r="AZ234" s="54"/>
      <c r="BA234" s="54"/>
    </row>
    <row r="235" spans="1:53" ht="25.5" customHeight="1">
      <c r="A235" s="64" t="s">
        <v>1591</v>
      </c>
      <c r="B235" s="64" t="s">
        <v>1592</v>
      </c>
      <c r="C235" s="54" t="s">
        <v>1593</v>
      </c>
      <c r="D235" s="71" t="s">
        <v>1594</v>
      </c>
      <c r="E235" s="54" t="s">
        <v>216</v>
      </c>
      <c r="F235" s="54" t="s">
        <v>64</v>
      </c>
      <c r="G235" s="54"/>
      <c r="H235" s="54"/>
      <c r="I235" s="54"/>
      <c r="J235" s="54"/>
      <c r="K235" s="54"/>
      <c r="L235" s="54"/>
      <c r="M235" s="54"/>
      <c r="N235" s="54"/>
      <c r="O235" s="54"/>
      <c r="P235" s="54"/>
      <c r="Q235" s="54"/>
      <c r="R235" s="54"/>
      <c r="S235" s="54"/>
      <c r="T235" s="54"/>
      <c r="U235" s="54"/>
      <c r="V235" s="54" t="s">
        <v>587</v>
      </c>
      <c r="W235" s="54"/>
      <c r="X235" s="54" t="s">
        <v>219</v>
      </c>
      <c r="Y235" s="54" t="str">
        <f>"[" &amp; _xlfn.TEXTJOIN(", ", TRUE,
    IF(G235&lt;&gt;"", """" &amp; G$1 &amp; """", ""),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T235 &amp; """", ""),
    IF(U235&lt;&gt;"", """" &amp; U235 &amp; """", ""),
    IF(V235&lt;&gt;"", """" &amp; V235 &amp; """", ""),
    IF(W235&lt;&gt;"", """" &amp; W235 &amp; """", ""),
    IF(X235&lt;&gt;"", """" &amp; X235 &amp; """", "")
) &amp; "]"</f>
        <v>["Analysis", "Workflows"]</v>
      </c>
      <c r="Z235" s="54" t="s">
        <v>16</v>
      </c>
      <c r="AA235" s="54"/>
      <c r="AB235" s="54"/>
      <c r="AC235" s="54"/>
      <c r="AD235" s="54"/>
      <c r="AE235" s="54"/>
      <c r="AF235" s="54"/>
      <c r="AG235" s="54"/>
      <c r="AH235" s="54"/>
      <c r="AI235" s="54"/>
      <c r="AJ235" s="54"/>
      <c r="AK235" s="54"/>
      <c r="AL235" s="54"/>
      <c r="AM235" s="54"/>
      <c r="AN235" s="54"/>
      <c r="AO235" s="54"/>
      <c r="AP235" s="54"/>
      <c r="AQ235" s="54"/>
      <c r="AR235" s="54"/>
      <c r="AS235" s="54"/>
      <c r="AT235" s="54"/>
      <c r="AU235" s="55"/>
      <c r="AV235" s="54"/>
      <c r="AW235" s="54"/>
      <c r="AX235" s="54"/>
      <c r="AY235" s="54"/>
      <c r="AZ235" s="54"/>
      <c r="BA235" s="54"/>
    </row>
    <row r="236" spans="1:53" ht="25.5" customHeight="1">
      <c r="A236" s="64" t="s">
        <v>1595</v>
      </c>
      <c r="B236" s="64" t="s">
        <v>1596</v>
      </c>
      <c r="C236" s="54" t="s">
        <v>1597</v>
      </c>
      <c r="D236" s="71" t="s">
        <v>1598</v>
      </c>
      <c r="E236" s="54" t="s">
        <v>63</v>
      </c>
      <c r="F236" s="54" t="s">
        <v>64</v>
      </c>
      <c r="G236" s="54"/>
      <c r="H236" s="54"/>
      <c r="I236" s="54"/>
      <c r="J236" s="54"/>
      <c r="K236" s="54"/>
      <c r="L236" s="54"/>
      <c r="M236" s="54"/>
      <c r="N236" s="54"/>
      <c r="O236" s="54"/>
      <c r="P236" s="54"/>
      <c r="Q236" s="54"/>
      <c r="R236" s="54"/>
      <c r="S236" s="54"/>
      <c r="T236" s="54"/>
      <c r="U236" s="54"/>
      <c r="V236" s="54" t="s">
        <v>587</v>
      </c>
      <c r="W236" s="54"/>
      <c r="X236" s="54" t="s">
        <v>219</v>
      </c>
      <c r="Y236" s="54" t="str">
        <f>"[" &amp; _xlfn.TEXTJOIN(", ", TRUE,
    IF(G236&lt;&gt;"", """" &amp; G$1 &amp; """", ""),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T236 &amp; """", ""),
    IF(U236&lt;&gt;"", """" &amp; U236 &amp; """", ""),
    IF(V236&lt;&gt;"", """" &amp; V236 &amp; """", ""),
    IF(W236&lt;&gt;"", """" &amp; W236 &amp; """", ""),
    IF(X236&lt;&gt;"", """" &amp; X236 &amp; """", "")
) &amp; "]"</f>
        <v>["Analysis", "Workflows"]</v>
      </c>
      <c r="Z236" s="54" t="s">
        <v>16</v>
      </c>
      <c r="AA236" s="54"/>
      <c r="AB236" s="54"/>
      <c r="AC236" s="54"/>
      <c r="AD236" s="54"/>
      <c r="AE236" s="54"/>
      <c r="AF236" s="54"/>
      <c r="AG236" s="54"/>
      <c r="AH236" s="54"/>
      <c r="AI236" s="54"/>
      <c r="AJ236" s="54"/>
      <c r="AK236" s="54"/>
      <c r="AL236" s="54"/>
      <c r="AM236" s="54"/>
      <c r="AN236" s="54"/>
      <c r="AO236" s="54"/>
      <c r="AP236" s="54"/>
      <c r="AQ236" s="54"/>
      <c r="AR236" s="54"/>
      <c r="AS236" s="54"/>
      <c r="AT236" s="54"/>
      <c r="AU236" s="55"/>
      <c r="AV236" s="54"/>
      <c r="AW236" s="54"/>
      <c r="AX236" s="54"/>
      <c r="AY236" s="54"/>
      <c r="AZ236" s="54"/>
      <c r="BA236" s="54"/>
    </row>
    <row r="237" spans="1:53" ht="25.5" customHeight="1">
      <c r="A237" s="64" t="s">
        <v>1599</v>
      </c>
      <c r="B237" s="64" t="s">
        <v>1600</v>
      </c>
      <c r="C237" s="54" t="s">
        <v>1601</v>
      </c>
      <c r="D237" s="71" t="s">
        <v>1602</v>
      </c>
      <c r="E237" s="54" t="s">
        <v>63</v>
      </c>
      <c r="F237" s="54" t="s">
        <v>154</v>
      </c>
      <c r="G237" s="54"/>
      <c r="H237" s="54"/>
      <c r="I237" s="54"/>
      <c r="J237" s="54"/>
      <c r="K237" s="54"/>
      <c r="L237" s="54"/>
      <c r="M237" s="54"/>
      <c r="N237" s="54"/>
      <c r="O237" s="54"/>
      <c r="P237" s="54"/>
      <c r="Q237" s="54"/>
      <c r="R237" s="54"/>
      <c r="S237" s="54"/>
      <c r="T237" s="54"/>
      <c r="U237" s="54"/>
      <c r="V237" s="54" t="s">
        <v>587</v>
      </c>
      <c r="W237" s="54"/>
      <c r="X237" s="54" t="s">
        <v>219</v>
      </c>
      <c r="Y237" s="54" t="str">
        <f>"[" &amp; _xlfn.TEXTJOIN(", ", TRUE,
    IF(G237&lt;&gt;"", """" &amp; G$1 &amp; """", ""),
    IF(H237&lt;&gt;"", """" &amp; H$1 &amp; """", ""),
    IF(I237&lt;&gt;"", """" &amp; I$1 &amp; """", ""),
    IF(J237&lt;&gt;"", """" &amp; J$1 &amp; """", ""),
    IF(K237&lt;&gt;"", """" &amp; K$1 &amp; """", ""),
    IF(L237&lt;&gt;"", """" &amp; L$1 &amp; """", ""),
    IF(M237&lt;&gt;"", """" &amp; M$1 &amp; """", ""),
    IF(N237&lt;&gt;"", """" &amp; N$1 &amp; """", ""),
    IF(O237&lt;&gt;"", """" &amp; O$1 &amp; """", ""),
    IF(P237&lt;&gt;"", """" &amp; P$1 &amp; """", ""),
    IF(Q237&lt;&gt;"", """" &amp; Q$1 &amp; """", ""),
    IF(R237&lt;&gt;"", """" &amp; R$1 &amp; """", ""),
    IF(S237&lt;&gt;"", """" &amp; S$1 &amp; """", ""),
    IF(T237&lt;&gt;"", """" &amp; T237 &amp; """", ""),
    IF(U237&lt;&gt;"", """" &amp; U237 &amp; """", ""),
    IF(V237&lt;&gt;"", """" &amp; V237 &amp; """", ""),
    IF(W237&lt;&gt;"", """" &amp; W237 &amp; """", ""),
    IF(X237&lt;&gt;"", """" &amp; X237 &amp; """", "")
) &amp; "]"</f>
        <v>["Analysis", "Workflows"]</v>
      </c>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5"/>
      <c r="AV237" s="54"/>
      <c r="AW237" s="54"/>
      <c r="AX237" s="54"/>
      <c r="AY237" s="54"/>
      <c r="AZ237" s="56" t="s">
        <v>1603</v>
      </c>
      <c r="BA237" s="71" t="s">
        <v>1602</v>
      </c>
    </row>
  </sheetData>
  <sortState xmlns:xlrd2="http://schemas.microsoft.com/office/spreadsheetml/2017/richdata2" ref="A5:BC237">
    <sortCondition ref="A5:A237"/>
  </sortState>
  <conditionalFormatting sqref="A8:B1048576 A5:A7 A1 A2:B4 C3:BC3">
    <cfRule type="duplicateValues" dxfId="2" priority="3"/>
  </conditionalFormatting>
  <conditionalFormatting sqref="E1:E2 E4:E1048576">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1604</v>
      </c>
      <c r="B1" s="17" t="s">
        <v>1604</v>
      </c>
      <c r="C1" s="17" t="s">
        <v>1604</v>
      </c>
      <c r="D1" s="17" t="s">
        <v>1604</v>
      </c>
      <c r="E1" s="17" t="s">
        <v>1604</v>
      </c>
      <c r="F1" s="18" t="s">
        <v>1605</v>
      </c>
      <c r="G1" s="18" t="s">
        <v>1606</v>
      </c>
      <c r="H1" s="18" t="s">
        <v>1</v>
      </c>
      <c r="I1" s="19" t="s">
        <v>2</v>
      </c>
      <c r="J1" s="19" t="s">
        <v>3</v>
      </c>
      <c r="K1" s="19" t="s">
        <v>4</v>
      </c>
      <c r="L1" s="19" t="s">
        <v>5</v>
      </c>
      <c r="M1" s="20" t="s">
        <v>6</v>
      </c>
      <c r="N1" s="20" t="s">
        <v>7</v>
      </c>
      <c r="O1" s="18" t="s">
        <v>8</v>
      </c>
      <c r="P1" s="18" t="s">
        <v>9</v>
      </c>
      <c r="Q1" s="30" t="s">
        <v>14</v>
      </c>
      <c r="R1" s="20" t="s">
        <v>1604</v>
      </c>
      <c r="S1" s="20" t="s">
        <v>1604</v>
      </c>
      <c r="T1" s="20" t="s">
        <v>1604</v>
      </c>
      <c r="U1" s="20" t="s">
        <v>1604</v>
      </c>
      <c r="V1" s="20" t="s">
        <v>1604</v>
      </c>
      <c r="W1" s="20" t="s">
        <v>1604</v>
      </c>
      <c r="X1" s="18" t="s">
        <v>1605</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1607</v>
      </c>
      <c r="E2" s="19" t="s">
        <v>24</v>
      </c>
      <c r="F2" s="17" t="s">
        <v>1608</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1609</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672</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359</v>
      </c>
      <c r="W5" s="2" t="s">
        <v>1610</v>
      </c>
      <c r="X5" s="8"/>
      <c r="Y5" s="8"/>
      <c r="Z5" s="8"/>
      <c r="AA5" s="8"/>
      <c r="AB5" s="8"/>
      <c r="AC5" s="8"/>
      <c r="AD5" s="8"/>
      <c r="AE5" s="2" t="s">
        <v>1611</v>
      </c>
      <c r="AF5" s="2" t="s">
        <v>1612</v>
      </c>
      <c r="AG5" s="8"/>
      <c r="AH5" s="9" t="s">
        <v>1610</v>
      </c>
      <c r="AI5" s="8"/>
      <c r="AJ5" s="8"/>
      <c r="AK5" s="8"/>
      <c r="AL5" s="8"/>
      <c r="AM5" s="8"/>
      <c r="AN5" s="8"/>
      <c r="AO5" s="27"/>
    </row>
    <row r="6" spans="1:172" s="10" customFormat="1" ht="23.25" customHeight="1">
      <c r="A6" s="4"/>
      <c r="B6" s="4"/>
      <c r="C6" s="4"/>
      <c r="D6" s="4"/>
      <c r="E6" s="11" t="s">
        <v>672</v>
      </c>
      <c r="F6" s="4"/>
      <c r="G6" s="4"/>
      <c r="H6" s="4"/>
      <c r="I6" s="4"/>
      <c r="J6" s="4"/>
      <c r="K6" s="4"/>
      <c r="L6" s="4"/>
      <c r="M6" s="4"/>
      <c r="N6" s="4" t="s">
        <v>1613</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359</v>
      </c>
      <c r="W6" s="1" t="s">
        <v>1610</v>
      </c>
      <c r="X6" s="13"/>
      <c r="Y6" s="13"/>
      <c r="Z6" s="13"/>
      <c r="AA6" s="13"/>
      <c r="AB6" s="13"/>
      <c r="AC6" s="1" t="s">
        <v>712</v>
      </c>
      <c r="AD6" s="13"/>
      <c r="AE6" s="1" t="s">
        <v>1614</v>
      </c>
      <c r="AF6" s="1" t="s">
        <v>75</v>
      </c>
      <c r="AG6" s="13"/>
      <c r="AH6" s="14" t="s">
        <v>1610</v>
      </c>
      <c r="AI6" s="13"/>
      <c r="AJ6" s="13"/>
      <c r="AK6" s="13"/>
      <c r="AL6" s="13"/>
      <c r="AM6" s="13"/>
      <c r="AN6" s="13"/>
      <c r="AO6" s="28"/>
    </row>
    <row r="7" spans="1:172" s="10" customFormat="1" ht="23.25" customHeight="1">
      <c r="A7" s="4"/>
      <c r="B7" s="4"/>
      <c r="C7" s="4"/>
      <c r="D7" s="4"/>
      <c r="E7" s="11" t="s">
        <v>672</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359</v>
      </c>
      <c r="W7" s="1" t="s">
        <v>1610</v>
      </c>
      <c r="X7" s="13"/>
      <c r="Y7" s="13"/>
      <c r="Z7" s="13"/>
      <c r="AA7" s="13"/>
      <c r="AB7" s="13"/>
      <c r="AC7" s="13"/>
      <c r="AD7" s="1" t="s">
        <v>127</v>
      </c>
      <c r="AE7" s="1" t="s">
        <v>1615</v>
      </c>
      <c r="AF7" s="1" t="s">
        <v>75</v>
      </c>
      <c r="AG7" s="13"/>
      <c r="AH7" s="14" t="s">
        <v>1610</v>
      </c>
      <c r="AI7" s="13"/>
      <c r="AJ7" s="13"/>
      <c r="AK7" s="13"/>
      <c r="AL7" s="13"/>
      <c r="AM7" s="13"/>
      <c r="AN7" s="13"/>
      <c r="AO7" s="28"/>
    </row>
    <row r="8" spans="1:172" s="10" customFormat="1" ht="23.25" customHeight="1">
      <c r="A8" s="4"/>
      <c r="B8" s="4"/>
      <c r="C8" s="4"/>
      <c r="D8" s="4"/>
      <c r="E8" s="11" t="s">
        <v>672</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359</v>
      </c>
      <c r="W8" s="1" t="s">
        <v>1610</v>
      </c>
      <c r="X8" s="13"/>
      <c r="Y8" s="13"/>
      <c r="Z8" s="13"/>
      <c r="AA8" s="13"/>
      <c r="AB8" s="13"/>
      <c r="AC8" s="13"/>
      <c r="AD8" s="13"/>
      <c r="AE8" s="1" t="s">
        <v>1616</v>
      </c>
      <c r="AF8" s="1" t="s">
        <v>75</v>
      </c>
      <c r="AG8" s="13"/>
      <c r="AH8" s="14" t="s">
        <v>1610</v>
      </c>
      <c r="AI8" s="13"/>
      <c r="AJ8" s="13"/>
      <c r="AK8" s="13"/>
      <c r="AL8" s="13"/>
      <c r="AM8" s="13"/>
      <c r="AN8" s="13"/>
      <c r="AO8" s="28"/>
    </row>
    <row r="9" spans="1:172" s="10" customFormat="1" ht="23.25" customHeight="1">
      <c r="A9" s="4"/>
      <c r="B9" s="4"/>
      <c r="C9" s="4"/>
      <c r="D9" s="4"/>
      <c r="E9" s="11" t="s">
        <v>672</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359</v>
      </c>
      <c r="W9" s="1" t="s">
        <v>1610</v>
      </c>
      <c r="X9" s="13"/>
      <c r="Y9" s="13"/>
      <c r="Z9" s="13"/>
      <c r="AA9" s="13"/>
      <c r="AB9" s="13"/>
      <c r="AC9" s="13"/>
      <c r="AD9" s="13"/>
      <c r="AE9" s="1" t="s">
        <v>1617</v>
      </c>
      <c r="AF9" s="1" t="s">
        <v>75</v>
      </c>
      <c r="AG9" s="13"/>
      <c r="AH9" s="14" t="s">
        <v>1610</v>
      </c>
      <c r="AI9" s="13"/>
      <c r="AJ9" s="13"/>
      <c r="AK9" s="13"/>
      <c r="AL9" s="13"/>
      <c r="AM9" s="13"/>
      <c r="AN9" s="13"/>
      <c r="AO9" s="28"/>
    </row>
    <row r="10" spans="1:172" s="10" customFormat="1" ht="23.25" customHeight="1">
      <c r="A10" s="4"/>
      <c r="B10" s="4"/>
      <c r="C10" s="4"/>
      <c r="D10" s="4"/>
      <c r="E10" s="11" t="s">
        <v>672</v>
      </c>
      <c r="F10" s="4"/>
      <c r="G10" s="4"/>
      <c r="H10" s="4"/>
      <c r="I10" s="4"/>
      <c r="J10" s="4"/>
      <c r="K10" s="4"/>
      <c r="L10" s="4"/>
      <c r="M10" s="4"/>
      <c r="N10" s="4" t="s">
        <v>1618</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359</v>
      </c>
      <c r="W10" s="1" t="s">
        <v>1610</v>
      </c>
      <c r="X10" s="13"/>
      <c r="Y10" s="13"/>
      <c r="Z10" s="13"/>
      <c r="AA10" s="13"/>
      <c r="AB10" s="13"/>
      <c r="AC10" s="1" t="s">
        <v>73</v>
      </c>
      <c r="AD10" s="13"/>
      <c r="AE10" s="1" t="s">
        <v>1619</v>
      </c>
      <c r="AF10" s="1" t="s">
        <v>75</v>
      </c>
      <c r="AG10" s="13"/>
      <c r="AH10" s="14" t="s">
        <v>1610</v>
      </c>
      <c r="AI10" s="13"/>
      <c r="AJ10" s="13"/>
      <c r="AK10" s="13"/>
      <c r="AL10" s="13"/>
      <c r="AM10" s="13"/>
      <c r="AN10" s="13"/>
      <c r="AO10" s="28"/>
    </row>
    <row r="11" spans="1:172" s="10" customFormat="1" ht="23.25" customHeight="1">
      <c r="A11" s="4"/>
      <c r="B11" s="4"/>
      <c r="C11" s="4"/>
      <c r="D11" s="4"/>
      <c r="E11" s="11" t="s">
        <v>672</v>
      </c>
      <c r="F11" s="4"/>
      <c r="G11" s="4"/>
      <c r="H11" s="4"/>
      <c r="I11" s="4"/>
      <c r="J11" s="4"/>
      <c r="K11" s="4"/>
      <c r="L11" s="4"/>
      <c r="M11" s="4"/>
      <c r="N11" s="4" t="s">
        <v>1620</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359</v>
      </c>
      <c r="W11" s="1" t="s">
        <v>1610</v>
      </c>
      <c r="X11" s="13"/>
      <c r="Y11" s="13"/>
      <c r="Z11" s="13"/>
      <c r="AA11" s="13"/>
      <c r="AB11" s="13"/>
      <c r="AC11" s="1" t="s">
        <v>175</v>
      </c>
      <c r="AD11" s="13"/>
      <c r="AE11" s="1" t="s">
        <v>1621</v>
      </c>
      <c r="AF11" s="1" t="s">
        <v>75</v>
      </c>
      <c r="AG11" s="13"/>
      <c r="AH11" s="14" t="s">
        <v>1610</v>
      </c>
      <c r="AI11" s="13"/>
      <c r="AJ11" s="13"/>
      <c r="AK11" s="13"/>
      <c r="AL11" s="13"/>
      <c r="AM11" s="13"/>
      <c r="AN11" s="13"/>
      <c r="AO11" s="28"/>
    </row>
    <row r="12" spans="1:172" s="10" customFormat="1" ht="23.25" customHeight="1">
      <c r="A12" s="4"/>
      <c r="B12" s="4"/>
      <c r="C12" s="4"/>
      <c r="D12" s="4"/>
      <c r="E12" s="11" t="s">
        <v>672</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359</v>
      </c>
      <c r="W12" s="1" t="s">
        <v>1610</v>
      </c>
      <c r="X12" s="13"/>
      <c r="Y12" s="13"/>
      <c r="Z12" s="13"/>
      <c r="AA12" s="13"/>
      <c r="AB12" s="13"/>
      <c r="AC12" s="13"/>
      <c r="AD12" s="13"/>
      <c r="AE12" s="1" t="s">
        <v>1622</v>
      </c>
      <c r="AF12" s="1" t="s">
        <v>75</v>
      </c>
      <c r="AG12" s="13"/>
      <c r="AH12" s="14" t="s">
        <v>1610</v>
      </c>
      <c r="AI12" s="13"/>
      <c r="AJ12" s="13"/>
      <c r="AK12" s="13"/>
      <c r="AL12" s="13"/>
      <c r="AM12" s="13"/>
      <c r="AN12" s="13"/>
      <c r="AO12" s="28"/>
    </row>
    <row r="13" spans="1:172" s="10" customFormat="1" ht="23.25" customHeight="1">
      <c r="A13" s="4"/>
      <c r="B13" s="4"/>
      <c r="C13" s="4"/>
      <c r="D13" s="4"/>
      <c r="E13" s="11" t="s">
        <v>672</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359</v>
      </c>
      <c r="W13" s="1" t="s">
        <v>1610</v>
      </c>
      <c r="X13" s="13"/>
      <c r="Y13" s="13"/>
      <c r="Z13" s="13"/>
      <c r="AA13" s="13"/>
      <c r="AB13" s="13"/>
      <c r="AC13" s="13"/>
      <c r="AD13" s="13"/>
      <c r="AE13" s="1" t="s">
        <v>1623</v>
      </c>
      <c r="AF13" s="1" t="s">
        <v>75</v>
      </c>
      <c r="AG13" s="13"/>
      <c r="AH13" s="14" t="s">
        <v>1610</v>
      </c>
      <c r="AI13" s="13"/>
      <c r="AJ13" s="13"/>
      <c r="AK13" s="13"/>
      <c r="AL13" s="13"/>
      <c r="AM13" s="13"/>
      <c r="AN13" s="13"/>
      <c r="AO13" s="28"/>
    </row>
    <row r="14" spans="1:172" s="10" customFormat="1" ht="23.25" customHeight="1">
      <c r="A14" s="4"/>
      <c r="B14" s="4"/>
      <c r="C14" s="4"/>
      <c r="D14" s="4"/>
      <c r="E14" s="11" t="s">
        <v>672</v>
      </c>
      <c r="F14" s="4"/>
      <c r="G14" s="4"/>
      <c r="H14" s="4"/>
      <c r="I14" s="4"/>
      <c r="J14" s="4"/>
      <c r="K14" s="4"/>
      <c r="L14" s="4"/>
      <c r="M14" s="4"/>
      <c r="N14" s="4" t="s">
        <v>1624</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359</v>
      </c>
      <c r="W14" s="1" t="s">
        <v>1610</v>
      </c>
      <c r="X14" s="13"/>
      <c r="Y14" s="13"/>
      <c r="Z14" s="13"/>
      <c r="AA14" s="13"/>
      <c r="AB14" s="13"/>
      <c r="AC14" s="1" t="s">
        <v>1625</v>
      </c>
      <c r="AD14" s="1" t="s">
        <v>1625</v>
      </c>
      <c r="AE14" s="1" t="s">
        <v>1626</v>
      </c>
      <c r="AF14" s="1" t="s">
        <v>224</v>
      </c>
      <c r="AG14" s="13"/>
      <c r="AH14" s="14" t="s">
        <v>1610</v>
      </c>
      <c r="AI14" s="13"/>
      <c r="AJ14" s="13"/>
      <c r="AK14" s="13"/>
      <c r="AL14" s="13"/>
      <c r="AM14" s="13"/>
      <c r="AN14" s="13"/>
      <c r="AO14" s="28"/>
    </row>
    <row r="15" spans="1:172" s="10" customFormat="1" ht="23.25" customHeight="1">
      <c r="A15" s="4"/>
      <c r="B15" s="4"/>
      <c r="C15" s="4"/>
      <c r="D15" s="4"/>
      <c r="E15" s="11" t="s">
        <v>672</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359</v>
      </c>
      <c r="W15" s="1" t="s">
        <v>1610</v>
      </c>
      <c r="X15" s="13"/>
      <c r="Y15" s="13"/>
      <c r="Z15" s="13"/>
      <c r="AA15" s="13"/>
      <c r="AB15" s="13"/>
      <c r="AC15" s="13"/>
      <c r="AD15" s="1" t="s">
        <v>1625</v>
      </c>
      <c r="AE15" s="1" t="s">
        <v>1627</v>
      </c>
      <c r="AF15" s="1" t="s">
        <v>254</v>
      </c>
      <c r="AG15" s="13"/>
      <c r="AH15" s="14" t="s">
        <v>1610</v>
      </c>
      <c r="AI15" s="13"/>
      <c r="AJ15" s="13"/>
      <c r="AK15" s="13"/>
      <c r="AL15" s="13"/>
      <c r="AM15" s="13"/>
      <c r="AN15" s="13"/>
      <c r="AO15" s="28"/>
    </row>
    <row r="16" spans="1:172" s="10" customFormat="1" ht="23.25" customHeight="1">
      <c r="A16" s="4"/>
      <c r="B16" s="4"/>
      <c r="C16" s="4"/>
      <c r="D16" s="4"/>
      <c r="E16" s="11" t="s">
        <v>672</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359</v>
      </c>
      <c r="W16" s="1" t="s">
        <v>1610</v>
      </c>
      <c r="X16" s="13"/>
      <c r="Y16" s="13"/>
      <c r="Z16" s="13"/>
      <c r="AA16" s="13"/>
      <c r="AB16" s="13"/>
      <c r="AC16" s="13"/>
      <c r="AD16" s="13"/>
      <c r="AE16" s="1" t="s">
        <v>1628</v>
      </c>
      <c r="AF16" s="1" t="s">
        <v>75</v>
      </c>
      <c r="AG16" s="13"/>
      <c r="AH16" s="14" t="s">
        <v>1610</v>
      </c>
      <c r="AI16" s="13"/>
      <c r="AJ16" s="13"/>
      <c r="AK16" s="13"/>
      <c r="AL16" s="13"/>
      <c r="AM16" s="13"/>
      <c r="AN16" s="13"/>
      <c r="AO16" s="28"/>
    </row>
    <row r="17" spans="1:41" s="10" customFormat="1" ht="23.25" customHeight="1">
      <c r="A17" s="4"/>
      <c r="B17" s="4"/>
      <c r="C17" s="4"/>
      <c r="D17" s="4"/>
      <c r="E17" s="11" t="s">
        <v>672</v>
      </c>
      <c r="F17" s="4"/>
      <c r="G17" s="4"/>
      <c r="H17" s="4"/>
      <c r="I17" s="4"/>
      <c r="J17" s="4"/>
      <c r="K17" s="4"/>
      <c r="L17" s="4"/>
      <c r="M17" s="4"/>
      <c r="N17" s="4" t="s">
        <v>1629</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359</v>
      </c>
      <c r="W17" s="1" t="s">
        <v>1610</v>
      </c>
      <c r="X17" s="13"/>
      <c r="Y17" s="13"/>
      <c r="Z17" s="13"/>
      <c r="AA17" s="13"/>
      <c r="AB17" s="13"/>
      <c r="AC17" s="1" t="s">
        <v>1630</v>
      </c>
      <c r="AD17" s="1" t="s">
        <v>1631</v>
      </c>
      <c r="AE17" s="1" t="s">
        <v>1632</v>
      </c>
      <c r="AF17" s="1" t="s">
        <v>254</v>
      </c>
      <c r="AG17" s="13"/>
      <c r="AH17" s="14" t="s">
        <v>1610</v>
      </c>
      <c r="AI17" s="13"/>
      <c r="AJ17" s="13"/>
      <c r="AK17" s="13"/>
      <c r="AL17" s="13"/>
      <c r="AM17" s="13"/>
      <c r="AN17" s="13"/>
      <c r="AO17" s="28"/>
    </row>
    <row r="18" spans="1:41" s="10" customFormat="1" ht="23.25" customHeight="1">
      <c r="A18" s="4"/>
      <c r="B18" s="4"/>
      <c r="C18" s="4"/>
      <c r="D18" s="4"/>
      <c r="E18" s="11" t="s">
        <v>672</v>
      </c>
      <c r="F18" s="4"/>
      <c r="G18" s="4"/>
      <c r="H18" s="4"/>
      <c r="I18" s="4"/>
      <c r="J18" s="4"/>
      <c r="K18" s="4"/>
      <c r="L18" s="4"/>
      <c r="M18" s="4"/>
      <c r="N18" s="4" t="s">
        <v>1633</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359</v>
      </c>
      <c r="W18" s="1" t="s">
        <v>1610</v>
      </c>
      <c r="X18" s="13"/>
      <c r="Y18" s="13"/>
      <c r="Z18" s="13"/>
      <c r="AA18" s="13"/>
      <c r="AB18" s="13"/>
      <c r="AC18" s="1" t="s">
        <v>1630</v>
      </c>
      <c r="AD18" s="1" t="s">
        <v>1631</v>
      </c>
      <c r="AE18" s="1" t="s">
        <v>1634</v>
      </c>
      <c r="AF18" s="1" t="s">
        <v>254</v>
      </c>
      <c r="AG18" s="13"/>
      <c r="AH18" s="14" t="s">
        <v>1610</v>
      </c>
      <c r="AI18" s="13"/>
      <c r="AJ18" s="13"/>
      <c r="AK18" s="13"/>
      <c r="AL18" s="13"/>
      <c r="AM18" s="13"/>
      <c r="AN18" s="13"/>
      <c r="AO18" s="28"/>
    </row>
    <row r="19" spans="1:41" s="10" customFormat="1" ht="23.25" customHeight="1">
      <c r="A19" s="4"/>
      <c r="B19" s="4"/>
      <c r="C19" s="4"/>
      <c r="D19" s="4"/>
      <c r="E19" s="11" t="s">
        <v>672</v>
      </c>
      <c r="F19" s="4"/>
      <c r="G19" s="4"/>
      <c r="H19" s="4"/>
      <c r="I19" s="4"/>
      <c r="J19" s="4"/>
      <c r="K19" s="4"/>
      <c r="L19" s="4"/>
      <c r="M19" s="4"/>
      <c r="N19" s="4" t="s">
        <v>1635</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359</v>
      </c>
      <c r="W19" s="1" t="s">
        <v>1610</v>
      </c>
      <c r="X19" s="13"/>
      <c r="Y19" s="13"/>
      <c r="Z19" s="13"/>
      <c r="AA19" s="13"/>
      <c r="AB19" s="13"/>
      <c r="AC19" s="1" t="s">
        <v>222</v>
      </c>
      <c r="AD19" s="1" t="s">
        <v>222</v>
      </c>
      <c r="AE19" s="1" t="s">
        <v>1636</v>
      </c>
      <c r="AF19" s="1" t="s">
        <v>224</v>
      </c>
      <c r="AG19" s="13"/>
      <c r="AH19" s="14" t="s">
        <v>1610</v>
      </c>
      <c r="AI19" s="13"/>
      <c r="AJ19" s="13"/>
      <c r="AK19" s="13"/>
      <c r="AL19" s="13"/>
      <c r="AM19" s="13"/>
      <c r="AN19" s="13"/>
      <c r="AO19" s="28"/>
    </row>
    <row r="20" spans="1:41" s="10" customFormat="1" ht="23.25" customHeight="1">
      <c r="A20" s="4"/>
      <c r="B20" s="4"/>
      <c r="C20" s="4"/>
      <c r="D20" s="4"/>
      <c r="E20" s="11" t="s">
        <v>672</v>
      </c>
      <c r="F20" s="4"/>
      <c r="G20" s="4"/>
      <c r="H20" s="4"/>
      <c r="I20" s="4"/>
      <c r="J20" s="4"/>
      <c r="K20" s="4"/>
      <c r="L20" s="4"/>
      <c r="M20" s="4"/>
      <c r="N20" s="4" t="s">
        <v>1637</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359</v>
      </c>
      <c r="W20" s="1" t="s">
        <v>1610</v>
      </c>
      <c r="X20" s="13"/>
      <c r="Y20" s="13"/>
      <c r="Z20" s="13"/>
      <c r="AA20" s="13"/>
      <c r="AB20" s="13"/>
      <c r="AC20" s="1" t="s">
        <v>175</v>
      </c>
      <c r="AD20" s="13"/>
      <c r="AE20" s="1" t="s">
        <v>1638</v>
      </c>
      <c r="AF20" s="1" t="s">
        <v>90</v>
      </c>
      <c r="AG20" s="13"/>
      <c r="AH20" s="14" t="s">
        <v>1610</v>
      </c>
      <c r="AI20" s="13"/>
      <c r="AJ20" s="13"/>
      <c r="AK20" s="13"/>
      <c r="AL20" s="13"/>
      <c r="AM20" s="13"/>
      <c r="AN20" s="13"/>
      <c r="AO20" s="28"/>
    </row>
    <row r="21" spans="1:41" s="10" customFormat="1" ht="23.25" customHeight="1">
      <c r="A21" s="4"/>
      <c r="B21" s="4"/>
      <c r="C21" s="4"/>
      <c r="D21" s="4"/>
      <c r="E21" s="11" t="s">
        <v>672</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672</v>
      </c>
      <c r="F22" s="4"/>
      <c r="G22" s="4"/>
      <c r="H22" s="4"/>
      <c r="I22" s="4"/>
      <c r="J22" s="4"/>
      <c r="K22" s="4"/>
      <c r="L22" s="4"/>
      <c r="M22" s="4"/>
      <c r="N22" s="4" t="s">
        <v>1639</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359</v>
      </c>
      <c r="W22" s="1" t="s">
        <v>1610</v>
      </c>
      <c r="X22" s="13"/>
      <c r="Y22" s="13"/>
      <c r="Z22" s="13"/>
      <c r="AA22" s="13"/>
      <c r="AB22" s="13"/>
      <c r="AC22" s="1" t="s">
        <v>1630</v>
      </c>
      <c r="AD22" s="1" t="s">
        <v>1631</v>
      </c>
      <c r="AE22" s="1" t="s">
        <v>1640</v>
      </c>
      <c r="AF22" s="1" t="s">
        <v>254</v>
      </c>
      <c r="AG22" s="13"/>
      <c r="AH22" s="14" t="s">
        <v>1610</v>
      </c>
      <c r="AI22" s="13"/>
      <c r="AJ22" s="13"/>
      <c r="AK22" s="13"/>
      <c r="AL22" s="13"/>
      <c r="AM22" s="13"/>
      <c r="AN22" s="13"/>
      <c r="AO22" s="28"/>
    </row>
    <row r="23" spans="1:41" s="10" customFormat="1" ht="23.25" customHeight="1">
      <c r="A23" s="4"/>
      <c r="B23" s="4"/>
      <c r="C23" s="4"/>
      <c r="D23" s="4"/>
      <c r="E23" s="11" t="s">
        <v>672</v>
      </c>
      <c r="F23" s="4"/>
      <c r="G23" s="4"/>
      <c r="H23" s="4"/>
      <c r="I23" s="4"/>
      <c r="J23" s="4"/>
      <c r="K23" s="4"/>
      <c r="L23" s="4"/>
      <c r="M23" s="4"/>
      <c r="N23" s="4" t="s">
        <v>1641</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359</v>
      </c>
      <c r="W23" s="1" t="s">
        <v>1610</v>
      </c>
      <c r="X23" s="13"/>
      <c r="Y23" s="13"/>
      <c r="Z23" s="13"/>
      <c r="AA23" s="13"/>
      <c r="AB23" s="13"/>
      <c r="AC23" s="1" t="s">
        <v>126</v>
      </c>
      <c r="AD23" s="1" t="s">
        <v>127</v>
      </c>
      <c r="AE23" s="1" t="s">
        <v>1642</v>
      </c>
      <c r="AF23" s="1" t="s">
        <v>224</v>
      </c>
      <c r="AG23" s="13"/>
      <c r="AH23" s="14" t="s">
        <v>1610</v>
      </c>
      <c r="AI23" s="13"/>
      <c r="AJ23" s="13"/>
      <c r="AK23" s="13"/>
      <c r="AL23" s="13"/>
      <c r="AM23" s="13"/>
      <c r="AN23" s="13"/>
      <c r="AO23" s="28"/>
    </row>
    <row r="24" spans="1:41" s="10" customFormat="1" ht="23.25" customHeight="1">
      <c r="A24" s="4"/>
      <c r="B24" s="4"/>
      <c r="C24" s="4"/>
      <c r="D24" s="4"/>
      <c r="E24" s="11" t="s">
        <v>672</v>
      </c>
      <c r="F24" s="4"/>
      <c r="G24" s="4"/>
      <c r="H24" s="4"/>
      <c r="I24" s="4"/>
      <c r="J24" s="4"/>
      <c r="K24" s="4"/>
      <c r="L24" s="4"/>
      <c r="M24" s="4"/>
      <c r="N24" s="4" t="s">
        <v>1643</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359</v>
      </c>
      <c r="W24" s="1" t="s">
        <v>1610</v>
      </c>
      <c r="X24" s="13"/>
      <c r="Y24" s="13"/>
      <c r="Z24" s="13"/>
      <c r="AA24" s="13"/>
      <c r="AB24" s="13"/>
      <c r="AC24" s="1" t="s">
        <v>712</v>
      </c>
      <c r="AD24" s="13"/>
      <c r="AE24" s="1" t="s">
        <v>1644</v>
      </c>
      <c r="AF24" s="1" t="s">
        <v>75</v>
      </c>
      <c r="AG24" s="13"/>
      <c r="AH24" s="14" t="s">
        <v>1610</v>
      </c>
      <c r="AI24" s="13"/>
      <c r="AJ24" s="13"/>
      <c r="AK24" s="13"/>
      <c r="AL24" s="13"/>
      <c r="AM24" s="13"/>
      <c r="AN24" s="13"/>
      <c r="AO24" s="28"/>
    </row>
    <row r="25" spans="1:41" s="10" customFormat="1" ht="23.25" customHeight="1">
      <c r="A25" s="4"/>
      <c r="B25" s="4"/>
      <c r="C25" s="4"/>
      <c r="D25" s="4"/>
      <c r="E25" s="11" t="s">
        <v>672</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359</v>
      </c>
      <c r="W25" s="1" t="s">
        <v>1610</v>
      </c>
      <c r="X25" s="13"/>
      <c r="Y25" s="13"/>
      <c r="Z25" s="13"/>
      <c r="AA25" s="13"/>
      <c r="AB25" s="13"/>
      <c r="AC25" s="13"/>
      <c r="AD25" s="13"/>
      <c r="AE25" s="1" t="s">
        <v>1645</v>
      </c>
      <c r="AF25" s="1" t="s">
        <v>90</v>
      </c>
      <c r="AG25" s="13"/>
      <c r="AH25" s="14" t="s">
        <v>1610</v>
      </c>
      <c r="AI25" s="13"/>
      <c r="AJ25" s="13"/>
      <c r="AK25" s="13"/>
      <c r="AL25" s="13"/>
      <c r="AM25" s="13"/>
      <c r="AN25" s="13"/>
      <c r="AO25" s="28"/>
    </row>
    <row r="26" spans="1:41" s="10" customFormat="1" ht="23.25" customHeight="1">
      <c r="A26" s="4"/>
      <c r="B26" s="4"/>
      <c r="C26" s="4"/>
      <c r="D26" s="4"/>
      <c r="E26" s="11" t="s">
        <v>672</v>
      </c>
      <c r="F26" s="4"/>
      <c r="G26" s="4"/>
      <c r="H26" s="4"/>
      <c r="I26" s="4"/>
      <c r="J26" s="4"/>
      <c r="K26" s="4"/>
      <c r="L26" s="4"/>
      <c r="M26" s="4"/>
      <c r="N26" s="4" t="s">
        <v>1646</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359</v>
      </c>
      <c r="W26" s="1" t="s">
        <v>1610</v>
      </c>
      <c r="X26" s="13"/>
      <c r="Y26" s="13"/>
      <c r="Z26" s="13"/>
      <c r="AA26" s="13"/>
      <c r="AB26" s="13"/>
      <c r="AC26" s="1" t="s">
        <v>73</v>
      </c>
      <c r="AD26" s="13"/>
      <c r="AE26" s="1" t="s">
        <v>1647</v>
      </c>
      <c r="AF26" s="1" t="s">
        <v>714</v>
      </c>
      <c r="AG26" s="13"/>
      <c r="AH26" s="14" t="s">
        <v>1610</v>
      </c>
      <c r="AI26" s="13"/>
      <c r="AJ26" s="13"/>
      <c r="AK26" s="13"/>
      <c r="AL26" s="13"/>
      <c r="AM26" s="13"/>
      <c r="AN26" s="13"/>
      <c r="AO26" s="28"/>
    </row>
    <row r="27" spans="1:41" s="10" customFormat="1" ht="23.25" customHeight="1">
      <c r="A27" s="4"/>
      <c r="B27" s="4"/>
      <c r="C27" s="4"/>
      <c r="D27" s="4"/>
      <c r="E27" s="11" t="s">
        <v>672</v>
      </c>
      <c r="F27" s="4"/>
      <c r="G27" s="4"/>
      <c r="H27" s="4"/>
      <c r="I27" s="4"/>
      <c r="J27" s="4"/>
      <c r="K27" s="4"/>
      <c r="L27" s="4"/>
      <c r="M27" s="4"/>
      <c r="N27" s="4" t="s">
        <v>1648</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359</v>
      </c>
      <c r="W27" s="1" t="s">
        <v>1610</v>
      </c>
      <c r="X27" s="13"/>
      <c r="Y27" s="13"/>
      <c r="Z27" s="13"/>
      <c r="AA27" s="13"/>
      <c r="AB27" s="13"/>
      <c r="AC27" s="1" t="s">
        <v>222</v>
      </c>
      <c r="AD27" s="1" t="s">
        <v>222</v>
      </c>
      <c r="AE27" s="1" t="s">
        <v>1649</v>
      </c>
      <c r="AF27" s="1" t="s">
        <v>224</v>
      </c>
      <c r="AG27" s="13"/>
      <c r="AH27" s="14" t="s">
        <v>1610</v>
      </c>
      <c r="AI27" s="13"/>
      <c r="AJ27" s="13"/>
      <c r="AK27" s="13"/>
      <c r="AL27" s="13"/>
      <c r="AM27" s="13"/>
      <c r="AN27" s="13"/>
      <c r="AO27" s="28"/>
    </row>
    <row r="28" spans="1:41" s="10" customFormat="1" ht="23.25" customHeight="1">
      <c r="A28" s="4"/>
      <c r="B28" s="4"/>
      <c r="C28" s="4"/>
      <c r="D28" s="4"/>
      <c r="E28" s="11" t="s">
        <v>672</v>
      </c>
      <c r="F28" s="4"/>
      <c r="G28" s="4"/>
      <c r="H28" s="4"/>
      <c r="I28" s="4"/>
      <c r="J28" s="4"/>
      <c r="K28" s="4"/>
      <c r="L28" s="4"/>
      <c r="M28" s="4"/>
      <c r="N28" s="4" t="s">
        <v>1650</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359</v>
      </c>
      <c r="W28" s="1" t="s">
        <v>1610</v>
      </c>
      <c r="X28" s="13"/>
      <c r="Y28" s="13"/>
      <c r="Z28" s="13"/>
      <c r="AA28" s="13"/>
      <c r="AB28" s="13"/>
      <c r="AC28" s="1" t="s">
        <v>222</v>
      </c>
      <c r="AD28" s="1" t="s">
        <v>222</v>
      </c>
      <c r="AE28" s="1" t="s">
        <v>1651</v>
      </c>
      <c r="AF28" s="1" t="s">
        <v>224</v>
      </c>
      <c r="AG28" s="13"/>
      <c r="AH28" s="14" t="s">
        <v>1610</v>
      </c>
      <c r="AI28" s="13"/>
      <c r="AJ28" s="13"/>
      <c r="AK28" s="13"/>
      <c r="AL28" s="13"/>
      <c r="AM28" s="13"/>
      <c r="AN28" s="13"/>
      <c r="AO28" s="28"/>
    </row>
    <row r="29" spans="1:41" s="10" customFormat="1" ht="23.25" customHeight="1">
      <c r="A29" s="4"/>
      <c r="B29" s="4"/>
      <c r="C29" s="4"/>
      <c r="D29" s="4"/>
      <c r="E29" s="11" t="s">
        <v>672</v>
      </c>
      <c r="F29" s="4"/>
      <c r="G29" s="4"/>
      <c r="H29" s="4"/>
      <c r="I29" s="4"/>
      <c r="J29" s="4"/>
      <c r="K29" s="4"/>
      <c r="L29" s="4"/>
      <c r="M29" s="4"/>
      <c r="N29" s="4" t="s">
        <v>1652</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359</v>
      </c>
      <c r="W29" s="1" t="s">
        <v>1610</v>
      </c>
      <c r="X29" s="13"/>
      <c r="Y29" s="13"/>
      <c r="Z29" s="13"/>
      <c r="AA29" s="13"/>
      <c r="AB29" s="13"/>
      <c r="AC29" s="1" t="s">
        <v>222</v>
      </c>
      <c r="AD29" s="1" t="s">
        <v>222</v>
      </c>
      <c r="AE29" s="1" t="s">
        <v>1653</v>
      </c>
      <c r="AF29" s="1" t="s">
        <v>224</v>
      </c>
      <c r="AG29" s="13"/>
      <c r="AH29" s="14" t="s">
        <v>1610</v>
      </c>
      <c r="AI29" s="13"/>
      <c r="AJ29" s="13"/>
      <c r="AK29" s="13"/>
      <c r="AL29" s="13"/>
      <c r="AM29" s="13"/>
      <c r="AN29" s="13"/>
      <c r="AO29" s="28"/>
    </row>
    <row r="30" spans="1:41" s="10" customFormat="1" ht="23.25" customHeight="1">
      <c r="A30" s="4"/>
      <c r="B30" s="4"/>
      <c r="C30" s="4"/>
      <c r="D30" s="4"/>
      <c r="E30" s="11" t="s">
        <v>672</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359</v>
      </c>
      <c r="W30" s="1" t="s">
        <v>1610</v>
      </c>
      <c r="X30" s="13"/>
      <c r="Y30" s="13"/>
      <c r="Z30" s="13"/>
      <c r="AA30" s="13"/>
      <c r="AB30" s="13"/>
      <c r="AC30" s="13"/>
      <c r="AD30" s="1" t="s">
        <v>1625</v>
      </c>
      <c r="AE30" s="1" t="s">
        <v>1654</v>
      </c>
      <c r="AF30" s="1" t="s">
        <v>224</v>
      </c>
      <c r="AG30" s="13"/>
      <c r="AH30" s="14" t="s">
        <v>1610</v>
      </c>
      <c r="AI30" s="13"/>
      <c r="AJ30" s="13"/>
      <c r="AK30" s="13"/>
      <c r="AL30" s="13"/>
      <c r="AM30" s="13"/>
      <c r="AN30" s="13"/>
      <c r="AO30" s="28"/>
    </row>
    <row r="31" spans="1:41" s="10" customFormat="1" ht="23.25" customHeight="1">
      <c r="A31" s="4"/>
      <c r="B31" s="4"/>
      <c r="C31" s="4"/>
      <c r="D31" s="4"/>
      <c r="E31" s="11" t="s">
        <v>672</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359</v>
      </c>
      <c r="W31" s="1" t="s">
        <v>1610</v>
      </c>
      <c r="X31" s="13"/>
      <c r="Y31" s="13"/>
      <c r="Z31" s="13"/>
      <c r="AA31" s="13"/>
      <c r="AB31" s="13"/>
      <c r="AC31" s="13"/>
      <c r="AD31" s="1" t="s">
        <v>1625</v>
      </c>
      <c r="AE31" s="1" t="s">
        <v>1655</v>
      </c>
      <c r="AF31" s="1" t="s">
        <v>254</v>
      </c>
      <c r="AG31" s="13"/>
      <c r="AH31" s="14" t="s">
        <v>1610</v>
      </c>
      <c r="AI31" s="13"/>
      <c r="AJ31" s="13"/>
      <c r="AK31" s="13"/>
      <c r="AL31" s="13"/>
      <c r="AM31" s="13"/>
      <c r="AN31" s="13"/>
      <c r="AO31" s="28"/>
    </row>
    <row r="32" spans="1:41" s="10" customFormat="1" ht="23.25" customHeight="1">
      <c r="A32" s="4"/>
      <c r="B32" s="4"/>
      <c r="C32" s="4"/>
      <c r="D32" s="4"/>
      <c r="E32" s="11" t="s">
        <v>672</v>
      </c>
      <c r="F32" s="4"/>
      <c r="G32" s="4"/>
      <c r="H32" s="4"/>
      <c r="I32" s="4"/>
      <c r="J32" s="4"/>
      <c r="K32" s="4"/>
      <c r="L32" s="4"/>
      <c r="M32" s="4"/>
      <c r="N32" s="4" t="s">
        <v>1656</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359</v>
      </c>
      <c r="W32" s="1" t="s">
        <v>1610</v>
      </c>
      <c r="X32" s="13"/>
      <c r="Y32" s="13"/>
      <c r="Z32" s="13"/>
      <c r="AA32" s="13"/>
      <c r="AB32" s="13"/>
      <c r="AC32" s="1" t="s">
        <v>175</v>
      </c>
      <c r="AD32" s="13"/>
      <c r="AE32" s="1" t="s">
        <v>1657</v>
      </c>
      <c r="AF32" s="1" t="s">
        <v>75</v>
      </c>
      <c r="AG32" s="13"/>
      <c r="AH32" s="14" t="s">
        <v>1610</v>
      </c>
      <c r="AI32" s="13"/>
      <c r="AJ32" s="13"/>
      <c r="AK32" s="13"/>
      <c r="AL32" s="13"/>
      <c r="AM32" s="13"/>
      <c r="AN32" s="13"/>
      <c r="AO32" s="28"/>
    </row>
    <row r="33" spans="1:41" s="10" customFormat="1" ht="23.25" customHeight="1">
      <c r="A33" s="4"/>
      <c r="B33" s="4"/>
      <c r="C33" s="4"/>
      <c r="D33" s="4"/>
      <c r="E33" s="11" t="s">
        <v>672</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359</v>
      </c>
      <c r="W33" s="1" t="s">
        <v>1610</v>
      </c>
      <c r="X33" s="13"/>
      <c r="Y33" s="13"/>
      <c r="Z33" s="13"/>
      <c r="AA33" s="13"/>
      <c r="AB33" s="13"/>
      <c r="AC33" s="13"/>
      <c r="AD33" s="13"/>
      <c r="AE33" s="1" t="s">
        <v>1657</v>
      </c>
      <c r="AF33" s="1" t="s">
        <v>75</v>
      </c>
      <c r="AG33" s="13"/>
      <c r="AH33" s="14" t="s">
        <v>1610</v>
      </c>
      <c r="AI33" s="13"/>
      <c r="AJ33" s="13"/>
      <c r="AK33" s="13"/>
      <c r="AL33" s="13"/>
      <c r="AM33" s="13"/>
      <c r="AN33" s="13"/>
      <c r="AO33" s="28"/>
    </row>
    <row r="34" spans="1:41" s="10" customFormat="1" ht="23.25" customHeight="1">
      <c r="A34" s="4"/>
      <c r="B34" s="4"/>
      <c r="C34" s="4"/>
      <c r="D34" s="4"/>
      <c r="E34" s="11" t="s">
        <v>672</v>
      </c>
      <c r="F34" s="4"/>
      <c r="G34" s="4"/>
      <c r="H34" s="4"/>
      <c r="I34" s="4"/>
      <c r="J34" s="4"/>
      <c r="K34" s="4"/>
      <c r="L34" s="4"/>
      <c r="M34" s="4"/>
      <c r="N34" s="4" t="s">
        <v>1658</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359</v>
      </c>
      <c r="W34" s="1" t="s">
        <v>1610</v>
      </c>
      <c r="X34" s="13"/>
      <c r="Y34" s="13"/>
      <c r="Z34" s="13"/>
      <c r="AA34" s="13"/>
      <c r="AB34" s="13"/>
      <c r="AC34" s="1" t="s">
        <v>712</v>
      </c>
      <c r="AD34" s="13"/>
      <c r="AE34" s="1" t="s">
        <v>1659</v>
      </c>
      <c r="AF34" s="1" t="s">
        <v>714</v>
      </c>
      <c r="AG34" s="13"/>
      <c r="AH34" s="14" t="s">
        <v>1610</v>
      </c>
      <c r="AI34" s="13"/>
      <c r="AJ34" s="13"/>
      <c r="AK34" s="13"/>
      <c r="AL34" s="13"/>
      <c r="AM34" s="13"/>
      <c r="AN34" s="13"/>
      <c r="AO34" s="28"/>
    </row>
    <row r="35" spans="1:41" s="10" customFormat="1" ht="23.25" customHeight="1">
      <c r="A35" s="4"/>
      <c r="B35" s="4"/>
      <c r="C35" s="4"/>
      <c r="D35" s="4"/>
      <c r="E35" s="11" t="s">
        <v>672</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359</v>
      </c>
      <c r="W35" s="1" t="s">
        <v>1610</v>
      </c>
      <c r="X35" s="13"/>
      <c r="Y35" s="13"/>
      <c r="Z35" s="13"/>
      <c r="AA35" s="13"/>
      <c r="AB35" s="13"/>
      <c r="AC35" s="13"/>
      <c r="AD35" s="1" t="s">
        <v>127</v>
      </c>
      <c r="AE35" s="1" t="s">
        <v>1660</v>
      </c>
      <c r="AF35" s="1" t="s">
        <v>75</v>
      </c>
      <c r="AG35" s="13"/>
      <c r="AH35" s="14" t="s">
        <v>1610</v>
      </c>
      <c r="AI35" s="13"/>
      <c r="AJ35" s="13"/>
      <c r="AK35" s="13"/>
      <c r="AL35" s="13"/>
      <c r="AM35" s="13"/>
      <c r="AN35" s="13"/>
      <c r="AO35" s="28"/>
    </row>
    <row r="36" spans="1:41" s="10" customFormat="1" ht="23.25" customHeight="1">
      <c r="A36" s="4"/>
      <c r="B36" s="4"/>
      <c r="C36" s="4"/>
      <c r="D36" s="4"/>
      <c r="E36" s="11" t="s">
        <v>672</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359</v>
      </c>
      <c r="W36" s="1" t="s">
        <v>1610</v>
      </c>
      <c r="X36" s="13"/>
      <c r="Y36" s="13"/>
      <c r="Z36" s="13"/>
      <c r="AA36" s="13"/>
      <c r="AB36" s="13"/>
      <c r="AC36" s="13"/>
      <c r="AD36" s="13"/>
      <c r="AE36" s="1" t="s">
        <v>1661</v>
      </c>
      <c r="AF36" s="1" t="s">
        <v>75</v>
      </c>
      <c r="AG36" s="13"/>
      <c r="AH36" s="14" t="s">
        <v>1610</v>
      </c>
      <c r="AI36" s="13"/>
      <c r="AJ36" s="13"/>
      <c r="AK36" s="13"/>
      <c r="AL36" s="13"/>
      <c r="AM36" s="13"/>
      <c r="AN36" s="13"/>
      <c r="AO36" s="28"/>
    </row>
    <row r="37" spans="1:41" s="10" customFormat="1" ht="23.25" customHeight="1">
      <c r="A37" s="4"/>
      <c r="B37" s="4"/>
      <c r="C37" s="4"/>
      <c r="D37" s="4"/>
      <c r="E37" s="11" t="s">
        <v>672</v>
      </c>
      <c r="F37" s="4"/>
      <c r="G37" s="4"/>
      <c r="H37" s="4"/>
      <c r="I37" s="4"/>
      <c r="J37" s="4"/>
      <c r="K37" s="4"/>
      <c r="L37" s="4"/>
      <c r="M37" s="4"/>
      <c r="N37" s="4" t="s">
        <v>1662</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359</v>
      </c>
      <c r="W37" s="1" t="s">
        <v>1610</v>
      </c>
      <c r="X37" s="13"/>
      <c r="Y37" s="13"/>
      <c r="Z37" s="13"/>
      <c r="AA37" s="13"/>
      <c r="AB37" s="13"/>
      <c r="AC37" s="1" t="s">
        <v>1630</v>
      </c>
      <c r="AD37" s="1" t="s">
        <v>1631</v>
      </c>
      <c r="AE37" s="1" t="s">
        <v>1663</v>
      </c>
      <c r="AF37" s="1" t="s">
        <v>254</v>
      </c>
      <c r="AG37" s="13"/>
      <c r="AH37" s="14" t="s">
        <v>1610</v>
      </c>
      <c r="AI37" s="13"/>
      <c r="AJ37" s="13"/>
      <c r="AK37" s="13"/>
      <c r="AL37" s="13"/>
      <c r="AM37" s="13"/>
      <c r="AN37" s="13"/>
      <c r="AO37" s="28"/>
    </row>
    <row r="38" spans="1:41" s="10" customFormat="1" ht="23.25" customHeight="1">
      <c r="A38" s="4"/>
      <c r="B38" s="4"/>
      <c r="C38" s="4"/>
      <c r="D38" s="4"/>
      <c r="E38" s="11" t="s">
        <v>672</v>
      </c>
      <c r="F38" s="4"/>
      <c r="G38" s="4"/>
      <c r="H38" s="4"/>
      <c r="I38" s="4"/>
      <c r="J38" s="4"/>
      <c r="K38" s="4"/>
      <c r="L38" s="4"/>
      <c r="M38" s="4"/>
      <c r="N38" s="4" t="s">
        <v>1630</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359</v>
      </c>
      <c r="W38" s="1" t="s">
        <v>1610</v>
      </c>
      <c r="X38" s="13"/>
      <c r="Y38" s="13"/>
      <c r="Z38" s="13"/>
      <c r="AA38" s="13"/>
      <c r="AB38" s="13"/>
      <c r="AC38" s="1" t="s">
        <v>1630</v>
      </c>
      <c r="AD38" s="1" t="s">
        <v>1631</v>
      </c>
      <c r="AE38" s="1" t="s">
        <v>1664</v>
      </c>
      <c r="AF38" s="1" t="s">
        <v>90</v>
      </c>
      <c r="AG38" s="13"/>
      <c r="AH38" s="14" t="s">
        <v>1610</v>
      </c>
      <c r="AI38" s="13"/>
      <c r="AJ38" s="13"/>
      <c r="AK38" s="13"/>
      <c r="AL38" s="13"/>
      <c r="AM38" s="13"/>
      <c r="AN38" s="13"/>
      <c r="AO38" s="28"/>
    </row>
    <row r="39" spans="1:41" s="10" customFormat="1" ht="23.25" customHeight="1">
      <c r="A39" s="4"/>
      <c r="B39" s="4"/>
      <c r="C39" s="4"/>
      <c r="D39" s="4"/>
      <c r="E39" s="11" t="s">
        <v>672</v>
      </c>
      <c r="F39" s="4"/>
      <c r="G39" s="4"/>
      <c r="H39" s="4"/>
      <c r="I39" s="4"/>
      <c r="J39" s="4"/>
      <c r="K39" s="4"/>
      <c r="L39" s="4"/>
      <c r="M39" s="4"/>
      <c r="N39" s="4" t="s">
        <v>1665</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359</v>
      </c>
      <c r="W39" s="1" t="s">
        <v>1610</v>
      </c>
      <c r="X39" s="13"/>
      <c r="Y39" s="13"/>
      <c r="Z39" s="13"/>
      <c r="AA39" s="13"/>
      <c r="AB39" s="13"/>
      <c r="AC39" s="1" t="s">
        <v>1630</v>
      </c>
      <c r="AD39" s="1" t="s">
        <v>1631</v>
      </c>
      <c r="AE39" s="1" t="s">
        <v>1666</v>
      </c>
      <c r="AF39" s="1" t="s">
        <v>90</v>
      </c>
      <c r="AG39" s="13"/>
      <c r="AH39" s="14" t="s">
        <v>1610</v>
      </c>
      <c r="AI39" s="13"/>
      <c r="AJ39" s="13"/>
      <c r="AK39" s="13"/>
      <c r="AL39" s="13"/>
      <c r="AM39" s="13"/>
      <c r="AN39" s="13"/>
      <c r="AO39" s="28"/>
    </row>
    <row r="40" spans="1:41" s="10" customFormat="1" ht="23.25" customHeight="1">
      <c r="A40" s="4"/>
      <c r="B40" s="4"/>
      <c r="C40" s="4"/>
      <c r="D40" s="4"/>
      <c r="E40" s="11" t="s">
        <v>672</v>
      </c>
      <c r="F40" s="4"/>
      <c r="G40" s="4"/>
      <c r="H40" s="4"/>
      <c r="I40" s="4"/>
      <c r="J40" s="4"/>
      <c r="K40" s="4"/>
      <c r="L40" s="4"/>
      <c r="M40" s="4"/>
      <c r="N40" s="4" t="s">
        <v>1667</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359</v>
      </c>
      <c r="W40" s="1" t="s">
        <v>1610</v>
      </c>
      <c r="X40" s="13"/>
      <c r="Y40" s="13"/>
      <c r="Z40" s="13"/>
      <c r="AA40" s="13"/>
      <c r="AB40" s="13"/>
      <c r="AC40" s="1" t="s">
        <v>1668</v>
      </c>
      <c r="AD40" s="13"/>
      <c r="AE40" s="1" t="s">
        <v>1669</v>
      </c>
      <c r="AF40" s="1" t="s">
        <v>75</v>
      </c>
      <c r="AG40" s="13"/>
      <c r="AH40" s="14" t="s">
        <v>1610</v>
      </c>
      <c r="AI40" s="13"/>
      <c r="AJ40" s="13"/>
      <c r="AK40" s="13"/>
      <c r="AL40" s="13"/>
      <c r="AM40" s="13"/>
      <c r="AN40" s="13"/>
      <c r="AO40" s="28"/>
    </row>
    <row r="41" spans="1:41" s="10" customFormat="1" ht="23.25" customHeight="1">
      <c r="A41" s="4"/>
      <c r="B41" s="4"/>
      <c r="C41" s="4"/>
      <c r="D41" s="4"/>
      <c r="E41" s="11" t="s">
        <v>672</v>
      </c>
      <c r="F41" s="4"/>
      <c r="G41" s="4"/>
      <c r="H41" s="4"/>
      <c r="I41" s="4"/>
      <c r="J41" s="4"/>
      <c r="K41" s="4"/>
      <c r="L41" s="4"/>
      <c r="M41" s="4"/>
      <c r="N41" s="4" t="s">
        <v>1670</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359</v>
      </c>
      <c r="W41" s="1" t="s">
        <v>1610</v>
      </c>
      <c r="X41" s="13"/>
      <c r="Y41" s="13"/>
      <c r="Z41" s="13"/>
      <c r="AA41" s="13"/>
      <c r="AB41" s="13"/>
      <c r="AC41" s="1" t="s">
        <v>126</v>
      </c>
      <c r="AD41" s="1" t="s">
        <v>127</v>
      </c>
      <c r="AE41" s="1" t="s">
        <v>1671</v>
      </c>
      <c r="AF41" s="1" t="s">
        <v>75</v>
      </c>
      <c r="AG41" s="13"/>
      <c r="AH41" s="14" t="s">
        <v>1610</v>
      </c>
      <c r="AI41" s="13"/>
      <c r="AJ41" s="13"/>
      <c r="AK41" s="13"/>
      <c r="AL41" s="13"/>
      <c r="AM41" s="13"/>
      <c r="AN41" s="13"/>
      <c r="AO41" s="28"/>
    </row>
    <row r="42" spans="1:41" s="10" customFormat="1" ht="23.25" customHeight="1">
      <c r="A42" s="4"/>
      <c r="B42" s="4"/>
      <c r="C42" s="4"/>
      <c r="D42" s="4"/>
      <c r="E42" s="11" t="s">
        <v>672</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359</v>
      </c>
      <c r="W42" s="1" t="s">
        <v>1610</v>
      </c>
      <c r="X42" s="13"/>
      <c r="Y42" s="13"/>
      <c r="Z42" s="13"/>
      <c r="AA42" s="13"/>
      <c r="AB42" s="13"/>
      <c r="AC42" s="13"/>
      <c r="AD42" s="13"/>
      <c r="AE42" s="1" t="s">
        <v>1672</v>
      </c>
      <c r="AF42" s="1" t="s">
        <v>75</v>
      </c>
      <c r="AG42" s="13"/>
      <c r="AH42" s="14" t="s">
        <v>1610</v>
      </c>
      <c r="AI42" s="13"/>
      <c r="AJ42" s="13"/>
      <c r="AK42" s="13"/>
      <c r="AL42" s="13"/>
      <c r="AM42" s="13"/>
      <c r="AN42" s="13"/>
      <c r="AO42" s="28"/>
    </row>
    <row r="43" spans="1:41" s="10" customFormat="1" ht="23.25" customHeight="1">
      <c r="A43" s="4"/>
      <c r="B43" s="4"/>
      <c r="C43" s="4"/>
      <c r="D43" s="4"/>
      <c r="E43" s="11" t="s">
        <v>672</v>
      </c>
      <c r="F43" s="4"/>
      <c r="G43" s="4"/>
      <c r="H43" s="4"/>
      <c r="I43" s="4"/>
      <c r="J43" s="4"/>
      <c r="K43" s="4"/>
      <c r="L43" s="4"/>
      <c r="M43" s="4"/>
      <c r="N43" s="4" t="s">
        <v>1673</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359</v>
      </c>
      <c r="W43" s="1" t="s">
        <v>1610</v>
      </c>
      <c r="X43" s="13"/>
      <c r="Y43" s="13"/>
      <c r="Z43" s="13"/>
      <c r="AA43" s="13"/>
      <c r="AB43" s="13"/>
      <c r="AC43" s="1" t="s">
        <v>175</v>
      </c>
      <c r="AD43" s="13"/>
      <c r="AE43" s="1" t="s">
        <v>1674</v>
      </c>
      <c r="AF43" s="1" t="s">
        <v>224</v>
      </c>
      <c r="AG43" s="13"/>
      <c r="AH43" s="14" t="s">
        <v>1610</v>
      </c>
      <c r="AI43" s="13"/>
      <c r="AJ43" s="13"/>
      <c r="AK43" s="13"/>
      <c r="AL43" s="13"/>
      <c r="AM43" s="13"/>
      <c r="AN43" s="13"/>
      <c r="AO43" s="28"/>
    </row>
    <row r="44" spans="1:41" s="10" customFormat="1" ht="23.25" customHeight="1">
      <c r="A44" s="4"/>
      <c r="B44" s="4"/>
      <c r="C44" s="4"/>
      <c r="D44" s="4"/>
      <c r="E44" s="11" t="s">
        <v>672</v>
      </c>
      <c r="F44" s="4"/>
      <c r="G44" s="4"/>
      <c r="H44" s="4"/>
      <c r="I44" s="4"/>
      <c r="J44" s="4"/>
      <c r="K44" s="4"/>
      <c r="L44" s="4"/>
      <c r="M44" s="4"/>
      <c r="N44" s="4" t="s">
        <v>1675</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359</v>
      </c>
      <c r="W44" s="1" t="s">
        <v>1610</v>
      </c>
      <c r="X44" s="13"/>
      <c r="Y44" s="13"/>
      <c r="Z44" s="13"/>
      <c r="AA44" s="13"/>
      <c r="AB44" s="13"/>
      <c r="AC44" s="1" t="s">
        <v>175</v>
      </c>
      <c r="AD44" s="13"/>
      <c r="AE44" s="1" t="s">
        <v>1676</v>
      </c>
      <c r="AF44" s="1" t="s">
        <v>90</v>
      </c>
      <c r="AG44" s="13"/>
      <c r="AH44" s="14" t="s">
        <v>1610</v>
      </c>
      <c r="AI44" s="13"/>
      <c r="AJ44" s="13"/>
      <c r="AK44" s="13"/>
      <c r="AL44" s="13"/>
      <c r="AM44" s="13"/>
      <c r="AN44" s="13"/>
      <c r="AO44" s="28"/>
    </row>
    <row r="45" spans="1:41" s="10" customFormat="1" ht="23.25" customHeight="1">
      <c r="A45" s="4"/>
      <c r="B45" s="4"/>
      <c r="C45" s="4"/>
      <c r="D45" s="4"/>
      <c r="E45" s="11" t="s">
        <v>672</v>
      </c>
      <c r="F45" s="4"/>
      <c r="G45" s="4"/>
      <c r="H45" s="4"/>
      <c r="I45" s="4"/>
      <c r="J45" s="4"/>
      <c r="K45" s="4"/>
      <c r="L45" s="4"/>
      <c r="M45" s="4"/>
      <c r="N45" s="4" t="s">
        <v>1677</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359</v>
      </c>
      <c r="W45" s="1" t="s">
        <v>1610</v>
      </c>
      <c r="X45" s="13"/>
      <c r="Y45" s="13"/>
      <c r="Z45" s="13"/>
      <c r="AA45" s="13"/>
      <c r="AB45" s="13"/>
      <c r="AC45" s="1" t="s">
        <v>175</v>
      </c>
      <c r="AD45" s="13"/>
      <c r="AE45" s="1" t="s">
        <v>1678</v>
      </c>
      <c r="AF45" s="1" t="s">
        <v>90</v>
      </c>
      <c r="AG45" s="13"/>
      <c r="AH45" s="14" t="s">
        <v>1610</v>
      </c>
      <c r="AI45" s="13"/>
      <c r="AJ45" s="13"/>
      <c r="AK45" s="13"/>
      <c r="AL45" s="13"/>
      <c r="AM45" s="13"/>
      <c r="AN45" s="13"/>
      <c r="AO45" s="28"/>
    </row>
    <row r="46" spans="1:41" s="10" customFormat="1" ht="23.25" customHeight="1">
      <c r="A46" s="4"/>
      <c r="B46" s="4"/>
      <c r="C46" s="4"/>
      <c r="D46" s="4"/>
      <c r="E46" s="11" t="s">
        <v>672</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359</v>
      </c>
      <c r="W46" s="1" t="s">
        <v>1610</v>
      </c>
      <c r="X46" s="13"/>
      <c r="Y46" s="13"/>
      <c r="Z46" s="13"/>
      <c r="AA46" s="13"/>
      <c r="AB46" s="13"/>
      <c r="AC46" s="13"/>
      <c r="AD46" s="13"/>
      <c r="AE46" s="1" t="s">
        <v>1679</v>
      </c>
      <c r="AF46" s="1" t="s">
        <v>90</v>
      </c>
      <c r="AG46" s="13"/>
      <c r="AH46" s="14" t="s">
        <v>1610</v>
      </c>
      <c r="AI46" s="13"/>
      <c r="AJ46" s="13"/>
      <c r="AK46" s="13"/>
      <c r="AL46" s="13"/>
      <c r="AM46" s="13"/>
      <c r="AN46" s="13"/>
      <c r="AO46" s="28"/>
    </row>
    <row r="47" spans="1:41" s="10" customFormat="1" ht="23.25" customHeight="1">
      <c r="A47" s="4"/>
      <c r="B47" s="4"/>
      <c r="C47" s="4"/>
      <c r="D47" s="4"/>
      <c r="E47" s="11" t="s">
        <v>672</v>
      </c>
      <c r="F47" s="4"/>
      <c r="G47" s="4"/>
      <c r="H47" s="4"/>
      <c r="I47" s="4"/>
      <c r="J47" s="4"/>
      <c r="K47" s="4"/>
      <c r="L47" s="4"/>
      <c r="M47" s="4"/>
      <c r="N47" s="4" t="s">
        <v>1680</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359</v>
      </c>
      <c r="W47" s="1" t="s">
        <v>1610</v>
      </c>
      <c r="X47" s="13"/>
      <c r="Y47" s="13"/>
      <c r="Z47" s="13"/>
      <c r="AA47" s="13"/>
      <c r="AB47" s="13"/>
      <c r="AC47" s="1" t="s">
        <v>175</v>
      </c>
      <c r="AD47" s="13"/>
      <c r="AE47" s="1" t="s">
        <v>1681</v>
      </c>
      <c r="AF47" s="1" t="s">
        <v>90</v>
      </c>
      <c r="AG47" s="13"/>
      <c r="AH47" s="14" t="s">
        <v>1610</v>
      </c>
      <c r="AI47" s="13"/>
      <c r="AJ47" s="13"/>
      <c r="AK47" s="13"/>
      <c r="AL47" s="13"/>
      <c r="AM47" s="13"/>
      <c r="AN47" s="13"/>
      <c r="AO47" s="28"/>
    </row>
    <row r="48" spans="1:41" s="10" customFormat="1" ht="23.25" customHeight="1">
      <c r="A48" s="4"/>
      <c r="B48" s="4"/>
      <c r="C48" s="4"/>
      <c r="D48" s="4"/>
      <c r="E48" s="11" t="s">
        <v>672</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359</v>
      </c>
      <c r="W48" s="1" t="s">
        <v>1610</v>
      </c>
      <c r="X48" s="13"/>
      <c r="Y48" s="13"/>
      <c r="Z48" s="13"/>
      <c r="AA48" s="13"/>
      <c r="AB48" s="13"/>
      <c r="AC48" s="13"/>
      <c r="AD48" s="13"/>
      <c r="AE48" s="1" t="s">
        <v>1682</v>
      </c>
      <c r="AF48" s="1" t="s">
        <v>75</v>
      </c>
      <c r="AG48" s="13"/>
      <c r="AH48" s="14" t="s">
        <v>1610</v>
      </c>
      <c r="AI48" s="13"/>
      <c r="AJ48" s="13"/>
      <c r="AK48" s="13"/>
      <c r="AL48" s="13"/>
      <c r="AM48" s="13"/>
      <c r="AN48" s="13"/>
      <c r="AO48" s="28"/>
    </row>
    <row r="49" spans="1:41" s="10" customFormat="1" ht="23.25" customHeight="1">
      <c r="A49" s="4"/>
      <c r="B49" s="4"/>
      <c r="C49" s="4"/>
      <c r="D49" s="4"/>
      <c r="E49" s="11" t="s">
        <v>672</v>
      </c>
      <c r="F49" s="4"/>
      <c r="G49" s="4"/>
      <c r="H49" s="4"/>
      <c r="I49" s="4"/>
      <c r="J49" s="4"/>
      <c r="K49" s="4"/>
      <c r="L49" s="4"/>
      <c r="M49" s="4"/>
      <c r="N49" s="4" t="s">
        <v>1683</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359</v>
      </c>
      <c r="W49" s="1" t="s">
        <v>1610</v>
      </c>
      <c r="X49" s="13"/>
      <c r="Y49" s="13"/>
      <c r="Z49" s="13"/>
      <c r="AA49" s="13"/>
      <c r="AB49" s="13"/>
      <c r="AC49" s="1" t="s">
        <v>207</v>
      </c>
      <c r="AD49" s="13"/>
      <c r="AE49" s="1" t="s">
        <v>1684</v>
      </c>
      <c r="AF49" s="1" t="s">
        <v>75</v>
      </c>
      <c r="AG49" s="13"/>
      <c r="AH49" s="14" t="s">
        <v>1610</v>
      </c>
      <c r="AI49" s="13"/>
      <c r="AJ49" s="13"/>
      <c r="AK49" s="13"/>
      <c r="AL49" s="13"/>
      <c r="AM49" s="13"/>
      <c r="AN49" s="13"/>
      <c r="AO49" s="28"/>
    </row>
    <row r="50" spans="1:41" s="10" customFormat="1" ht="23.25" customHeight="1">
      <c r="A50" s="4"/>
      <c r="B50" s="4"/>
      <c r="C50" s="4"/>
      <c r="D50" s="4"/>
      <c r="E50" s="11" t="s">
        <v>672</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359</v>
      </c>
      <c r="W50" s="1" t="s">
        <v>1610</v>
      </c>
      <c r="X50" s="13"/>
      <c r="Y50" s="13"/>
      <c r="Z50" s="13"/>
      <c r="AA50" s="13"/>
      <c r="AB50" s="13"/>
      <c r="AC50" s="13"/>
      <c r="AD50" s="13"/>
      <c r="AE50" s="1" t="s">
        <v>1685</v>
      </c>
      <c r="AF50" s="1" t="s">
        <v>75</v>
      </c>
      <c r="AG50" s="13"/>
      <c r="AH50" s="14" t="s">
        <v>1610</v>
      </c>
      <c r="AI50" s="13"/>
      <c r="AJ50" s="13"/>
      <c r="AK50" s="13"/>
      <c r="AL50" s="13"/>
      <c r="AM50" s="13"/>
      <c r="AN50" s="13"/>
      <c r="AO50" s="28"/>
    </row>
    <row r="51" spans="1:41" s="10" customFormat="1" ht="23.25" customHeight="1">
      <c r="A51" s="4"/>
      <c r="B51" s="4"/>
      <c r="C51" s="4"/>
      <c r="D51" s="4"/>
      <c r="E51" s="11" t="s">
        <v>672</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359</v>
      </c>
      <c r="W51" s="1" t="s">
        <v>1610</v>
      </c>
      <c r="X51" s="13"/>
      <c r="Y51" s="13"/>
      <c r="Z51" s="13"/>
      <c r="AA51" s="13"/>
      <c r="AB51" s="13"/>
      <c r="AC51" s="13"/>
      <c r="AD51" s="1" t="s">
        <v>1625</v>
      </c>
      <c r="AE51" s="1" t="s">
        <v>1686</v>
      </c>
      <c r="AF51" s="1" t="s">
        <v>224</v>
      </c>
      <c r="AG51" s="13"/>
      <c r="AH51" s="14" t="s">
        <v>1610</v>
      </c>
      <c r="AI51" s="13"/>
      <c r="AJ51" s="13"/>
      <c r="AK51" s="13"/>
      <c r="AL51" s="13"/>
      <c r="AM51" s="13"/>
      <c r="AN51" s="13"/>
      <c r="AO51" s="28"/>
    </row>
    <row r="52" spans="1:41" s="10" customFormat="1" ht="23.25" customHeight="1">
      <c r="A52" s="4"/>
      <c r="B52" s="4"/>
      <c r="C52" s="4"/>
      <c r="D52" s="4"/>
      <c r="E52" s="11" t="s">
        <v>672</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359</v>
      </c>
      <c r="W52" s="1" t="s">
        <v>1610</v>
      </c>
      <c r="X52" s="13"/>
      <c r="Y52" s="13"/>
      <c r="Z52" s="13"/>
      <c r="AA52" s="13"/>
      <c r="AB52" s="13"/>
      <c r="AC52" s="13"/>
      <c r="AD52" s="1" t="s">
        <v>1625</v>
      </c>
      <c r="AE52" s="1" t="s">
        <v>1687</v>
      </c>
      <c r="AF52" s="1" t="s">
        <v>254</v>
      </c>
      <c r="AG52" s="13"/>
      <c r="AH52" s="14" t="s">
        <v>1610</v>
      </c>
      <c r="AI52" s="13"/>
      <c r="AJ52" s="13"/>
      <c r="AK52" s="13"/>
      <c r="AL52" s="13"/>
      <c r="AM52" s="13"/>
      <c r="AN52" s="13"/>
      <c r="AO52" s="28"/>
    </row>
    <row r="53" spans="1:41" s="10" customFormat="1" ht="23.25" customHeight="1">
      <c r="A53" s="4"/>
      <c r="B53" s="4"/>
      <c r="C53" s="4"/>
      <c r="D53" s="4"/>
      <c r="E53" s="11" t="s">
        <v>672</v>
      </c>
      <c r="F53" s="4"/>
      <c r="G53" s="4"/>
      <c r="H53" s="4"/>
      <c r="I53" s="4"/>
      <c r="J53" s="4"/>
      <c r="K53" s="4"/>
      <c r="L53" s="4"/>
      <c r="M53" s="4"/>
      <c r="N53" s="4" t="s">
        <v>1688</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359</v>
      </c>
      <c r="W53" s="1" t="s">
        <v>1610</v>
      </c>
      <c r="X53" s="13"/>
      <c r="Y53" s="13"/>
      <c r="Z53" s="13"/>
      <c r="AA53" s="13"/>
      <c r="AB53" s="13"/>
      <c r="AC53" s="1" t="s">
        <v>126</v>
      </c>
      <c r="AD53" s="1" t="s">
        <v>127</v>
      </c>
      <c r="AE53" s="1" t="s">
        <v>1689</v>
      </c>
      <c r="AF53" s="1" t="s">
        <v>75</v>
      </c>
      <c r="AG53" s="13"/>
      <c r="AH53" s="14" t="s">
        <v>1610</v>
      </c>
      <c r="AI53" s="13"/>
      <c r="AJ53" s="13"/>
      <c r="AK53" s="13"/>
      <c r="AL53" s="13"/>
      <c r="AM53" s="13"/>
      <c r="AN53" s="13"/>
      <c r="AO53" s="28"/>
    </row>
    <row r="54" spans="1:41" s="10" customFormat="1" ht="23.25" customHeight="1">
      <c r="A54" s="4"/>
      <c r="B54" s="4"/>
      <c r="C54" s="4"/>
      <c r="D54" s="4"/>
      <c r="E54" s="11" t="s">
        <v>672</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359</v>
      </c>
      <c r="W54" s="1" t="s">
        <v>1610</v>
      </c>
      <c r="X54" s="13"/>
      <c r="Y54" s="13"/>
      <c r="Z54" s="13"/>
      <c r="AA54" s="13"/>
      <c r="AB54" s="13"/>
      <c r="AC54" s="13"/>
      <c r="AD54" s="1" t="s">
        <v>127</v>
      </c>
      <c r="AE54" s="1" t="s">
        <v>1690</v>
      </c>
      <c r="AF54" s="1" t="s">
        <v>75</v>
      </c>
      <c r="AG54" s="13"/>
      <c r="AH54" s="14" t="s">
        <v>1610</v>
      </c>
      <c r="AI54" s="13"/>
      <c r="AJ54" s="13"/>
      <c r="AK54" s="13"/>
      <c r="AL54" s="13"/>
      <c r="AM54" s="13"/>
      <c r="AN54" s="13"/>
      <c r="AO54" s="28"/>
    </row>
    <row r="55" spans="1:41" s="10" customFormat="1" ht="23.25" customHeight="1">
      <c r="A55" s="4"/>
      <c r="B55" s="4"/>
      <c r="C55" s="4"/>
      <c r="D55" s="4"/>
      <c r="E55" s="11" t="s">
        <v>672</v>
      </c>
      <c r="F55" s="4"/>
      <c r="G55" s="4"/>
      <c r="H55" s="4"/>
      <c r="I55" s="4"/>
      <c r="J55" s="4"/>
      <c r="K55" s="4"/>
      <c r="L55" s="4"/>
      <c r="M55" s="4"/>
      <c r="N55" s="4" t="s">
        <v>1691</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359</v>
      </c>
      <c r="W55" s="1" t="s">
        <v>1610</v>
      </c>
      <c r="X55" s="13"/>
      <c r="Y55" s="13"/>
      <c r="Z55" s="13"/>
      <c r="AA55" s="13"/>
      <c r="AB55" s="13"/>
      <c r="AC55" s="1" t="s">
        <v>126</v>
      </c>
      <c r="AD55" s="1" t="s">
        <v>127</v>
      </c>
      <c r="AE55" s="1" t="s">
        <v>1692</v>
      </c>
      <c r="AF55" s="1" t="s">
        <v>75</v>
      </c>
      <c r="AG55" s="13"/>
      <c r="AH55" s="14" t="s">
        <v>1610</v>
      </c>
      <c r="AI55" s="13"/>
      <c r="AJ55" s="13"/>
      <c r="AK55" s="13"/>
      <c r="AL55" s="13"/>
      <c r="AM55" s="13"/>
      <c r="AN55" s="13"/>
      <c r="AO55" s="28"/>
    </row>
    <row r="56" spans="1:41" s="10" customFormat="1" ht="23.25" customHeight="1">
      <c r="A56" s="4"/>
      <c r="B56" s="4"/>
      <c r="C56" s="4"/>
      <c r="D56" s="4"/>
      <c r="E56" s="11" t="s">
        <v>672</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672</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359</v>
      </c>
      <c r="W57" s="1" t="s">
        <v>1610</v>
      </c>
      <c r="X57" s="13"/>
      <c r="Y57" s="13"/>
      <c r="Z57" s="13"/>
      <c r="AA57" s="13"/>
      <c r="AB57" s="13"/>
      <c r="AC57" s="13"/>
      <c r="AD57" s="1" t="s">
        <v>127</v>
      </c>
      <c r="AE57" s="1" t="s">
        <v>1693</v>
      </c>
      <c r="AF57" s="1" t="s">
        <v>75</v>
      </c>
      <c r="AG57" s="13"/>
      <c r="AH57" s="14" t="s">
        <v>1610</v>
      </c>
      <c r="AI57" s="13"/>
      <c r="AJ57" s="13"/>
      <c r="AK57" s="13"/>
      <c r="AL57" s="13"/>
      <c r="AM57" s="13"/>
      <c r="AN57" s="13"/>
      <c r="AO57" s="28"/>
    </row>
    <row r="58" spans="1:41" s="10" customFormat="1" ht="23.25" customHeight="1">
      <c r="A58" s="4"/>
      <c r="B58" s="4"/>
      <c r="C58" s="4"/>
      <c r="D58" s="4"/>
      <c r="E58" s="11" t="s">
        <v>672</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359</v>
      </c>
      <c r="W58" s="1" t="s">
        <v>1610</v>
      </c>
      <c r="X58" s="13"/>
      <c r="Y58" s="13"/>
      <c r="Z58" s="13"/>
      <c r="AA58" s="13"/>
      <c r="AB58" s="13"/>
      <c r="AC58" s="13"/>
      <c r="AD58" s="1" t="s">
        <v>127</v>
      </c>
      <c r="AE58" s="1" t="s">
        <v>1694</v>
      </c>
      <c r="AF58" s="1" t="s">
        <v>75</v>
      </c>
      <c r="AG58" s="13"/>
      <c r="AH58" s="14" t="s">
        <v>1610</v>
      </c>
      <c r="AI58" s="13"/>
      <c r="AJ58" s="13"/>
      <c r="AK58" s="13"/>
      <c r="AL58" s="13"/>
      <c r="AM58" s="13"/>
      <c r="AN58" s="13"/>
      <c r="AO58" s="28"/>
    </row>
    <row r="59" spans="1:41" s="10" customFormat="1" ht="23.25" customHeight="1">
      <c r="A59" s="4"/>
      <c r="B59" s="4"/>
      <c r="C59" s="4"/>
      <c r="D59" s="4"/>
      <c r="E59" s="11" t="s">
        <v>672</v>
      </c>
      <c r="F59" s="4"/>
      <c r="G59" s="4"/>
      <c r="H59" s="4"/>
      <c r="I59" s="4"/>
      <c r="J59" s="4"/>
      <c r="K59" s="4"/>
      <c r="L59" s="4"/>
      <c r="M59" s="4"/>
      <c r="N59" s="4" t="s">
        <v>1695</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359</v>
      </c>
      <c r="W59" s="1" t="s">
        <v>1610</v>
      </c>
      <c r="X59" s="13"/>
      <c r="Y59" s="13"/>
      <c r="Z59" s="13"/>
      <c r="AA59" s="13"/>
      <c r="AB59" s="13"/>
      <c r="AC59" s="1" t="s">
        <v>1625</v>
      </c>
      <c r="AD59" s="1" t="s">
        <v>1625</v>
      </c>
      <c r="AE59" s="1" t="s">
        <v>1696</v>
      </c>
      <c r="AF59" s="1" t="s">
        <v>224</v>
      </c>
      <c r="AG59" s="13"/>
      <c r="AH59" s="14" t="s">
        <v>1610</v>
      </c>
      <c r="AI59" s="13"/>
      <c r="AJ59" s="13"/>
      <c r="AK59" s="13"/>
      <c r="AL59" s="13"/>
      <c r="AM59" s="13"/>
      <c r="AN59" s="13"/>
      <c r="AO59" s="28"/>
    </row>
    <row r="60" spans="1:41" s="10" customFormat="1" ht="23.25" customHeight="1">
      <c r="A60" s="4"/>
      <c r="B60" s="4"/>
      <c r="C60" s="4"/>
      <c r="D60" s="4"/>
      <c r="E60" s="11" t="s">
        <v>672</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359</v>
      </c>
      <c r="W60" s="1" t="s">
        <v>1610</v>
      </c>
      <c r="X60" s="13"/>
      <c r="Y60" s="13"/>
      <c r="Z60" s="13"/>
      <c r="AA60" s="13"/>
      <c r="AB60" s="13"/>
      <c r="AC60" s="13"/>
      <c r="AD60" s="1" t="s">
        <v>1625</v>
      </c>
      <c r="AE60" s="1" t="s">
        <v>1697</v>
      </c>
      <c r="AF60" s="1" t="s">
        <v>90</v>
      </c>
      <c r="AG60" s="13"/>
      <c r="AH60" s="14" t="s">
        <v>1610</v>
      </c>
      <c r="AI60" s="13"/>
      <c r="AJ60" s="13"/>
      <c r="AK60" s="13"/>
      <c r="AL60" s="13"/>
      <c r="AM60" s="13"/>
      <c r="AN60" s="13"/>
      <c r="AO60" s="28"/>
    </row>
    <row r="61" spans="1:41" s="10" customFormat="1" ht="23.25" customHeight="1">
      <c r="A61" s="4"/>
      <c r="B61" s="4"/>
      <c r="C61" s="4"/>
      <c r="D61" s="4"/>
      <c r="E61" s="11" t="s">
        <v>672</v>
      </c>
      <c r="F61" s="4"/>
      <c r="G61" s="4"/>
      <c r="H61" s="4"/>
      <c r="I61" s="4"/>
      <c r="J61" s="4"/>
      <c r="K61" s="4"/>
      <c r="L61" s="4"/>
      <c r="M61" s="4"/>
      <c r="N61" s="4" t="s">
        <v>1698</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359</v>
      </c>
      <c r="W61" s="1" t="s">
        <v>1610</v>
      </c>
      <c r="X61" s="13"/>
      <c r="Y61" s="13"/>
      <c r="Z61" s="13"/>
      <c r="AA61" s="13"/>
      <c r="AB61" s="13"/>
      <c r="AC61" s="1" t="s">
        <v>175</v>
      </c>
      <c r="AD61" s="13"/>
      <c r="AE61" s="1" t="s">
        <v>1699</v>
      </c>
      <c r="AF61" s="1" t="s">
        <v>75</v>
      </c>
      <c r="AG61" s="13"/>
      <c r="AH61" s="14" t="s">
        <v>1610</v>
      </c>
      <c r="AI61" s="13"/>
      <c r="AJ61" s="13"/>
      <c r="AK61" s="13"/>
      <c r="AL61" s="13"/>
      <c r="AM61" s="13"/>
      <c r="AN61" s="13"/>
      <c r="AO61" s="28"/>
    </row>
    <row r="62" spans="1:41" s="10" customFormat="1" ht="23.25" customHeight="1">
      <c r="A62" s="4"/>
      <c r="B62" s="4"/>
      <c r="C62" s="4"/>
      <c r="D62" s="4"/>
      <c r="E62" s="11" t="s">
        <v>672</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359</v>
      </c>
      <c r="W62" s="1" t="s">
        <v>1610</v>
      </c>
      <c r="X62" s="13"/>
      <c r="Y62" s="13"/>
      <c r="Z62" s="13"/>
      <c r="AA62" s="13"/>
      <c r="AB62" s="13"/>
      <c r="AC62" s="13"/>
      <c r="AD62" s="13"/>
      <c r="AE62" s="1" t="s">
        <v>1700</v>
      </c>
      <c r="AF62" s="1" t="s">
        <v>75</v>
      </c>
      <c r="AG62" s="13"/>
      <c r="AH62" s="14" t="s">
        <v>1610</v>
      </c>
      <c r="AI62" s="13"/>
      <c r="AJ62" s="13"/>
      <c r="AK62" s="13"/>
      <c r="AL62" s="13"/>
      <c r="AM62" s="13"/>
      <c r="AN62" s="13"/>
      <c r="AO62" s="28"/>
    </row>
    <row r="63" spans="1:41" s="10" customFormat="1" ht="23.25" customHeight="1">
      <c r="A63" s="4"/>
      <c r="B63" s="4"/>
      <c r="C63" s="4"/>
      <c r="D63" s="4"/>
      <c r="E63" s="11" t="s">
        <v>672</v>
      </c>
      <c r="F63" s="4"/>
      <c r="G63" s="4"/>
      <c r="H63" s="4"/>
      <c r="I63" s="4"/>
      <c r="J63" s="4"/>
      <c r="K63" s="4"/>
      <c r="L63" s="4"/>
      <c r="M63" s="4"/>
      <c r="N63" s="4" t="s">
        <v>1701</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359</v>
      </c>
      <c r="W63" s="1" t="s">
        <v>1610</v>
      </c>
      <c r="X63" s="13"/>
      <c r="Y63" s="13"/>
      <c r="Z63" s="13"/>
      <c r="AA63" s="13"/>
      <c r="AB63" s="13"/>
      <c r="AC63" s="1" t="s">
        <v>175</v>
      </c>
      <c r="AD63" s="13"/>
      <c r="AE63" s="1" t="s">
        <v>1702</v>
      </c>
      <c r="AF63" s="1" t="s">
        <v>224</v>
      </c>
      <c r="AG63" s="13"/>
      <c r="AH63" s="14" t="s">
        <v>1610</v>
      </c>
      <c r="AI63" s="13"/>
      <c r="AJ63" s="13"/>
      <c r="AK63" s="13"/>
      <c r="AL63" s="13"/>
      <c r="AM63" s="13"/>
      <c r="AN63" s="13"/>
      <c r="AO63" s="28"/>
    </row>
    <row r="64" spans="1:41" s="10" customFormat="1" ht="23.25" customHeight="1">
      <c r="A64" s="4"/>
      <c r="B64" s="4"/>
      <c r="C64" s="4"/>
      <c r="D64" s="4"/>
      <c r="E64" s="11" t="s">
        <v>672</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359</v>
      </c>
      <c r="W64" s="1" t="s">
        <v>1610</v>
      </c>
      <c r="X64" s="13"/>
      <c r="Y64" s="13"/>
      <c r="Z64" s="13"/>
      <c r="AA64" s="13"/>
      <c r="AB64" s="13"/>
      <c r="AC64" s="13"/>
      <c r="AD64" s="13"/>
      <c r="AE64" s="1" t="s">
        <v>1703</v>
      </c>
      <c r="AF64" s="1" t="s">
        <v>90</v>
      </c>
      <c r="AG64" s="13"/>
      <c r="AH64" s="14" t="s">
        <v>1610</v>
      </c>
      <c r="AI64" s="13"/>
      <c r="AJ64" s="13"/>
      <c r="AK64" s="13"/>
      <c r="AL64" s="13"/>
      <c r="AM64" s="13"/>
      <c r="AN64" s="13"/>
      <c r="AO64" s="28"/>
    </row>
    <row r="65" spans="1:41" s="10" customFormat="1" ht="23.25" customHeight="1">
      <c r="A65" s="4"/>
      <c r="B65" s="4"/>
      <c r="C65" s="4"/>
      <c r="D65" s="4"/>
      <c r="E65" s="11" t="s">
        <v>672</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359</v>
      </c>
      <c r="W65" s="1" t="s">
        <v>1610</v>
      </c>
      <c r="X65" s="13"/>
      <c r="Y65" s="13"/>
      <c r="Z65" s="13"/>
      <c r="AA65" s="13"/>
      <c r="AB65" s="13"/>
      <c r="AC65" s="13"/>
      <c r="AD65" s="1" t="s">
        <v>1631</v>
      </c>
      <c r="AE65" s="1" t="s">
        <v>1704</v>
      </c>
      <c r="AF65" s="1" t="s">
        <v>90</v>
      </c>
      <c r="AG65" s="13"/>
      <c r="AH65" s="14" t="s">
        <v>1610</v>
      </c>
      <c r="AI65" s="13"/>
      <c r="AJ65" s="13"/>
      <c r="AK65" s="13"/>
      <c r="AL65" s="13"/>
      <c r="AM65" s="13"/>
      <c r="AN65" s="13"/>
      <c r="AO65" s="28"/>
    </row>
    <row r="66" spans="1:41" s="10" customFormat="1" ht="23.25" customHeight="1">
      <c r="A66" s="4"/>
      <c r="B66" s="4"/>
      <c r="C66" s="4"/>
      <c r="D66" s="4"/>
      <c r="E66" s="11" t="s">
        <v>672</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359</v>
      </c>
      <c r="W66" s="1" t="s">
        <v>1610</v>
      </c>
      <c r="X66" s="13"/>
      <c r="Y66" s="13"/>
      <c r="Z66" s="13"/>
      <c r="AA66" s="13"/>
      <c r="AB66" s="13"/>
      <c r="AC66" s="13"/>
      <c r="AD66" s="13"/>
      <c r="AE66" s="1" t="s">
        <v>1705</v>
      </c>
      <c r="AF66" s="1" t="s">
        <v>75</v>
      </c>
      <c r="AG66" s="13"/>
      <c r="AH66" s="14" t="s">
        <v>1610</v>
      </c>
      <c r="AI66" s="13"/>
      <c r="AJ66" s="13"/>
      <c r="AK66" s="13"/>
      <c r="AL66" s="13"/>
      <c r="AM66" s="13"/>
      <c r="AN66" s="13"/>
      <c r="AO66" s="28"/>
    </row>
    <row r="67" spans="1:41" s="10" customFormat="1" ht="23.25" customHeight="1">
      <c r="A67" s="4"/>
      <c r="B67" s="4"/>
      <c r="C67" s="4"/>
      <c r="D67" s="4"/>
      <c r="E67" s="11" t="s">
        <v>672</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672</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359</v>
      </c>
      <c r="W68" s="1" t="s">
        <v>1610</v>
      </c>
      <c r="X68" s="13"/>
      <c r="Y68" s="13"/>
      <c r="Z68" s="13"/>
      <c r="AA68" s="13"/>
      <c r="AB68" s="13"/>
      <c r="AC68" s="13"/>
      <c r="AD68" s="13"/>
      <c r="AE68" s="1" t="s">
        <v>256</v>
      </c>
      <c r="AF68" s="1" t="s">
        <v>75</v>
      </c>
      <c r="AG68" s="13"/>
      <c r="AH68" s="14" t="s">
        <v>1610</v>
      </c>
      <c r="AI68" s="13"/>
      <c r="AJ68" s="13"/>
      <c r="AK68" s="13"/>
      <c r="AL68" s="13"/>
      <c r="AM68" s="13"/>
      <c r="AN68" s="13"/>
      <c r="AO68" s="28"/>
    </row>
    <row r="69" spans="1:41" s="10" customFormat="1" ht="23.25" customHeight="1">
      <c r="A69" s="4"/>
      <c r="B69" s="4"/>
      <c r="C69" s="4"/>
      <c r="D69" s="4"/>
      <c r="E69" s="11" t="s">
        <v>672</v>
      </c>
      <c r="F69" s="4"/>
      <c r="G69" s="4"/>
      <c r="H69" s="4"/>
      <c r="I69" s="4"/>
      <c r="J69" s="4"/>
      <c r="K69" s="4"/>
      <c r="L69" s="4"/>
      <c r="M69" s="4"/>
      <c r="N69" s="4" t="s">
        <v>1706</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359</v>
      </c>
      <c r="W69" s="1" t="s">
        <v>1610</v>
      </c>
      <c r="X69" s="13"/>
      <c r="Y69" s="13"/>
      <c r="Z69" s="13"/>
      <c r="AA69" s="13"/>
      <c r="AB69" s="13"/>
      <c r="AC69" s="1" t="s">
        <v>207</v>
      </c>
      <c r="AD69" s="13"/>
      <c r="AE69" s="1" t="s">
        <v>1707</v>
      </c>
      <c r="AF69" s="1" t="s">
        <v>75</v>
      </c>
      <c r="AG69" s="13"/>
      <c r="AH69" s="14" t="s">
        <v>1610</v>
      </c>
      <c r="AI69" s="13"/>
      <c r="AJ69" s="13"/>
      <c r="AK69" s="13"/>
      <c r="AL69" s="13"/>
      <c r="AM69" s="13"/>
      <c r="AN69" s="13"/>
      <c r="AO69" s="28"/>
    </row>
    <row r="70" spans="1:41" s="10" customFormat="1" ht="23.25" customHeight="1">
      <c r="A70" s="4"/>
      <c r="B70" s="4"/>
      <c r="C70" s="4"/>
      <c r="D70" s="4"/>
      <c r="E70" s="11" t="s">
        <v>672</v>
      </c>
      <c r="F70" s="4"/>
      <c r="G70" s="4"/>
      <c r="H70" s="4"/>
      <c r="I70" s="4"/>
      <c r="J70" s="4"/>
      <c r="K70" s="4"/>
      <c r="L70" s="4"/>
      <c r="M70" s="4"/>
      <c r="N70" s="4" t="s">
        <v>1708</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359</v>
      </c>
      <c r="W70" s="1" t="s">
        <v>1610</v>
      </c>
      <c r="X70" s="13"/>
      <c r="Y70" s="13"/>
      <c r="Z70" s="13"/>
      <c r="AA70" s="13"/>
      <c r="AB70" s="13"/>
      <c r="AC70" s="1" t="s">
        <v>126</v>
      </c>
      <c r="AD70" s="1" t="s">
        <v>127</v>
      </c>
      <c r="AE70" s="1" t="s">
        <v>1709</v>
      </c>
      <c r="AF70" s="1" t="s">
        <v>75</v>
      </c>
      <c r="AG70" s="13"/>
      <c r="AH70" s="14" t="s">
        <v>1610</v>
      </c>
      <c r="AI70" s="13"/>
      <c r="AJ70" s="13"/>
      <c r="AK70" s="13"/>
      <c r="AL70" s="13"/>
      <c r="AM70" s="13"/>
      <c r="AN70" s="13"/>
      <c r="AO70" s="28"/>
    </row>
    <row r="71" spans="1:41" s="10" customFormat="1" ht="23.25" customHeight="1">
      <c r="A71" s="4"/>
      <c r="B71" s="4"/>
      <c r="C71" s="4"/>
      <c r="D71" s="4"/>
      <c r="E71" s="11" t="s">
        <v>672</v>
      </c>
      <c r="F71" s="4"/>
      <c r="G71" s="4"/>
      <c r="H71" s="4"/>
      <c r="I71" s="4"/>
      <c r="J71" s="4"/>
      <c r="K71" s="4"/>
      <c r="L71" s="4"/>
      <c r="M71" s="4"/>
      <c r="N71" s="4" t="s">
        <v>1710</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359</v>
      </c>
      <c r="W71" s="1" t="s">
        <v>1610</v>
      </c>
      <c r="X71" s="13"/>
      <c r="Y71" s="13"/>
      <c r="Z71" s="13"/>
      <c r="AA71" s="13"/>
      <c r="AB71" s="13"/>
      <c r="AC71" s="1" t="s">
        <v>376</v>
      </c>
      <c r="AD71" s="13"/>
      <c r="AE71" s="1" t="s">
        <v>1711</v>
      </c>
      <c r="AF71" s="1" t="s">
        <v>75</v>
      </c>
      <c r="AG71" s="13"/>
      <c r="AH71" s="14" t="s">
        <v>1610</v>
      </c>
      <c r="AI71" s="13"/>
      <c r="AJ71" s="13"/>
      <c r="AK71" s="13"/>
      <c r="AL71" s="13"/>
      <c r="AM71" s="13"/>
      <c r="AN71" s="13"/>
      <c r="AO71" s="28"/>
    </row>
    <row r="72" spans="1:41" s="10" customFormat="1" ht="23.25" customHeight="1">
      <c r="A72" s="4"/>
      <c r="B72" s="4"/>
      <c r="C72" s="4"/>
      <c r="D72" s="4"/>
      <c r="E72" s="11" t="s">
        <v>672</v>
      </c>
      <c r="F72" s="4"/>
      <c r="G72" s="4"/>
      <c r="H72" s="4"/>
      <c r="I72" s="4"/>
      <c r="J72" s="4"/>
      <c r="K72" s="4"/>
      <c r="L72" s="4"/>
      <c r="M72" s="4"/>
      <c r="N72" s="4" t="s">
        <v>1712</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359</v>
      </c>
      <c r="W72" s="1" t="s">
        <v>1610</v>
      </c>
      <c r="X72" s="13"/>
      <c r="Y72" s="13"/>
      <c r="Z72" s="13"/>
      <c r="AA72" s="13"/>
      <c r="AB72" s="13"/>
      <c r="AC72" s="1" t="s">
        <v>175</v>
      </c>
      <c r="AD72" s="13"/>
      <c r="AE72" s="1" t="s">
        <v>1713</v>
      </c>
      <c r="AF72" s="1" t="s">
        <v>75</v>
      </c>
      <c r="AG72" s="13"/>
      <c r="AH72" s="14" t="s">
        <v>1610</v>
      </c>
      <c r="AI72" s="13"/>
      <c r="AJ72" s="13"/>
      <c r="AK72" s="13"/>
      <c r="AL72" s="13"/>
      <c r="AM72" s="13"/>
      <c r="AN72" s="13"/>
      <c r="AO72" s="28"/>
    </row>
    <row r="73" spans="1:41" s="10" customFormat="1" ht="23.25" customHeight="1">
      <c r="A73" s="4"/>
      <c r="B73" s="4"/>
      <c r="C73" s="4"/>
      <c r="D73" s="4"/>
      <c r="E73" s="11" t="s">
        <v>672</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359</v>
      </c>
      <c r="W73" s="1" t="s">
        <v>1610</v>
      </c>
      <c r="X73" s="13"/>
      <c r="Y73" s="13"/>
      <c r="Z73" s="13"/>
      <c r="AA73" s="13"/>
      <c r="AB73" s="13"/>
      <c r="AC73" s="13"/>
      <c r="AD73" s="1" t="s">
        <v>1631</v>
      </c>
      <c r="AE73" s="1" t="s">
        <v>1714</v>
      </c>
      <c r="AF73" s="1" t="s">
        <v>90</v>
      </c>
      <c r="AG73" s="13"/>
      <c r="AH73" s="14" t="s">
        <v>1610</v>
      </c>
      <c r="AI73" s="13"/>
      <c r="AJ73" s="13"/>
      <c r="AK73" s="13"/>
      <c r="AL73" s="13"/>
      <c r="AM73" s="13"/>
      <c r="AN73" s="13"/>
      <c r="AO73" s="28"/>
    </row>
    <row r="74" spans="1:41" s="10" customFormat="1" ht="23.25" customHeight="1">
      <c r="A74" s="4"/>
      <c r="B74" s="4"/>
      <c r="C74" s="4"/>
      <c r="D74" s="4"/>
      <c r="E74" s="11" t="s">
        <v>672</v>
      </c>
      <c r="F74" s="4"/>
      <c r="G74" s="4"/>
      <c r="H74" s="4"/>
      <c r="I74" s="4"/>
      <c r="J74" s="4"/>
      <c r="K74" s="4"/>
      <c r="L74" s="4"/>
      <c r="M74" s="4"/>
      <c r="N74" s="4" t="s">
        <v>1715</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359</v>
      </c>
      <c r="W74" s="1" t="s">
        <v>1610</v>
      </c>
      <c r="X74" s="13"/>
      <c r="Y74" s="13"/>
      <c r="Z74" s="13"/>
      <c r="AA74" s="13"/>
      <c r="AB74" s="13"/>
      <c r="AC74" s="1" t="s">
        <v>712</v>
      </c>
      <c r="AD74" s="1" t="s">
        <v>1716</v>
      </c>
      <c r="AE74" s="1" t="s">
        <v>1717</v>
      </c>
      <c r="AF74" s="1" t="s">
        <v>90</v>
      </c>
      <c r="AG74" s="13"/>
      <c r="AH74" s="14" t="s">
        <v>1610</v>
      </c>
      <c r="AI74" s="13"/>
      <c r="AJ74" s="13"/>
      <c r="AK74" s="13"/>
      <c r="AL74" s="13"/>
      <c r="AM74" s="13"/>
      <c r="AN74" s="13"/>
      <c r="AO74" s="28"/>
    </row>
    <row r="75" spans="1:41" s="10" customFormat="1" ht="23.25" customHeight="1">
      <c r="A75" s="4"/>
      <c r="B75" s="4"/>
      <c r="C75" s="4"/>
      <c r="D75" s="4"/>
      <c r="E75" s="11" t="s">
        <v>672</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359</v>
      </c>
      <c r="W75" s="1" t="s">
        <v>1610</v>
      </c>
      <c r="X75" s="13"/>
      <c r="Y75" s="13"/>
      <c r="Z75" s="13"/>
      <c r="AA75" s="13"/>
      <c r="AB75" s="13"/>
      <c r="AC75" s="13"/>
      <c r="AD75" s="13"/>
      <c r="AE75" s="1" t="s">
        <v>1718</v>
      </c>
      <c r="AF75" s="1" t="s">
        <v>75</v>
      </c>
      <c r="AG75" s="13"/>
      <c r="AH75" s="14" t="s">
        <v>1610</v>
      </c>
      <c r="AI75" s="13"/>
      <c r="AJ75" s="13"/>
      <c r="AK75" s="13"/>
      <c r="AL75" s="13"/>
      <c r="AM75" s="13"/>
      <c r="AN75" s="13"/>
      <c r="AO75" s="28"/>
    </row>
    <row r="76" spans="1:41" s="10" customFormat="1" ht="23.25" customHeight="1">
      <c r="A76" s="4"/>
      <c r="B76" s="4"/>
      <c r="C76" s="4"/>
      <c r="D76" s="4"/>
      <c r="E76" s="11" t="s">
        <v>672</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359</v>
      </c>
      <c r="W76" s="1" t="s">
        <v>1610</v>
      </c>
      <c r="X76" s="13"/>
      <c r="Y76" s="13"/>
      <c r="Z76" s="13"/>
      <c r="AA76" s="13"/>
      <c r="AB76" s="13"/>
      <c r="AC76" s="13"/>
      <c r="AD76" s="13"/>
      <c r="AE76" s="1" t="s">
        <v>1719</v>
      </c>
      <c r="AF76" s="1" t="s">
        <v>224</v>
      </c>
      <c r="AG76" s="13"/>
      <c r="AH76" s="14" t="s">
        <v>1610</v>
      </c>
      <c r="AI76" s="13"/>
      <c r="AJ76" s="13"/>
      <c r="AK76" s="13"/>
      <c r="AL76" s="13"/>
      <c r="AM76" s="13"/>
      <c r="AN76" s="13"/>
      <c r="AO76" s="28"/>
    </row>
    <row r="77" spans="1:41" s="10" customFormat="1" ht="23.25" customHeight="1">
      <c r="A77" s="4"/>
      <c r="B77" s="4"/>
      <c r="C77" s="4"/>
      <c r="D77" s="4"/>
      <c r="E77" s="11" t="s">
        <v>672</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359</v>
      </c>
      <c r="W77" s="1" t="s">
        <v>1610</v>
      </c>
      <c r="X77" s="13"/>
      <c r="Y77" s="13"/>
      <c r="Z77" s="13"/>
      <c r="AA77" s="13"/>
      <c r="AB77" s="13"/>
      <c r="AC77" s="13"/>
      <c r="AD77" s="1" t="s">
        <v>1625</v>
      </c>
      <c r="AE77" s="1" t="s">
        <v>1720</v>
      </c>
      <c r="AF77" s="1" t="s">
        <v>224</v>
      </c>
      <c r="AG77" s="13"/>
      <c r="AH77" s="14" t="s">
        <v>1610</v>
      </c>
      <c r="AI77" s="13"/>
      <c r="AJ77" s="13"/>
      <c r="AK77" s="13"/>
      <c r="AL77" s="13"/>
      <c r="AM77" s="13"/>
      <c r="AN77" s="13"/>
      <c r="AO77" s="28"/>
    </row>
    <row r="78" spans="1:41" s="10" customFormat="1" ht="23.25" customHeight="1">
      <c r="A78" s="4"/>
      <c r="B78" s="4"/>
      <c r="C78" s="4"/>
      <c r="D78" s="4"/>
      <c r="E78" s="11" t="s">
        <v>672</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359</v>
      </c>
      <c r="W78" s="1" t="s">
        <v>1610</v>
      </c>
      <c r="X78" s="13"/>
      <c r="Y78" s="13"/>
      <c r="Z78" s="13"/>
      <c r="AA78" s="13"/>
      <c r="AB78" s="13"/>
      <c r="AC78" s="13"/>
      <c r="AD78" s="1" t="s">
        <v>1625</v>
      </c>
      <c r="AE78" s="1" t="s">
        <v>1721</v>
      </c>
      <c r="AF78" s="1" t="s">
        <v>254</v>
      </c>
      <c r="AG78" s="13"/>
      <c r="AH78" s="14" t="s">
        <v>1610</v>
      </c>
      <c r="AI78" s="13"/>
      <c r="AJ78" s="13"/>
      <c r="AK78" s="13"/>
      <c r="AL78" s="13"/>
      <c r="AM78" s="13"/>
      <c r="AN78" s="13"/>
      <c r="AO78" s="28"/>
    </row>
    <row r="79" spans="1:41" s="10" customFormat="1" ht="23.25" customHeight="1">
      <c r="A79" s="4"/>
      <c r="B79" s="4"/>
      <c r="C79" s="4"/>
      <c r="D79" s="4"/>
      <c r="E79" s="11" t="s">
        <v>672</v>
      </c>
      <c r="F79" s="4"/>
      <c r="G79" s="4"/>
      <c r="H79" s="4"/>
      <c r="I79" s="4"/>
      <c r="J79" s="4"/>
      <c r="K79" s="4"/>
      <c r="L79" s="4"/>
      <c r="M79" s="4"/>
      <c r="N79" s="4" t="s">
        <v>1722</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359</v>
      </c>
      <c r="W79" s="1" t="s">
        <v>1610</v>
      </c>
      <c r="X79" s="13"/>
      <c r="Y79" s="13"/>
      <c r="Z79" s="13"/>
      <c r="AA79" s="13"/>
      <c r="AB79" s="13"/>
      <c r="AC79" s="1" t="s">
        <v>207</v>
      </c>
      <c r="AD79" s="13"/>
      <c r="AE79" s="1" t="s">
        <v>1723</v>
      </c>
      <c r="AF79" s="1" t="s">
        <v>75</v>
      </c>
      <c r="AG79" s="13"/>
      <c r="AH79" s="14" t="s">
        <v>1610</v>
      </c>
      <c r="AI79" s="13"/>
      <c r="AJ79" s="13"/>
      <c r="AK79" s="13"/>
      <c r="AL79" s="13"/>
      <c r="AM79" s="13"/>
      <c r="AN79" s="13"/>
      <c r="AO79" s="28"/>
    </row>
    <row r="80" spans="1:41" s="10" customFormat="1" ht="23.25" customHeight="1">
      <c r="A80" s="4"/>
      <c r="B80" s="4"/>
      <c r="C80" s="4"/>
      <c r="D80" s="4"/>
      <c r="E80" s="11" t="s">
        <v>672</v>
      </c>
      <c r="F80" s="4"/>
      <c r="G80" s="4"/>
      <c r="H80" s="4"/>
      <c r="I80" s="4"/>
      <c r="J80" s="4"/>
      <c r="K80" s="4"/>
      <c r="L80" s="4"/>
      <c r="M80" s="4"/>
      <c r="N80" s="4" t="s">
        <v>1724</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359</v>
      </c>
      <c r="W80" s="1" t="s">
        <v>1610</v>
      </c>
      <c r="X80" s="13"/>
      <c r="Y80" s="13"/>
      <c r="Z80" s="13"/>
      <c r="AA80" s="13"/>
      <c r="AB80" s="13"/>
      <c r="AC80" s="1" t="s">
        <v>175</v>
      </c>
      <c r="AD80" s="13"/>
      <c r="AE80" s="1" t="s">
        <v>1725</v>
      </c>
      <c r="AF80" s="1" t="s">
        <v>75</v>
      </c>
      <c r="AG80" s="13"/>
      <c r="AH80" s="14" t="s">
        <v>1610</v>
      </c>
      <c r="AI80" s="13"/>
      <c r="AJ80" s="13"/>
      <c r="AK80" s="13"/>
      <c r="AL80" s="13"/>
      <c r="AM80" s="13"/>
      <c r="AN80" s="13"/>
      <c r="AO80" s="28"/>
    </row>
    <row r="81" spans="1:41" s="10" customFormat="1" ht="23.25" customHeight="1">
      <c r="A81" s="4"/>
      <c r="B81" s="4"/>
      <c r="C81" s="4"/>
      <c r="D81" s="4"/>
      <c r="E81" s="11" t="s">
        <v>672</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359</v>
      </c>
      <c r="W81" s="1" t="s">
        <v>1610</v>
      </c>
      <c r="X81" s="13"/>
      <c r="Y81" s="13"/>
      <c r="Z81" s="13"/>
      <c r="AA81" s="13"/>
      <c r="AB81" s="13"/>
      <c r="AC81" s="13"/>
      <c r="AD81" s="1" t="s">
        <v>1625</v>
      </c>
      <c r="AE81" s="1" t="s">
        <v>1726</v>
      </c>
      <c r="AF81" s="1" t="s">
        <v>224</v>
      </c>
      <c r="AG81" s="13"/>
      <c r="AH81" s="14" t="s">
        <v>1610</v>
      </c>
      <c r="AI81" s="13"/>
      <c r="AJ81" s="13"/>
      <c r="AK81" s="13"/>
      <c r="AL81" s="13"/>
      <c r="AM81" s="13"/>
      <c r="AN81" s="13"/>
      <c r="AO81" s="28"/>
    </row>
    <row r="82" spans="1:41" s="10" customFormat="1" ht="23.25" customHeight="1">
      <c r="A82" s="4"/>
      <c r="B82" s="4"/>
      <c r="C82" s="4"/>
      <c r="D82" s="4"/>
      <c r="E82" s="11" t="s">
        <v>672</v>
      </c>
      <c r="F82" s="4"/>
      <c r="G82" s="4"/>
      <c r="H82" s="4"/>
      <c r="I82" s="4"/>
      <c r="J82" s="4"/>
      <c r="K82" s="4"/>
      <c r="L82" s="4"/>
      <c r="M82" s="4"/>
      <c r="N82" s="4" t="s">
        <v>1727</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359</v>
      </c>
      <c r="W82" s="1" t="s">
        <v>1610</v>
      </c>
      <c r="X82" s="13"/>
      <c r="Y82" s="13"/>
      <c r="Z82" s="13"/>
      <c r="AA82" s="13"/>
      <c r="AB82" s="13"/>
      <c r="AC82" s="1" t="s">
        <v>175</v>
      </c>
      <c r="AD82" s="13"/>
      <c r="AE82" s="1" t="s">
        <v>1728</v>
      </c>
      <c r="AF82" s="1" t="s">
        <v>90</v>
      </c>
      <c r="AG82" s="13"/>
      <c r="AH82" s="14" t="s">
        <v>1610</v>
      </c>
      <c r="AI82" s="13"/>
      <c r="AJ82" s="13"/>
      <c r="AK82" s="13"/>
      <c r="AL82" s="13"/>
      <c r="AM82" s="13"/>
      <c r="AN82" s="13"/>
      <c r="AO82" s="28"/>
    </row>
    <row r="83" spans="1:41" s="10" customFormat="1" ht="23.25" customHeight="1">
      <c r="A83" s="4"/>
      <c r="B83" s="4"/>
      <c r="C83" s="4"/>
      <c r="D83" s="4"/>
      <c r="E83" s="11" t="s">
        <v>672</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359</v>
      </c>
      <c r="W83" s="1" t="s">
        <v>1610</v>
      </c>
      <c r="X83" s="13"/>
      <c r="Y83" s="13"/>
      <c r="Z83" s="13"/>
      <c r="AA83" s="13"/>
      <c r="AB83" s="13"/>
      <c r="AC83" s="13"/>
      <c r="AD83" s="13"/>
      <c r="AE83" s="1" t="s">
        <v>1729</v>
      </c>
      <c r="AF83" s="1" t="s">
        <v>75</v>
      </c>
      <c r="AG83" s="13"/>
      <c r="AH83" s="14" t="s">
        <v>1610</v>
      </c>
      <c r="AI83" s="13"/>
      <c r="AJ83" s="13"/>
      <c r="AK83" s="13"/>
      <c r="AL83" s="13"/>
      <c r="AM83" s="13"/>
      <c r="AN83" s="13"/>
      <c r="AO83" s="28"/>
    </row>
    <row r="84" spans="1:41" s="10" customFormat="1" ht="23.25" customHeight="1">
      <c r="A84" s="4"/>
      <c r="B84" s="4"/>
      <c r="C84" s="4"/>
      <c r="D84" s="4"/>
      <c r="E84" s="11" t="s">
        <v>672</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672</v>
      </c>
      <c r="F85" s="4"/>
      <c r="G85" s="4"/>
      <c r="H85" s="4"/>
      <c r="I85" s="4"/>
      <c r="J85" s="4"/>
      <c r="K85" s="4"/>
      <c r="L85" s="4"/>
      <c r="M85" s="4"/>
      <c r="N85" s="4" t="s">
        <v>1730</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359</v>
      </c>
      <c r="W85" s="1" t="s">
        <v>1610</v>
      </c>
      <c r="X85" s="13"/>
      <c r="Y85" s="13"/>
      <c r="Z85" s="13"/>
      <c r="AA85" s="13"/>
      <c r="AB85" s="13"/>
      <c r="AC85" s="1" t="s">
        <v>222</v>
      </c>
      <c r="AD85" s="1" t="s">
        <v>222</v>
      </c>
      <c r="AE85" s="1" t="s">
        <v>1731</v>
      </c>
      <c r="AF85" s="1" t="s">
        <v>224</v>
      </c>
      <c r="AG85" s="13"/>
      <c r="AH85" s="14" t="s">
        <v>1610</v>
      </c>
      <c r="AI85" s="13"/>
      <c r="AJ85" s="13"/>
      <c r="AK85" s="13"/>
      <c r="AL85" s="13"/>
      <c r="AM85" s="13"/>
      <c r="AN85" s="13"/>
      <c r="AO85" s="28"/>
    </row>
    <row r="86" spans="1:41" s="10" customFormat="1" ht="23.25" customHeight="1">
      <c r="A86" s="4"/>
      <c r="B86" s="4"/>
      <c r="C86" s="4"/>
      <c r="D86" s="4"/>
      <c r="E86" s="11" t="s">
        <v>672</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359</v>
      </c>
      <c r="W86" s="1" t="s">
        <v>1610</v>
      </c>
      <c r="X86" s="13"/>
      <c r="Y86" s="13"/>
      <c r="Z86" s="13"/>
      <c r="AA86" s="13"/>
      <c r="AB86" s="13"/>
      <c r="AC86" s="13"/>
      <c r="AD86" s="1" t="s">
        <v>1625</v>
      </c>
      <c r="AE86" s="1" t="s">
        <v>1732</v>
      </c>
      <c r="AF86" s="1" t="s">
        <v>224</v>
      </c>
      <c r="AG86" s="13"/>
      <c r="AH86" s="14" t="s">
        <v>1610</v>
      </c>
      <c r="AI86" s="13"/>
      <c r="AJ86" s="13"/>
      <c r="AK86" s="13"/>
      <c r="AL86" s="13"/>
      <c r="AM86" s="13"/>
      <c r="AN86" s="13"/>
      <c r="AO86" s="28"/>
    </row>
    <row r="87" spans="1:41" s="10" customFormat="1" ht="23.25" customHeight="1">
      <c r="A87" s="4"/>
      <c r="B87" s="4"/>
      <c r="C87" s="4"/>
      <c r="D87" s="4"/>
      <c r="E87" s="11" t="s">
        <v>672</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359</v>
      </c>
      <c r="W87" s="1" t="s">
        <v>1610</v>
      </c>
      <c r="X87" s="13"/>
      <c r="Y87" s="13"/>
      <c r="Z87" s="13"/>
      <c r="AA87" s="13"/>
      <c r="AB87" s="13"/>
      <c r="AC87" s="13"/>
      <c r="AD87" s="1" t="s">
        <v>1625</v>
      </c>
      <c r="AE87" s="1" t="s">
        <v>1733</v>
      </c>
      <c r="AF87" s="1" t="s">
        <v>254</v>
      </c>
      <c r="AG87" s="13"/>
      <c r="AH87" s="14" t="s">
        <v>1610</v>
      </c>
      <c r="AI87" s="13"/>
      <c r="AJ87" s="13"/>
      <c r="AK87" s="13"/>
      <c r="AL87" s="13"/>
      <c r="AM87" s="13"/>
      <c r="AN87" s="13"/>
      <c r="AO87" s="28"/>
    </row>
    <row r="88" spans="1:41" s="10" customFormat="1" ht="23.25" customHeight="1">
      <c r="A88" s="4"/>
      <c r="B88" s="4"/>
      <c r="C88" s="4"/>
      <c r="D88" s="4"/>
      <c r="E88" s="11" t="s">
        <v>672</v>
      </c>
      <c r="F88" s="4"/>
      <c r="G88" s="4"/>
      <c r="H88" s="4"/>
      <c r="I88" s="4"/>
      <c r="J88" s="4"/>
      <c r="K88" s="4"/>
      <c r="L88" s="4"/>
      <c r="M88" s="4"/>
      <c r="N88" s="4" t="s">
        <v>1734</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359</v>
      </c>
      <c r="W88" s="1" t="s">
        <v>1610</v>
      </c>
      <c r="X88" s="13"/>
      <c r="Y88" s="13"/>
      <c r="Z88" s="13"/>
      <c r="AA88" s="13"/>
      <c r="AB88" s="13"/>
      <c r="AC88" s="1" t="s">
        <v>712</v>
      </c>
      <c r="AD88" s="1" t="s">
        <v>1716</v>
      </c>
      <c r="AE88" s="1" t="s">
        <v>64</v>
      </c>
      <c r="AF88" s="1" t="s">
        <v>162</v>
      </c>
      <c r="AG88" s="13"/>
      <c r="AH88" s="14" t="s">
        <v>1610</v>
      </c>
      <c r="AI88" s="13"/>
      <c r="AJ88" s="13"/>
      <c r="AK88" s="13"/>
      <c r="AL88" s="13"/>
      <c r="AM88" s="13"/>
      <c r="AN88" s="13"/>
      <c r="AO88" s="28"/>
    </row>
    <row r="89" spans="1:41" s="10" customFormat="1" ht="23.25" customHeight="1">
      <c r="A89" s="4"/>
      <c r="B89" s="4"/>
      <c r="C89" s="4"/>
      <c r="D89" s="4"/>
      <c r="E89" s="11" t="s">
        <v>672</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359</v>
      </c>
      <c r="W89" s="1" t="s">
        <v>1610</v>
      </c>
      <c r="X89" s="13"/>
      <c r="Y89" s="13"/>
      <c r="Z89" s="13"/>
      <c r="AA89" s="13"/>
      <c r="AB89" s="13"/>
      <c r="AC89" s="13"/>
      <c r="AD89" s="13"/>
      <c r="AE89" s="1" t="s">
        <v>176</v>
      </c>
      <c r="AF89" s="1" t="s">
        <v>90</v>
      </c>
      <c r="AG89" s="13"/>
      <c r="AH89" s="14" t="s">
        <v>1610</v>
      </c>
      <c r="AI89" s="13"/>
      <c r="AJ89" s="13"/>
      <c r="AK89" s="13"/>
      <c r="AL89" s="13"/>
      <c r="AM89" s="13"/>
      <c r="AN89" s="13"/>
      <c r="AO89" s="28"/>
    </row>
    <row r="90" spans="1:41" s="10" customFormat="1" ht="23.25" customHeight="1">
      <c r="A90" s="4"/>
      <c r="B90" s="4"/>
      <c r="C90" s="4"/>
      <c r="D90" s="4"/>
      <c r="E90" s="11" t="s">
        <v>672</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359</v>
      </c>
      <c r="W90" s="1" t="s">
        <v>1610</v>
      </c>
      <c r="X90" s="13"/>
      <c r="Y90" s="13"/>
      <c r="Z90" s="13"/>
      <c r="AA90" s="13"/>
      <c r="AB90" s="13"/>
      <c r="AC90" s="13"/>
      <c r="AD90" s="13"/>
      <c r="AE90" s="1" t="s">
        <v>1735</v>
      </c>
      <c r="AF90" s="1" t="s">
        <v>75</v>
      </c>
      <c r="AG90" s="13"/>
      <c r="AH90" s="14" t="s">
        <v>1610</v>
      </c>
      <c r="AI90" s="13"/>
      <c r="AJ90" s="13"/>
      <c r="AK90" s="13"/>
      <c r="AL90" s="13"/>
      <c r="AM90" s="13"/>
      <c r="AN90" s="13"/>
      <c r="AO90" s="28"/>
    </row>
    <row r="91" spans="1:41" s="10" customFormat="1" ht="23.25" customHeight="1">
      <c r="A91" s="4"/>
      <c r="B91" s="4"/>
      <c r="C91" s="4"/>
      <c r="D91" s="4"/>
      <c r="E91" s="11" t="s">
        <v>672</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359</v>
      </c>
      <c r="W91" s="1" t="s">
        <v>1610</v>
      </c>
      <c r="X91" s="13"/>
      <c r="Y91" s="13"/>
      <c r="Z91" s="13"/>
      <c r="AA91" s="13"/>
      <c r="AB91" s="13"/>
      <c r="AC91" s="13"/>
      <c r="AD91" s="1" t="s">
        <v>1625</v>
      </c>
      <c r="AE91" s="1" t="s">
        <v>1736</v>
      </c>
      <c r="AF91" s="1" t="s">
        <v>224</v>
      </c>
      <c r="AG91" s="13"/>
      <c r="AH91" s="14" t="s">
        <v>1610</v>
      </c>
      <c r="AI91" s="13"/>
      <c r="AJ91" s="13"/>
      <c r="AK91" s="13"/>
      <c r="AL91" s="13"/>
      <c r="AM91" s="13"/>
      <c r="AN91" s="13"/>
      <c r="AO91" s="28"/>
    </row>
    <row r="92" spans="1:41" s="10" customFormat="1" ht="23.25" customHeight="1">
      <c r="A92" s="4"/>
      <c r="B92" s="4"/>
      <c r="C92" s="4"/>
      <c r="D92" s="4"/>
      <c r="E92" s="11" t="s">
        <v>672</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359</v>
      </c>
      <c r="W92" s="1" t="s">
        <v>1610</v>
      </c>
      <c r="X92" s="13"/>
      <c r="Y92" s="13"/>
      <c r="Z92" s="13"/>
      <c r="AA92" s="13"/>
      <c r="AB92" s="13"/>
      <c r="AC92" s="13"/>
      <c r="AD92" s="13"/>
      <c r="AE92" s="1" t="s">
        <v>1737</v>
      </c>
      <c r="AF92" s="1" t="s">
        <v>90</v>
      </c>
      <c r="AG92" s="13"/>
      <c r="AH92" s="14" t="s">
        <v>1610</v>
      </c>
      <c r="AI92" s="13"/>
      <c r="AJ92" s="13"/>
      <c r="AK92" s="13"/>
      <c r="AL92" s="13"/>
      <c r="AM92" s="13"/>
      <c r="AN92" s="13"/>
      <c r="AO92" s="28"/>
    </row>
    <row r="93" spans="1:41" s="10" customFormat="1" ht="23.25" customHeight="1">
      <c r="A93" s="4"/>
      <c r="B93" s="4"/>
      <c r="C93" s="4"/>
      <c r="D93" s="4"/>
      <c r="E93" s="11" t="s">
        <v>672</v>
      </c>
      <c r="F93" s="4"/>
      <c r="G93" s="4"/>
      <c r="H93" s="4"/>
      <c r="I93" s="4"/>
      <c r="J93" s="4"/>
      <c r="K93" s="4"/>
      <c r="L93" s="4"/>
      <c r="M93" s="4"/>
      <c r="N93" s="4" t="s">
        <v>1738</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359</v>
      </c>
      <c r="W93" s="1" t="s">
        <v>1610</v>
      </c>
      <c r="X93" s="13"/>
      <c r="Y93" s="13"/>
      <c r="Z93" s="13"/>
      <c r="AA93" s="13"/>
      <c r="AB93" s="13"/>
      <c r="AC93" s="1" t="s">
        <v>1625</v>
      </c>
      <c r="AD93" s="1" t="s">
        <v>1625</v>
      </c>
      <c r="AE93" s="1" t="s">
        <v>1739</v>
      </c>
      <c r="AF93" s="1" t="s">
        <v>224</v>
      </c>
      <c r="AG93" s="13"/>
      <c r="AH93" s="14" t="s">
        <v>1610</v>
      </c>
      <c r="AI93" s="13"/>
      <c r="AJ93" s="13"/>
      <c r="AK93" s="13"/>
      <c r="AL93" s="13"/>
      <c r="AM93" s="13"/>
      <c r="AN93" s="13"/>
      <c r="AO93" s="28"/>
    </row>
    <row r="94" spans="1:41" s="10" customFormat="1" ht="23.25" customHeight="1">
      <c r="A94" s="4"/>
      <c r="B94" s="4"/>
      <c r="C94" s="4"/>
      <c r="D94" s="4"/>
      <c r="E94" s="11" t="s">
        <v>672</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359</v>
      </c>
      <c r="W94" s="1" t="s">
        <v>1610</v>
      </c>
      <c r="X94" s="13"/>
      <c r="Y94" s="13"/>
      <c r="Z94" s="13"/>
      <c r="AA94" s="13"/>
      <c r="AB94" s="13"/>
      <c r="AC94" s="13"/>
      <c r="AD94" s="13"/>
      <c r="AE94" s="1" t="s">
        <v>1740</v>
      </c>
      <c r="AF94" s="1" t="s">
        <v>75</v>
      </c>
      <c r="AG94" s="13"/>
      <c r="AH94" s="14" t="s">
        <v>1610</v>
      </c>
      <c r="AI94" s="13"/>
      <c r="AJ94" s="13"/>
      <c r="AK94" s="13"/>
      <c r="AL94" s="13"/>
      <c r="AM94" s="13"/>
      <c r="AN94" s="13"/>
      <c r="AO94" s="28"/>
    </row>
    <row r="95" spans="1:41" s="10" customFormat="1" ht="23.25" customHeight="1">
      <c r="A95" s="4"/>
      <c r="B95" s="4"/>
      <c r="C95" s="4"/>
      <c r="D95" s="4"/>
      <c r="E95" s="11" t="s">
        <v>672</v>
      </c>
      <c r="F95" s="4"/>
      <c r="G95" s="4"/>
      <c r="H95" s="4"/>
      <c r="I95" s="4"/>
      <c r="J95" s="4"/>
      <c r="K95" s="4"/>
      <c r="L95" s="4"/>
      <c r="M95" s="4"/>
      <c r="N95" s="4" t="s">
        <v>1741</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359</v>
      </c>
      <c r="W95" s="1" t="s">
        <v>1610</v>
      </c>
      <c r="X95" s="13"/>
      <c r="Y95" s="13"/>
      <c r="Z95" s="13"/>
      <c r="AA95" s="13"/>
      <c r="AB95" s="13"/>
      <c r="AC95" s="1" t="s">
        <v>126</v>
      </c>
      <c r="AD95" s="1" t="s">
        <v>127</v>
      </c>
      <c r="AE95" s="1" t="s">
        <v>1742</v>
      </c>
      <c r="AF95" s="1" t="s">
        <v>90</v>
      </c>
      <c r="AG95" s="13"/>
      <c r="AH95" s="14" t="s">
        <v>1610</v>
      </c>
      <c r="AI95" s="13"/>
      <c r="AJ95" s="13"/>
      <c r="AK95" s="13"/>
      <c r="AL95" s="13"/>
      <c r="AM95" s="13"/>
      <c r="AN95" s="13"/>
      <c r="AO95" s="28"/>
    </row>
    <row r="96" spans="1:41" s="10" customFormat="1" ht="23.25" customHeight="1">
      <c r="A96" s="4"/>
      <c r="B96" s="4"/>
      <c r="C96" s="4"/>
      <c r="D96" s="4"/>
      <c r="E96" s="11" t="s">
        <v>672</v>
      </c>
      <c r="F96" s="4"/>
      <c r="G96" s="4"/>
      <c r="H96" s="4"/>
      <c r="I96" s="4"/>
      <c r="J96" s="4"/>
      <c r="K96" s="4"/>
      <c r="L96" s="4"/>
      <c r="M96" s="4"/>
      <c r="N96" s="4" t="s">
        <v>289</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359</v>
      </c>
      <c r="W96" s="1" t="s">
        <v>1610</v>
      </c>
      <c r="X96" s="13"/>
      <c r="Y96" s="13"/>
      <c r="Z96" s="13"/>
      <c r="AA96" s="13"/>
      <c r="AB96" s="13"/>
      <c r="AC96" s="1" t="s">
        <v>175</v>
      </c>
      <c r="AD96" s="13"/>
      <c r="AE96" s="1" t="s">
        <v>1743</v>
      </c>
      <c r="AF96" s="1" t="s">
        <v>90</v>
      </c>
      <c r="AG96" s="13"/>
      <c r="AH96" s="14" t="s">
        <v>1610</v>
      </c>
      <c r="AI96" s="13"/>
      <c r="AJ96" s="13"/>
      <c r="AK96" s="13"/>
      <c r="AL96" s="13"/>
      <c r="AM96" s="13"/>
      <c r="AN96" s="13"/>
      <c r="AO96" s="28"/>
    </row>
    <row r="97" spans="1:41" s="10" customFormat="1" ht="23.25" customHeight="1">
      <c r="A97" s="4"/>
      <c r="B97" s="4"/>
      <c r="C97" s="4"/>
      <c r="D97" s="4"/>
      <c r="E97" s="11" t="s">
        <v>672</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359</v>
      </c>
      <c r="W97" s="1" t="s">
        <v>1610</v>
      </c>
      <c r="X97" s="13"/>
      <c r="Y97" s="13"/>
      <c r="Z97" s="13"/>
      <c r="AA97" s="13"/>
      <c r="AB97" s="13"/>
      <c r="AC97" s="13"/>
      <c r="AD97" s="1" t="s">
        <v>222</v>
      </c>
      <c r="AE97" s="1" t="s">
        <v>1744</v>
      </c>
      <c r="AF97" s="1" t="s">
        <v>224</v>
      </c>
      <c r="AG97" s="13"/>
      <c r="AH97" s="14" t="s">
        <v>1610</v>
      </c>
      <c r="AI97" s="13"/>
      <c r="AJ97" s="13"/>
      <c r="AK97" s="13"/>
      <c r="AL97" s="13"/>
      <c r="AM97" s="13"/>
      <c r="AN97" s="13"/>
      <c r="AO97" s="28"/>
    </row>
    <row r="98" spans="1:41" s="10" customFormat="1" ht="23.25" customHeight="1">
      <c r="A98" s="4"/>
      <c r="B98" s="4"/>
      <c r="C98" s="4"/>
      <c r="D98" s="4"/>
      <c r="E98" s="11" t="s">
        <v>672</v>
      </c>
      <c r="F98" s="4"/>
      <c r="G98" s="4"/>
      <c r="H98" s="4"/>
      <c r="I98" s="4"/>
      <c r="J98" s="4"/>
      <c r="K98" s="4"/>
      <c r="L98" s="4"/>
      <c r="M98" s="4"/>
      <c r="N98" s="4" t="s">
        <v>1745</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359</v>
      </c>
      <c r="W98" s="1" t="s">
        <v>1610</v>
      </c>
      <c r="X98" s="13"/>
      <c r="Y98" s="13"/>
      <c r="Z98" s="13"/>
      <c r="AA98" s="13"/>
      <c r="AB98" s="13"/>
      <c r="AC98" s="1" t="s">
        <v>360</v>
      </c>
      <c r="AD98" s="13"/>
      <c r="AE98" s="1" t="s">
        <v>1746</v>
      </c>
      <c r="AF98" s="1" t="s">
        <v>75</v>
      </c>
      <c r="AG98" s="13"/>
      <c r="AH98" s="14" t="s">
        <v>1610</v>
      </c>
      <c r="AI98" s="13"/>
      <c r="AJ98" s="13"/>
      <c r="AK98" s="13"/>
      <c r="AL98" s="13"/>
      <c r="AM98" s="13"/>
      <c r="AN98" s="13"/>
      <c r="AO98" s="28"/>
    </row>
    <row r="99" spans="1:41" s="10" customFormat="1" ht="23.25" customHeight="1">
      <c r="A99" s="4"/>
      <c r="B99" s="4"/>
      <c r="C99" s="4"/>
      <c r="D99" s="4"/>
      <c r="E99" s="11" t="s">
        <v>672</v>
      </c>
      <c r="F99" s="4"/>
      <c r="G99" s="4"/>
      <c r="H99" s="4"/>
      <c r="I99" s="4"/>
      <c r="J99" s="4"/>
      <c r="K99" s="4"/>
      <c r="L99" s="4"/>
      <c r="M99" s="4"/>
      <c r="N99" s="4" t="s">
        <v>1747</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359</v>
      </c>
      <c r="W99" s="1" t="s">
        <v>1610</v>
      </c>
      <c r="X99" s="13"/>
      <c r="Y99" s="13"/>
      <c r="Z99" s="13"/>
      <c r="AA99" s="13"/>
      <c r="AB99" s="13"/>
      <c r="AC99" s="1" t="s">
        <v>175</v>
      </c>
      <c r="AD99" s="13"/>
      <c r="AE99" s="1" t="s">
        <v>1748</v>
      </c>
      <c r="AF99" s="1" t="s">
        <v>75</v>
      </c>
      <c r="AG99" s="13"/>
      <c r="AH99" s="14" t="s">
        <v>1610</v>
      </c>
      <c r="AI99" s="13"/>
      <c r="AJ99" s="13"/>
      <c r="AK99" s="13"/>
      <c r="AL99" s="13"/>
      <c r="AM99" s="13"/>
      <c r="AN99" s="13"/>
      <c r="AO99" s="28"/>
    </row>
    <row r="100" spans="1:41" s="10" customFormat="1" ht="23.25" customHeight="1">
      <c r="A100" s="4"/>
      <c r="B100" s="4"/>
      <c r="C100" s="4"/>
      <c r="D100" s="4"/>
      <c r="E100" s="11" t="s">
        <v>672</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359</v>
      </c>
      <c r="W100" s="1" t="s">
        <v>1610</v>
      </c>
      <c r="X100" s="13"/>
      <c r="Y100" s="13"/>
      <c r="Z100" s="13"/>
      <c r="AA100" s="13"/>
      <c r="AB100" s="13"/>
      <c r="AC100" s="13"/>
      <c r="AD100" s="13"/>
      <c r="AE100" s="1" t="s">
        <v>1749</v>
      </c>
      <c r="AF100" s="1" t="s">
        <v>75</v>
      </c>
      <c r="AG100" s="13"/>
      <c r="AH100" s="14" t="s">
        <v>1610</v>
      </c>
      <c r="AI100" s="13"/>
      <c r="AJ100" s="13"/>
      <c r="AK100" s="13"/>
      <c r="AL100" s="13"/>
      <c r="AM100" s="13"/>
      <c r="AN100" s="13"/>
      <c r="AO100" s="28"/>
    </row>
    <row r="101" spans="1:41" s="10" customFormat="1" ht="23.25" customHeight="1">
      <c r="A101" s="4"/>
      <c r="B101" s="4"/>
      <c r="C101" s="4"/>
      <c r="D101" s="4"/>
      <c r="E101" s="11" t="s">
        <v>672</v>
      </c>
      <c r="F101" s="4"/>
      <c r="G101" s="4"/>
      <c r="H101" s="4"/>
      <c r="I101" s="4"/>
      <c r="J101" s="4"/>
      <c r="K101" s="4"/>
      <c r="L101" s="4"/>
      <c r="M101" s="4"/>
      <c r="N101" s="4" t="s">
        <v>1750</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359</v>
      </c>
      <c r="W101" s="1" t="s">
        <v>1610</v>
      </c>
      <c r="X101" s="13"/>
      <c r="Y101" s="13"/>
      <c r="Z101" s="13"/>
      <c r="AA101" s="13"/>
      <c r="AB101" s="13"/>
      <c r="AC101" s="1" t="s">
        <v>126</v>
      </c>
      <c r="AD101" s="1" t="s">
        <v>127</v>
      </c>
      <c r="AE101" s="1" t="s">
        <v>1751</v>
      </c>
      <c r="AF101" s="1" t="s">
        <v>75</v>
      </c>
      <c r="AG101" s="13"/>
      <c r="AH101" s="14" t="s">
        <v>1610</v>
      </c>
      <c r="AI101" s="13"/>
      <c r="AJ101" s="13"/>
      <c r="AK101" s="13"/>
      <c r="AL101" s="13"/>
      <c r="AM101" s="13"/>
      <c r="AN101" s="13"/>
      <c r="AO101" s="28"/>
    </row>
    <row r="102" spans="1:41" s="10" customFormat="1" ht="23.25" customHeight="1">
      <c r="A102" s="4"/>
      <c r="B102" s="4"/>
      <c r="C102" s="4"/>
      <c r="D102" s="4"/>
      <c r="E102" s="11" t="s">
        <v>672</v>
      </c>
      <c r="F102" s="4"/>
      <c r="G102" s="4"/>
      <c r="H102" s="4"/>
      <c r="I102" s="4"/>
      <c r="J102" s="4"/>
      <c r="K102" s="4"/>
      <c r="L102" s="4"/>
      <c r="M102" s="4"/>
      <c r="N102" s="4" t="s">
        <v>1020</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359</v>
      </c>
      <c r="W102" s="1" t="s">
        <v>1610</v>
      </c>
      <c r="X102" s="13"/>
      <c r="Y102" s="13"/>
      <c r="Z102" s="13"/>
      <c r="AA102" s="13"/>
      <c r="AB102" s="13"/>
      <c r="AC102" s="1" t="s">
        <v>175</v>
      </c>
      <c r="AD102" s="13"/>
      <c r="AE102" s="1" t="s">
        <v>1019</v>
      </c>
      <c r="AF102" s="1" t="s">
        <v>75</v>
      </c>
      <c r="AG102" s="13"/>
      <c r="AH102" s="14" t="s">
        <v>1610</v>
      </c>
      <c r="AI102" s="13"/>
      <c r="AJ102" s="13"/>
      <c r="AK102" s="13"/>
      <c r="AL102" s="13"/>
      <c r="AM102" s="13"/>
      <c r="AN102" s="13"/>
      <c r="AO102" s="28"/>
    </row>
    <row r="103" spans="1:41" s="10" customFormat="1" ht="23.25" customHeight="1">
      <c r="A103" s="4"/>
      <c r="B103" s="4"/>
      <c r="C103" s="4"/>
      <c r="D103" s="4"/>
      <c r="E103" s="11" t="s">
        <v>672</v>
      </c>
      <c r="F103" s="4"/>
      <c r="G103" s="4"/>
      <c r="H103" s="4"/>
      <c r="I103" s="4"/>
      <c r="J103" s="4"/>
      <c r="K103" s="4"/>
      <c r="L103" s="4"/>
      <c r="M103" s="4"/>
      <c r="N103" s="4" t="s">
        <v>1752</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359</v>
      </c>
      <c r="W103" s="1" t="s">
        <v>1610</v>
      </c>
      <c r="X103" s="13"/>
      <c r="Y103" s="13"/>
      <c r="Z103" s="13"/>
      <c r="AA103" s="13"/>
      <c r="AB103" s="13"/>
      <c r="AC103" s="1" t="s">
        <v>175</v>
      </c>
      <c r="AD103" s="13"/>
      <c r="AE103" s="1" t="s">
        <v>1753</v>
      </c>
      <c r="AF103" s="1" t="s">
        <v>90</v>
      </c>
      <c r="AG103" s="13"/>
      <c r="AH103" s="14" t="s">
        <v>1610</v>
      </c>
      <c r="AI103" s="13"/>
      <c r="AJ103" s="13"/>
      <c r="AK103" s="13"/>
      <c r="AL103" s="13"/>
      <c r="AM103" s="13"/>
      <c r="AN103" s="13"/>
      <c r="AO103" s="28"/>
    </row>
    <row r="104" spans="1:41" s="10" customFormat="1" ht="23.25" customHeight="1">
      <c r="A104" s="4"/>
      <c r="B104" s="4"/>
      <c r="C104" s="4"/>
      <c r="D104" s="4"/>
      <c r="E104" s="11" t="s">
        <v>672</v>
      </c>
      <c r="F104" s="4"/>
      <c r="G104" s="4"/>
      <c r="H104" s="4"/>
      <c r="I104" s="4"/>
      <c r="J104" s="4"/>
      <c r="K104" s="4"/>
      <c r="L104" s="4"/>
      <c r="M104" s="4"/>
      <c r="N104" s="4" t="s">
        <v>1754</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359</v>
      </c>
      <c r="W104" s="1" t="s">
        <v>1610</v>
      </c>
      <c r="X104" s="13"/>
      <c r="Y104" s="13"/>
      <c r="Z104" s="13"/>
      <c r="AA104" s="13"/>
      <c r="AB104" s="13"/>
      <c r="AC104" s="1" t="s">
        <v>175</v>
      </c>
      <c r="AD104" s="13"/>
      <c r="AE104" s="1" t="s">
        <v>1755</v>
      </c>
      <c r="AF104" s="1" t="s">
        <v>90</v>
      </c>
      <c r="AG104" s="13"/>
      <c r="AH104" s="14" t="s">
        <v>1610</v>
      </c>
      <c r="AI104" s="13"/>
      <c r="AJ104" s="13"/>
      <c r="AK104" s="13"/>
      <c r="AL104" s="13"/>
      <c r="AM104" s="13"/>
      <c r="AN104" s="13"/>
      <c r="AO104" s="28"/>
    </row>
    <row r="105" spans="1:41" s="10" customFormat="1" ht="23.25" customHeight="1">
      <c r="A105" s="4"/>
      <c r="B105" s="4"/>
      <c r="C105" s="4"/>
      <c r="D105" s="4"/>
      <c r="E105" s="11" t="s">
        <v>672</v>
      </c>
      <c r="F105" s="4"/>
      <c r="G105" s="4"/>
      <c r="H105" s="4"/>
      <c r="I105" s="4"/>
      <c r="J105" s="4"/>
      <c r="K105" s="4"/>
      <c r="L105" s="4"/>
      <c r="M105" s="4"/>
      <c r="N105" s="4" t="s">
        <v>1756</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359</v>
      </c>
      <c r="W105" s="1" t="s">
        <v>1610</v>
      </c>
      <c r="X105" s="13"/>
      <c r="Y105" s="13"/>
      <c r="Z105" s="13"/>
      <c r="AA105" s="13"/>
      <c r="AB105" s="13"/>
      <c r="AC105" s="1" t="s">
        <v>623</v>
      </c>
      <c r="AD105" s="1" t="s">
        <v>621</v>
      </c>
      <c r="AE105" s="1" t="s">
        <v>1757</v>
      </c>
      <c r="AF105" s="1" t="s">
        <v>75</v>
      </c>
      <c r="AG105" s="13"/>
      <c r="AH105" s="14" t="s">
        <v>1610</v>
      </c>
      <c r="AI105" s="13"/>
      <c r="AJ105" s="13"/>
      <c r="AK105" s="13"/>
      <c r="AL105" s="13"/>
      <c r="AM105" s="13"/>
      <c r="AN105" s="13"/>
      <c r="AO105" s="28"/>
    </row>
    <row r="106" spans="1:41" s="10" customFormat="1" ht="23.25" customHeight="1">
      <c r="A106" s="4"/>
      <c r="B106" s="4"/>
      <c r="C106" s="4"/>
      <c r="D106" s="4"/>
      <c r="E106" s="11" t="s">
        <v>672</v>
      </c>
      <c r="F106" s="4"/>
      <c r="G106" s="4"/>
      <c r="H106" s="4"/>
      <c r="I106" s="4"/>
      <c r="J106" s="4"/>
      <c r="K106" s="4"/>
      <c r="L106" s="4"/>
      <c r="M106" s="4"/>
      <c r="AG106" s="13"/>
      <c r="AH106" s="14" t="s">
        <v>1610</v>
      </c>
      <c r="AI106" s="13"/>
      <c r="AJ106" s="13"/>
      <c r="AK106" s="13"/>
      <c r="AL106" s="13"/>
      <c r="AM106" s="13"/>
      <c r="AN106" s="13"/>
      <c r="AO106" s="28"/>
    </row>
    <row r="107" spans="1:41" s="10" customFormat="1" ht="23.25" customHeight="1">
      <c r="A107" s="4"/>
      <c r="B107" s="4"/>
      <c r="C107" s="4"/>
      <c r="D107" s="4"/>
      <c r="E107" s="11" t="s">
        <v>672</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359</v>
      </c>
      <c r="W107" s="1" t="s">
        <v>1610</v>
      </c>
      <c r="X107" s="13"/>
      <c r="Y107" s="13"/>
      <c r="Z107" s="13"/>
      <c r="AA107" s="13"/>
      <c r="AB107" s="13"/>
      <c r="AC107" s="13"/>
      <c r="AD107" s="13"/>
      <c r="AE107" s="1" t="s">
        <v>1758</v>
      </c>
      <c r="AF107" s="1" t="s">
        <v>75</v>
      </c>
      <c r="AG107" s="13"/>
      <c r="AH107" s="14" t="s">
        <v>1610</v>
      </c>
      <c r="AI107" s="13"/>
      <c r="AJ107" s="13"/>
      <c r="AK107" s="13"/>
      <c r="AL107" s="13"/>
      <c r="AM107" s="13"/>
      <c r="AN107" s="13"/>
      <c r="AO107" s="28"/>
    </row>
    <row r="108" spans="1:41" s="10" customFormat="1" ht="23.25" customHeight="1">
      <c r="A108" s="4"/>
      <c r="B108" s="4"/>
      <c r="C108" s="4"/>
      <c r="D108" s="4"/>
      <c r="E108" s="11" t="s">
        <v>672</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359</v>
      </c>
      <c r="W108" s="1" t="s">
        <v>1610</v>
      </c>
      <c r="X108" s="13"/>
      <c r="Y108" s="13"/>
      <c r="Z108" s="13"/>
      <c r="AA108" s="13"/>
      <c r="AB108" s="13"/>
      <c r="AC108" s="13"/>
      <c r="AD108" s="13"/>
      <c r="AE108" s="1" t="s">
        <v>76</v>
      </c>
      <c r="AF108" s="1" t="s">
        <v>1759</v>
      </c>
      <c r="AG108" s="13"/>
      <c r="AH108" s="14" t="s">
        <v>1610</v>
      </c>
      <c r="AI108" s="13"/>
      <c r="AJ108" s="13"/>
      <c r="AK108" s="13"/>
      <c r="AL108" s="13"/>
      <c r="AM108" s="13"/>
      <c r="AN108" s="13"/>
      <c r="AO108" s="28"/>
    </row>
    <row r="109" spans="1:41" s="10" customFormat="1" ht="23.25" customHeight="1">
      <c r="A109" s="4"/>
      <c r="B109" s="4"/>
      <c r="C109" s="4"/>
      <c r="D109" s="4"/>
      <c r="E109" s="11" t="s">
        <v>672</v>
      </c>
      <c r="F109" s="4"/>
      <c r="G109" s="4"/>
      <c r="H109" s="4"/>
      <c r="I109" s="4"/>
      <c r="J109" s="4"/>
      <c r="K109" s="4"/>
      <c r="L109" s="4"/>
      <c r="M109" s="4"/>
      <c r="N109" s="4" t="s">
        <v>1760</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359</v>
      </c>
      <c r="W109" s="1" t="s">
        <v>1610</v>
      </c>
      <c r="X109" s="13"/>
      <c r="Y109" s="13"/>
      <c r="Z109" s="13"/>
      <c r="AA109" s="13"/>
      <c r="AB109" s="13"/>
      <c r="AC109" s="1" t="s">
        <v>1625</v>
      </c>
      <c r="AD109" s="1" t="s">
        <v>1625</v>
      </c>
      <c r="AE109" s="1" t="s">
        <v>1761</v>
      </c>
      <c r="AF109" s="1" t="s">
        <v>224</v>
      </c>
      <c r="AG109" s="13"/>
      <c r="AH109" s="14" t="s">
        <v>1610</v>
      </c>
      <c r="AI109" s="13"/>
      <c r="AJ109" s="13"/>
      <c r="AK109" s="13"/>
      <c r="AL109" s="13"/>
      <c r="AM109" s="13"/>
      <c r="AN109" s="13"/>
      <c r="AO109" s="28"/>
    </row>
    <row r="110" spans="1:41" s="10" customFormat="1" ht="23.25" customHeight="1">
      <c r="A110" s="4"/>
      <c r="B110" s="4"/>
      <c r="C110" s="4"/>
      <c r="D110" s="4"/>
      <c r="E110" s="11" t="s">
        <v>672</v>
      </c>
      <c r="F110" s="4"/>
      <c r="G110" s="4"/>
      <c r="H110" s="4"/>
      <c r="I110" s="4"/>
      <c r="J110" s="4"/>
      <c r="K110" s="4"/>
      <c r="L110" s="4"/>
      <c r="M110" s="4"/>
      <c r="N110" s="4" t="s">
        <v>1762</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359</v>
      </c>
      <c r="W110" s="1" t="s">
        <v>1610</v>
      </c>
      <c r="X110" s="13"/>
      <c r="Y110" s="13"/>
      <c r="Z110" s="13"/>
      <c r="AA110" s="13"/>
      <c r="AB110" s="13"/>
      <c r="AC110" s="1" t="s">
        <v>175</v>
      </c>
      <c r="AD110" s="13"/>
      <c r="AE110" s="1" t="s">
        <v>1763</v>
      </c>
      <c r="AF110" s="1" t="s">
        <v>75</v>
      </c>
      <c r="AG110" s="13"/>
      <c r="AH110" s="14" t="s">
        <v>1610</v>
      </c>
      <c r="AI110" s="13"/>
      <c r="AJ110" s="13"/>
      <c r="AK110" s="13"/>
      <c r="AL110" s="13"/>
      <c r="AM110" s="13"/>
      <c r="AN110" s="13"/>
      <c r="AO110" s="28"/>
    </row>
    <row r="111" spans="1:41" s="10" customFormat="1" ht="23.25" customHeight="1">
      <c r="A111" s="4"/>
      <c r="B111" s="4"/>
      <c r="C111" s="4"/>
      <c r="D111" s="4"/>
      <c r="E111" s="11" t="s">
        <v>672</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359</v>
      </c>
      <c r="W111" s="1" t="s">
        <v>1610</v>
      </c>
      <c r="X111" s="13"/>
      <c r="Y111" s="13"/>
      <c r="Z111" s="13"/>
      <c r="AA111" s="13"/>
      <c r="AB111" s="13"/>
      <c r="AC111" s="13"/>
      <c r="AD111" s="13"/>
      <c r="AE111" s="1" t="s">
        <v>1763</v>
      </c>
      <c r="AF111" s="1" t="s">
        <v>75</v>
      </c>
      <c r="AG111" s="13"/>
      <c r="AH111" s="14" t="s">
        <v>1610</v>
      </c>
      <c r="AI111" s="13"/>
      <c r="AJ111" s="13"/>
      <c r="AK111" s="13"/>
      <c r="AL111" s="13"/>
      <c r="AM111" s="13"/>
      <c r="AN111" s="13"/>
      <c r="AO111" s="28"/>
    </row>
    <row r="112" spans="1:41" s="10" customFormat="1" ht="23.25" customHeight="1">
      <c r="A112" s="4"/>
      <c r="B112" s="4"/>
      <c r="C112" s="4"/>
      <c r="D112" s="4"/>
      <c r="E112" s="11" t="s">
        <v>672</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359</v>
      </c>
      <c r="W112" s="1" t="s">
        <v>1610</v>
      </c>
      <c r="X112" s="13"/>
      <c r="Y112" s="13"/>
      <c r="Z112" s="13"/>
      <c r="AA112" s="13"/>
      <c r="AB112" s="13"/>
      <c r="AC112" s="13"/>
      <c r="AD112" s="1" t="s">
        <v>1716</v>
      </c>
      <c r="AE112" s="1" t="s">
        <v>1764</v>
      </c>
      <c r="AF112" s="1" t="s">
        <v>90</v>
      </c>
      <c r="AG112" s="13"/>
      <c r="AH112" s="14" t="s">
        <v>1610</v>
      </c>
      <c r="AI112" s="13"/>
      <c r="AJ112" s="13"/>
      <c r="AK112" s="13"/>
      <c r="AL112" s="13"/>
      <c r="AM112" s="13"/>
      <c r="AN112" s="13"/>
      <c r="AO112" s="28"/>
    </row>
    <row r="113" spans="1:173" s="10" customFormat="1" ht="23.25" customHeight="1">
      <c r="A113" s="4"/>
      <c r="B113" s="4"/>
      <c r="C113" s="4"/>
      <c r="D113" s="4"/>
      <c r="E113" s="11" t="s">
        <v>672</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359</v>
      </c>
      <c r="W113" s="1" t="s">
        <v>1610</v>
      </c>
      <c r="X113" s="13"/>
      <c r="Y113" s="13"/>
      <c r="Z113" s="13"/>
      <c r="AA113" s="13"/>
      <c r="AB113" s="13"/>
      <c r="AC113" s="13"/>
      <c r="AD113" s="1" t="s">
        <v>1716</v>
      </c>
      <c r="AE113" s="1" t="s">
        <v>1765</v>
      </c>
      <c r="AF113" s="1" t="s">
        <v>90</v>
      </c>
      <c r="AG113" s="13"/>
      <c r="AH113" s="14" t="s">
        <v>1610</v>
      </c>
      <c r="AI113" s="13"/>
      <c r="AJ113" s="13"/>
      <c r="AK113" s="13"/>
      <c r="AL113" s="13"/>
      <c r="AM113" s="13"/>
      <c r="AN113" s="13"/>
      <c r="AO113" s="28"/>
    </row>
    <row r="114" spans="1:173" s="10" customFormat="1" ht="23.25" customHeight="1">
      <c r="A114" s="4"/>
      <c r="B114" s="4"/>
      <c r="C114" s="4"/>
      <c r="D114" s="4"/>
      <c r="E114" s="11" t="s">
        <v>672</v>
      </c>
      <c r="F114" s="4"/>
      <c r="G114" s="4"/>
      <c r="H114" s="4"/>
      <c r="I114" s="4"/>
      <c r="J114" s="4"/>
      <c r="K114" s="4"/>
      <c r="L114" s="4"/>
      <c r="M114" s="4"/>
      <c r="N114" s="4" t="s">
        <v>1766</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359</v>
      </c>
      <c r="W114" s="1" t="s">
        <v>1610</v>
      </c>
      <c r="X114" s="13"/>
      <c r="Y114" s="13"/>
      <c r="Z114" s="13"/>
      <c r="AA114" s="13"/>
      <c r="AB114" s="13"/>
      <c r="AC114" s="1" t="s">
        <v>712</v>
      </c>
      <c r="AD114" s="13"/>
      <c r="AE114" s="13"/>
      <c r="AF114" s="13"/>
      <c r="AG114" s="13"/>
      <c r="AH114" s="14" t="s">
        <v>1610</v>
      </c>
      <c r="AI114" s="13"/>
      <c r="AJ114" s="13"/>
      <c r="AK114" s="13"/>
      <c r="AL114" s="13"/>
      <c r="AM114" s="13"/>
      <c r="AN114" s="13"/>
      <c r="AO114" s="28"/>
    </row>
    <row r="115" spans="1:173" s="10" customFormat="1" ht="23.25" customHeight="1">
      <c r="A115" s="34"/>
      <c r="B115" s="34"/>
      <c r="C115" s="34"/>
      <c r="D115" s="34"/>
      <c r="E115" s="34" t="s">
        <v>672</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1767</v>
      </c>
      <c r="AA115" s="36" t="s">
        <v>1768</v>
      </c>
      <c r="AB115" s="34"/>
      <c r="AC115" s="34" t="s">
        <v>1610</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672</v>
      </c>
      <c r="F116" s="34"/>
      <c r="G116" s="34"/>
      <c r="H116" s="34"/>
      <c r="I116" s="34"/>
      <c r="J116" s="34"/>
      <c r="K116" s="34"/>
      <c r="L116" s="34"/>
      <c r="M116" s="36" t="s">
        <v>1769</v>
      </c>
      <c r="N116" s="34"/>
      <c r="O116" s="34"/>
      <c r="P116" s="34"/>
      <c r="Q116" s="35"/>
      <c r="R116" s="35"/>
      <c r="S116" s="34" t="s">
        <v>68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1769</v>
      </c>
      <c r="AA116" s="36" t="s">
        <v>1770</v>
      </c>
      <c r="AB116" s="34"/>
      <c r="AC116" s="34" t="s">
        <v>1771</v>
      </c>
      <c r="AD116" s="34"/>
      <c r="AE116" s="34"/>
      <c r="AF116" s="34"/>
      <c r="AG116" s="34"/>
      <c r="AH116" s="34"/>
      <c r="AI116" s="34"/>
      <c r="AJ116" s="34"/>
      <c r="AK116" s="34"/>
      <c r="AL116" s="34"/>
      <c r="AM116" s="34"/>
      <c r="AN116" s="34"/>
      <c r="AO116" s="34"/>
      <c r="AP116" s="34"/>
      <c r="AQ116" s="34"/>
      <c r="AR116" s="37"/>
      <c r="AS116" s="37"/>
      <c r="AT116" s="34"/>
      <c r="AU116" s="34"/>
      <c r="AV116" s="37"/>
      <c r="AW116" s="37" t="s">
        <v>1772</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672</v>
      </c>
      <c r="F117" s="34"/>
      <c r="G117" s="34"/>
      <c r="H117" s="34"/>
      <c r="I117" s="34"/>
      <c r="J117" s="34"/>
      <c r="K117" s="34"/>
      <c r="L117" s="34"/>
      <c r="M117" s="34"/>
      <c r="N117" s="34"/>
      <c r="O117" s="34"/>
      <c r="P117" s="34"/>
      <c r="Q117" s="35"/>
      <c r="R117" s="35"/>
      <c r="S117" s="34" t="s">
        <v>587</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1773</v>
      </c>
      <c r="AA117" s="36" t="s">
        <v>1774</v>
      </c>
      <c r="AB117" s="34"/>
      <c r="AC117" s="34" t="s">
        <v>1610</v>
      </c>
      <c r="AD117" s="34"/>
      <c r="AE117" s="34"/>
      <c r="AF117" s="34"/>
      <c r="AG117" s="34"/>
      <c r="AH117" s="34"/>
      <c r="AI117" s="34"/>
      <c r="AJ117" s="34"/>
      <c r="AK117" s="34"/>
      <c r="AL117" s="34"/>
      <c r="AM117" s="34"/>
      <c r="AN117" s="34"/>
      <c r="AO117" s="34"/>
      <c r="AP117" s="34"/>
      <c r="AQ117" s="34"/>
      <c r="AR117" s="37"/>
      <c r="AS117" s="37"/>
      <c r="AT117" s="34"/>
      <c r="AU117" s="34"/>
      <c r="AV117" s="37"/>
      <c r="AW117" s="37" t="s">
        <v>1772</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1775</v>
      </c>
      <c r="B118" s="39" t="s">
        <v>1776</v>
      </c>
      <c r="C118" s="38" t="s">
        <v>1777</v>
      </c>
      <c r="D118" s="38"/>
      <c r="E118" s="38" t="s">
        <v>342</v>
      </c>
      <c r="F118" s="39"/>
      <c r="G118" s="39"/>
      <c r="H118" s="39"/>
      <c r="I118" s="39"/>
      <c r="J118" s="39"/>
      <c r="K118" s="39"/>
      <c r="L118" s="39"/>
      <c r="M118" s="39"/>
      <c r="N118" s="39"/>
      <c r="O118" s="38" t="s">
        <v>1778</v>
      </c>
      <c r="P118" s="38" t="s">
        <v>1778</v>
      </c>
      <c r="Q118" s="40" t="s">
        <v>99</v>
      </c>
      <c r="R118" s="40" t="s">
        <v>270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1779</v>
      </c>
      <c r="AK118" s="38"/>
      <c r="AL118" s="38"/>
      <c r="AM118" s="38" t="s">
        <v>1779</v>
      </c>
      <c r="AN118" s="38"/>
      <c r="AO118" s="38" t="s">
        <v>129</v>
      </c>
      <c r="AP118" s="38" t="s">
        <v>101</v>
      </c>
      <c r="AQ118" s="38" t="s">
        <v>101</v>
      </c>
      <c r="AR118" s="41" t="s">
        <v>76</v>
      </c>
      <c r="AS118" s="41" t="s">
        <v>132</v>
      </c>
      <c r="AT118" s="38" t="s">
        <v>1775</v>
      </c>
      <c r="AU118" s="39" t="s">
        <v>1776</v>
      </c>
      <c r="AV118" s="39"/>
      <c r="AW118" s="39" t="s">
        <v>1780</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1781</v>
      </c>
      <c r="B119" s="39" t="s">
        <v>1782</v>
      </c>
      <c r="C119" s="38" t="s">
        <v>1783</v>
      </c>
      <c r="D119" s="38"/>
      <c r="E119" s="38" t="s">
        <v>342</v>
      </c>
      <c r="F119" s="39"/>
      <c r="G119" s="39"/>
      <c r="H119" s="39"/>
      <c r="I119" s="39"/>
      <c r="J119" s="39"/>
      <c r="K119" s="39"/>
      <c r="L119" s="39"/>
      <c r="M119" s="39"/>
      <c r="N119" s="39"/>
      <c r="O119" s="38" t="s">
        <v>1778</v>
      </c>
      <c r="P119" s="38" t="s">
        <v>1778</v>
      </c>
      <c r="Q119" s="40" t="s">
        <v>731</v>
      </c>
      <c r="R119" s="40" t="s">
        <v>732</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1784</v>
      </c>
      <c r="AK119" s="38"/>
      <c r="AL119" s="38"/>
      <c r="AM119" s="38" t="s">
        <v>1784</v>
      </c>
      <c r="AN119" s="38"/>
      <c r="AO119" s="38" t="s">
        <v>129</v>
      </c>
      <c r="AP119" s="38" t="s">
        <v>101</v>
      </c>
      <c r="AQ119" s="38" t="s">
        <v>101</v>
      </c>
      <c r="AR119" s="41" t="s">
        <v>76</v>
      </c>
      <c r="AS119" s="41" t="s">
        <v>132</v>
      </c>
      <c r="AT119" s="38" t="s">
        <v>1781</v>
      </c>
      <c r="AU119" s="39" t="s">
        <v>1782</v>
      </c>
      <c r="AV119" s="39"/>
      <c r="AW119" s="39" t="s">
        <v>1780</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1785</v>
      </c>
      <c r="B120" s="39" t="s">
        <v>1786</v>
      </c>
      <c r="C120" s="38" t="s">
        <v>1787</v>
      </c>
      <c r="D120" s="38"/>
      <c r="E120" s="38" t="s">
        <v>342</v>
      </c>
      <c r="F120" s="39"/>
      <c r="G120" s="39"/>
      <c r="H120" s="39"/>
      <c r="I120" s="39"/>
      <c r="J120" s="39"/>
      <c r="K120" s="39"/>
      <c r="L120" s="39"/>
      <c r="M120" s="39"/>
      <c r="N120" s="39"/>
      <c r="O120" s="38" t="s">
        <v>1778</v>
      </c>
      <c r="P120" s="38" t="s">
        <v>1778</v>
      </c>
      <c r="Q120" s="40" t="s">
        <v>873</v>
      </c>
      <c r="R120" s="40" t="s">
        <v>874</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1788</v>
      </c>
      <c r="AK120" s="38"/>
      <c r="AL120" s="38"/>
      <c r="AM120" s="38" t="s">
        <v>1788</v>
      </c>
      <c r="AN120" s="38"/>
      <c r="AO120" s="38" t="s">
        <v>129</v>
      </c>
      <c r="AP120" s="38" t="s">
        <v>101</v>
      </c>
      <c r="AQ120" s="38" t="s">
        <v>101</v>
      </c>
      <c r="AR120" s="41" t="s">
        <v>76</v>
      </c>
      <c r="AS120" s="41" t="s">
        <v>132</v>
      </c>
      <c r="AT120" s="38" t="s">
        <v>1785</v>
      </c>
      <c r="AU120" s="39" t="s">
        <v>1786</v>
      </c>
      <c r="AV120" s="39"/>
      <c r="AW120" s="39" t="s">
        <v>1789</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1790</v>
      </c>
      <c r="B121" s="39" t="s">
        <v>1791</v>
      </c>
      <c r="C121" s="38" t="s">
        <v>1792</v>
      </c>
      <c r="D121" s="38"/>
      <c r="E121" s="38" t="s">
        <v>342</v>
      </c>
      <c r="F121" s="39"/>
      <c r="G121" s="39"/>
      <c r="H121" s="39"/>
      <c r="I121" s="39"/>
      <c r="J121" s="39"/>
      <c r="K121" s="39"/>
      <c r="L121" s="39"/>
      <c r="M121" s="39"/>
      <c r="N121" s="39"/>
      <c r="O121" s="38" t="s">
        <v>1778</v>
      </c>
      <c r="P121" s="38" t="s">
        <v>1778</v>
      </c>
      <c r="Q121" s="40" t="s">
        <v>110</v>
      </c>
      <c r="R121" s="40" t="s">
        <v>111</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1793</v>
      </c>
      <c r="AK121" s="38"/>
      <c r="AL121" s="38"/>
      <c r="AM121" s="38" t="s">
        <v>1788</v>
      </c>
      <c r="AN121" s="38"/>
      <c r="AO121" s="38" t="s">
        <v>129</v>
      </c>
      <c r="AP121" s="38" t="s">
        <v>101</v>
      </c>
      <c r="AQ121" s="38" t="s">
        <v>101</v>
      </c>
      <c r="AR121" s="41" t="s">
        <v>76</v>
      </c>
      <c r="AS121" s="41" t="s">
        <v>132</v>
      </c>
      <c r="AT121" s="38" t="s">
        <v>1790</v>
      </c>
      <c r="AU121" s="39" t="s">
        <v>1791</v>
      </c>
      <c r="AV121" s="39"/>
      <c r="AW121" s="39" t="s">
        <v>1780</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1781</v>
      </c>
      <c r="B122" s="39" t="s">
        <v>1782</v>
      </c>
      <c r="C122" s="38" t="s">
        <v>1794</v>
      </c>
      <c r="D122" s="38"/>
      <c r="E122" s="38" t="s">
        <v>154</v>
      </c>
      <c r="F122" s="39"/>
      <c r="G122" s="39"/>
      <c r="H122" s="39"/>
      <c r="I122" s="39"/>
      <c r="J122" s="39"/>
      <c r="K122" s="39"/>
      <c r="L122" s="39"/>
      <c r="M122" s="39"/>
      <c r="N122" s="39"/>
      <c r="O122" s="38" t="s">
        <v>1781</v>
      </c>
      <c r="P122" s="38" t="s">
        <v>1781</v>
      </c>
      <c r="Q122" s="40" t="s">
        <v>873</v>
      </c>
      <c r="R122" s="40" t="s">
        <v>874</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1794</v>
      </c>
      <c r="AK122" s="38"/>
      <c r="AL122" s="38"/>
      <c r="AM122" s="38" t="s">
        <v>1794</v>
      </c>
      <c r="AN122" s="38"/>
      <c r="AO122" s="38" t="s">
        <v>129</v>
      </c>
      <c r="AP122" s="38" t="s">
        <v>101</v>
      </c>
      <c r="AQ122" s="38" t="s">
        <v>101</v>
      </c>
      <c r="AR122" s="41" t="s">
        <v>76</v>
      </c>
      <c r="AS122" s="41" t="s">
        <v>132</v>
      </c>
      <c r="AT122" s="38" t="s">
        <v>1781</v>
      </c>
      <c r="AU122" s="39" t="s">
        <v>1782</v>
      </c>
      <c r="AV122" s="39"/>
      <c r="AW122" s="39" t="s">
        <v>1780</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1795</v>
      </c>
      <c r="B123" s="42" t="s">
        <v>1796</v>
      </c>
      <c r="C123" s="32" t="s">
        <v>1797</v>
      </c>
      <c r="D123" s="32"/>
      <c r="E123" s="32" t="s">
        <v>342</v>
      </c>
      <c r="F123" s="42"/>
      <c r="G123" s="42"/>
      <c r="H123" s="42"/>
      <c r="I123" s="42"/>
      <c r="J123" s="42"/>
      <c r="K123" s="42"/>
      <c r="L123" s="42"/>
      <c r="M123" s="42"/>
      <c r="N123" s="42"/>
      <c r="O123" s="32" t="s">
        <v>1795</v>
      </c>
      <c r="P123" s="32" t="s">
        <v>1795</v>
      </c>
      <c r="Q123" s="43" t="s">
        <v>99</v>
      </c>
      <c r="R123" s="43" t="s">
        <v>270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1797</v>
      </c>
      <c r="AK123" s="32"/>
      <c r="AL123" s="32"/>
      <c r="AM123" s="32" t="s">
        <v>1798</v>
      </c>
      <c r="AN123" s="32"/>
      <c r="AO123" s="32" t="s">
        <v>129</v>
      </c>
      <c r="AP123" s="32" t="s">
        <v>236</v>
      </c>
      <c r="AQ123" s="32" t="s">
        <v>236</v>
      </c>
      <c r="AR123" s="33" t="s">
        <v>76</v>
      </c>
      <c r="AS123" s="33" t="s">
        <v>132</v>
      </c>
      <c r="AT123" s="32" t="s">
        <v>1795</v>
      </c>
      <c r="AU123" s="42" t="s">
        <v>1796</v>
      </c>
      <c r="AV123" s="42"/>
      <c r="AW123" s="42" t="s">
        <v>1799</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1800</v>
      </c>
      <c r="B124" s="42" t="s">
        <v>1801</v>
      </c>
      <c r="C124" s="32" t="s">
        <v>1802</v>
      </c>
      <c r="D124" s="32"/>
      <c r="E124" s="32" t="s">
        <v>342</v>
      </c>
      <c r="F124" s="42"/>
      <c r="G124" s="42"/>
      <c r="H124" s="42"/>
      <c r="I124" s="42"/>
      <c r="J124" s="42"/>
      <c r="K124" s="42"/>
      <c r="L124" s="42"/>
      <c r="M124" s="42"/>
      <c r="N124" s="42"/>
      <c r="O124" s="32" t="s">
        <v>1800</v>
      </c>
      <c r="P124" s="32" t="s">
        <v>1800</v>
      </c>
      <c r="Q124" s="43" t="s">
        <v>99</v>
      </c>
      <c r="R124" s="43" t="s">
        <v>270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1802</v>
      </c>
      <c r="AK124" s="32"/>
      <c r="AL124" s="32"/>
      <c r="AM124" s="32" t="s">
        <v>1802</v>
      </c>
      <c r="AN124" s="32"/>
      <c r="AO124" s="32" t="s">
        <v>145</v>
      </c>
      <c r="AP124" s="32" t="s">
        <v>101</v>
      </c>
      <c r="AQ124" s="32" t="s">
        <v>101</v>
      </c>
      <c r="AR124" s="33" t="s">
        <v>148</v>
      </c>
      <c r="AS124" s="33" t="s">
        <v>149</v>
      </c>
      <c r="AT124" s="32" t="s">
        <v>1800</v>
      </c>
      <c r="AU124" s="42" t="s">
        <v>1801</v>
      </c>
      <c r="AV124" s="42"/>
      <c r="AW124" s="42" t="s">
        <v>1803</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2026-07-28T18:23:54Z</dcterms:modified>
  <cp:category/>
  <cp:contentStatus/>
</cp:coreProperties>
</file>